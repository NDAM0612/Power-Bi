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naarella\Downloads\"/>
    </mc:Choice>
  </mc:AlternateContent>
  <xr:revisionPtr revIDLastSave="33" documentId="13_ncr:1_{2323ACC8-9998-4477-94C3-5EAE9BBE561D}" xr6:coauthVersionLast="47" xr6:coauthVersionMax="47" xr10:uidLastSave="{C7AEBB03-DA1F-4399-941E-20E3A1A2E3EC}"/>
  <bookViews>
    <workbookView xWindow="-110" yWindow="-110" windowWidth="19420" windowHeight="11500" firstSheet="1" activeTab="1" xr2:uid="{00000000-000D-0000-FFFF-FFFF00000000}"/>
  </bookViews>
  <sheets>
    <sheet name="Sheet2" sheetId="1" r:id="rId1"/>
    <sheet name="Sheet1" sheetId="2" r:id="rId2"/>
    <sheet name="Hoja1" sheetId="3" r:id="rId3"/>
  </sheets>
  <externalReferences>
    <externalReference r:id="rId4"/>
  </externalReferences>
  <definedNames>
    <definedName name="_xlnm._FilterDatabase" localSheetId="2" hidden="1">Hoja1!$G$1:$H$184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1" i="3" l="1"/>
  <c r="H116" i="3"/>
  <c r="H87"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634" i="2"/>
  <c r="T634" i="2"/>
  <c r="C633" i="2"/>
  <c r="T633"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2" i="2"/>
  <c r="C3" i="2"/>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345" i="2"/>
  <c r="D345" i="2" s="1"/>
  <c r="C346" i="2"/>
  <c r="D346" i="2" s="1"/>
  <c r="C347" i="2"/>
  <c r="D347" i="2" s="1"/>
  <c r="C348" i="2"/>
  <c r="D348" i="2" s="1"/>
  <c r="C349" i="2"/>
  <c r="D349" i="2" s="1"/>
  <c r="C350" i="2"/>
  <c r="D350" i="2" s="1"/>
  <c r="C351" i="2"/>
  <c r="D351" i="2" s="1"/>
  <c r="C352" i="2"/>
  <c r="D352" i="2" s="1"/>
  <c r="C353" i="2"/>
  <c r="D353" i="2" s="1"/>
  <c r="C354" i="2"/>
  <c r="D354" i="2" s="1"/>
  <c r="C355" i="2"/>
  <c r="D355" i="2" s="1"/>
  <c r="C356" i="2"/>
  <c r="D356" i="2" s="1"/>
  <c r="C357" i="2"/>
  <c r="D357"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1" i="2"/>
  <c r="D371" i="2" s="1"/>
  <c r="C372" i="2"/>
  <c r="D372" i="2" s="1"/>
  <c r="C373" i="2"/>
  <c r="D373" i="2" s="1"/>
  <c r="C374" i="2"/>
  <c r="D374" i="2" s="1"/>
  <c r="C375" i="2"/>
  <c r="D375" i="2" s="1"/>
  <c r="C376" i="2"/>
  <c r="D376" i="2" s="1"/>
  <c r="C377" i="2"/>
  <c r="D377" i="2" s="1"/>
  <c r="C378" i="2"/>
  <c r="D378" i="2" s="1"/>
  <c r="C379" i="2"/>
  <c r="D379" i="2" s="1"/>
  <c r="C380" i="2"/>
  <c r="D380" i="2" s="1"/>
  <c r="C381" i="2"/>
  <c r="D381" i="2" s="1"/>
  <c r="C382" i="2"/>
  <c r="D382" i="2" s="1"/>
  <c r="C383" i="2"/>
  <c r="D383" i="2" s="1"/>
  <c r="C384" i="2"/>
  <c r="D384" i="2" s="1"/>
  <c r="C385" i="2"/>
  <c r="D385" i="2" s="1"/>
  <c r="C386" i="2"/>
  <c r="D386" i="2" s="1"/>
  <c r="C387" i="2"/>
  <c r="D387" i="2" s="1"/>
  <c r="C388" i="2"/>
  <c r="D388" i="2" s="1"/>
  <c r="C389" i="2"/>
  <c r="D389" i="2" s="1"/>
  <c r="C390" i="2"/>
  <c r="D390" i="2" s="1"/>
  <c r="C391" i="2"/>
  <c r="D391" i="2" s="1"/>
  <c r="C392" i="2"/>
  <c r="D392" i="2" s="1"/>
  <c r="C393" i="2"/>
  <c r="D393" i="2" s="1"/>
  <c r="C394" i="2"/>
  <c r="D394" i="2" s="1"/>
  <c r="C395" i="2"/>
  <c r="D395" i="2" s="1"/>
  <c r="C396" i="2"/>
  <c r="D396" i="2" s="1"/>
  <c r="C397" i="2"/>
  <c r="D397" i="2" s="1"/>
  <c r="C398" i="2"/>
  <c r="D398" i="2" s="1"/>
  <c r="C399" i="2"/>
  <c r="D399" i="2" s="1"/>
  <c r="C400" i="2"/>
  <c r="D400" i="2" s="1"/>
  <c r="C401" i="2"/>
  <c r="D401" i="2" s="1"/>
  <c r="C402" i="2"/>
  <c r="D402" i="2" s="1"/>
  <c r="C403" i="2"/>
  <c r="D403" i="2" s="1"/>
  <c r="C404" i="2"/>
  <c r="D404" i="2" s="1"/>
  <c r="C405" i="2"/>
  <c r="D405" i="2" s="1"/>
  <c r="C406" i="2"/>
  <c r="D406" i="2" s="1"/>
  <c r="C407" i="2"/>
  <c r="D407" i="2" s="1"/>
  <c r="C408" i="2"/>
  <c r="D408" i="2" s="1"/>
  <c r="C409" i="2"/>
  <c r="D409" i="2" s="1"/>
  <c r="C410" i="2"/>
  <c r="D410" i="2" s="1"/>
  <c r="C411" i="2"/>
  <c r="D411" i="2" s="1"/>
  <c r="C412" i="2"/>
  <c r="D412" i="2" s="1"/>
  <c r="C413" i="2"/>
  <c r="D413" i="2" s="1"/>
  <c r="C414" i="2"/>
  <c r="D414" i="2" s="1"/>
  <c r="C415" i="2"/>
  <c r="D415" i="2" s="1"/>
  <c r="C416" i="2"/>
  <c r="D416" i="2" s="1"/>
  <c r="C417" i="2"/>
  <c r="D417" i="2" s="1"/>
  <c r="C418" i="2"/>
  <c r="D418" i="2" s="1"/>
  <c r="C419" i="2"/>
  <c r="D419" i="2" s="1"/>
  <c r="C420" i="2"/>
  <c r="D420" i="2" s="1"/>
  <c r="C421" i="2"/>
  <c r="D421" i="2" s="1"/>
  <c r="C422" i="2"/>
  <c r="D422" i="2" s="1"/>
  <c r="C423" i="2"/>
  <c r="D423" i="2" s="1"/>
  <c r="C424" i="2"/>
  <c r="D424" i="2" s="1"/>
  <c r="C425" i="2"/>
  <c r="D425" i="2" s="1"/>
  <c r="C426" i="2"/>
  <c r="D426" i="2" s="1"/>
  <c r="C427" i="2"/>
  <c r="D427" i="2" s="1"/>
  <c r="C428" i="2"/>
  <c r="D428" i="2" s="1"/>
  <c r="C429" i="2"/>
  <c r="D429" i="2" s="1"/>
  <c r="C430" i="2"/>
  <c r="D430" i="2" s="1"/>
  <c r="C431" i="2"/>
  <c r="D431" i="2" s="1"/>
  <c r="C432" i="2"/>
  <c r="D432" i="2" s="1"/>
  <c r="C433" i="2"/>
  <c r="D433" i="2" s="1"/>
  <c r="C434" i="2"/>
  <c r="D434" i="2" s="1"/>
  <c r="C435" i="2"/>
  <c r="D435" i="2" s="1"/>
  <c r="C436" i="2"/>
  <c r="D436" i="2" s="1"/>
  <c r="C437" i="2"/>
  <c r="D437" i="2" s="1"/>
  <c r="C438" i="2"/>
  <c r="D438" i="2" s="1"/>
  <c r="C439" i="2"/>
  <c r="D439" i="2" s="1"/>
  <c r="C440" i="2"/>
  <c r="D440" i="2" s="1"/>
  <c r="C441" i="2"/>
  <c r="D441" i="2" s="1"/>
  <c r="C442" i="2"/>
  <c r="D442" i="2" s="1"/>
  <c r="C443" i="2"/>
  <c r="D443" i="2" s="1"/>
  <c r="C444" i="2"/>
  <c r="D444" i="2" s="1"/>
  <c r="C445" i="2"/>
  <c r="D445" i="2" s="1"/>
  <c r="C446" i="2"/>
  <c r="D446" i="2" s="1"/>
  <c r="C447" i="2"/>
  <c r="D447" i="2" s="1"/>
  <c r="C448" i="2"/>
  <c r="D448" i="2" s="1"/>
  <c r="C449" i="2"/>
  <c r="D449" i="2" s="1"/>
  <c r="C450" i="2"/>
  <c r="D450" i="2" s="1"/>
  <c r="C451" i="2"/>
  <c r="D451" i="2" s="1"/>
  <c r="C452" i="2"/>
  <c r="D452" i="2" s="1"/>
  <c r="C453" i="2"/>
  <c r="D453" i="2" s="1"/>
  <c r="C454" i="2"/>
  <c r="D454" i="2" s="1"/>
  <c r="C455" i="2"/>
  <c r="D455" i="2" s="1"/>
  <c r="C456" i="2"/>
  <c r="D456" i="2" s="1"/>
  <c r="C457" i="2"/>
  <c r="D457" i="2" s="1"/>
  <c r="C458" i="2"/>
  <c r="D458" i="2" s="1"/>
  <c r="C459" i="2"/>
  <c r="D459" i="2" s="1"/>
  <c r="C460" i="2"/>
  <c r="D460" i="2" s="1"/>
  <c r="C461" i="2"/>
  <c r="D461" i="2" s="1"/>
  <c r="C462" i="2"/>
  <c r="D462" i="2" s="1"/>
  <c r="C463" i="2"/>
  <c r="D463" i="2" s="1"/>
  <c r="C464" i="2"/>
  <c r="D464" i="2" s="1"/>
  <c r="C465" i="2"/>
  <c r="D465" i="2" s="1"/>
  <c r="C466" i="2"/>
  <c r="D466" i="2" s="1"/>
  <c r="C467" i="2"/>
  <c r="D467" i="2" s="1"/>
  <c r="C468" i="2"/>
  <c r="D468" i="2" s="1"/>
  <c r="C469" i="2"/>
  <c r="D469" i="2" s="1"/>
  <c r="C470" i="2"/>
  <c r="D470" i="2" s="1"/>
  <c r="C471" i="2"/>
  <c r="D471" i="2" s="1"/>
  <c r="C472" i="2"/>
  <c r="D472" i="2" s="1"/>
  <c r="C473" i="2"/>
  <c r="D473" i="2" s="1"/>
  <c r="C474" i="2"/>
  <c r="D474" i="2" s="1"/>
  <c r="C475" i="2"/>
  <c r="D475" i="2" s="1"/>
  <c r="C476" i="2"/>
  <c r="D476" i="2" s="1"/>
  <c r="C477" i="2"/>
  <c r="D477" i="2" s="1"/>
  <c r="C478" i="2"/>
  <c r="D478" i="2" s="1"/>
  <c r="C479" i="2"/>
  <c r="D479" i="2" s="1"/>
  <c r="C480" i="2"/>
  <c r="D480" i="2" s="1"/>
  <c r="C481" i="2"/>
  <c r="D481" i="2" s="1"/>
  <c r="C482" i="2"/>
  <c r="D482" i="2" s="1"/>
  <c r="C483" i="2"/>
  <c r="D483" i="2" s="1"/>
  <c r="C484" i="2"/>
  <c r="D484" i="2" s="1"/>
  <c r="C485" i="2"/>
  <c r="D485" i="2" s="1"/>
  <c r="C486" i="2"/>
  <c r="D486" i="2" s="1"/>
  <c r="C487" i="2"/>
  <c r="D487" i="2" s="1"/>
  <c r="C488" i="2"/>
  <c r="D488" i="2" s="1"/>
  <c r="C489" i="2"/>
  <c r="D489" i="2" s="1"/>
  <c r="C490" i="2"/>
  <c r="D490" i="2" s="1"/>
  <c r="C491" i="2"/>
  <c r="D491" i="2" s="1"/>
  <c r="C492" i="2"/>
  <c r="D492" i="2" s="1"/>
  <c r="C493" i="2"/>
  <c r="D493" i="2" s="1"/>
  <c r="C494" i="2"/>
  <c r="D494" i="2" s="1"/>
  <c r="C495" i="2"/>
  <c r="D495" i="2" s="1"/>
  <c r="C496" i="2"/>
  <c r="D496" i="2" s="1"/>
  <c r="C497" i="2"/>
  <c r="D497" i="2" s="1"/>
  <c r="C498" i="2"/>
  <c r="D498" i="2" s="1"/>
  <c r="C499" i="2"/>
  <c r="D499" i="2" s="1"/>
  <c r="C500" i="2"/>
  <c r="D500" i="2" s="1"/>
  <c r="C501" i="2"/>
  <c r="D501" i="2" s="1"/>
  <c r="C502" i="2"/>
  <c r="D502" i="2" s="1"/>
  <c r="C503" i="2"/>
  <c r="D503" i="2" s="1"/>
  <c r="C504" i="2"/>
  <c r="D504" i="2" s="1"/>
  <c r="C505" i="2"/>
  <c r="D505" i="2" s="1"/>
  <c r="C506" i="2"/>
  <c r="D506" i="2" s="1"/>
  <c r="C507" i="2"/>
  <c r="D507" i="2" s="1"/>
  <c r="C508" i="2"/>
  <c r="D508" i="2" s="1"/>
  <c r="C509" i="2"/>
  <c r="D509" i="2" s="1"/>
  <c r="C510" i="2"/>
  <c r="D510" i="2" s="1"/>
  <c r="C511" i="2"/>
  <c r="D511" i="2" s="1"/>
  <c r="C512" i="2"/>
  <c r="D512" i="2" s="1"/>
  <c r="C513" i="2"/>
  <c r="D513" i="2" s="1"/>
  <c r="C514" i="2"/>
  <c r="D514" i="2" s="1"/>
  <c r="C515" i="2"/>
  <c r="D515" i="2" s="1"/>
  <c r="C516" i="2"/>
  <c r="D516" i="2" s="1"/>
  <c r="C517" i="2"/>
  <c r="D517" i="2" s="1"/>
  <c r="C518" i="2"/>
  <c r="D518" i="2" s="1"/>
  <c r="C519" i="2"/>
  <c r="D519" i="2" s="1"/>
  <c r="C520" i="2"/>
  <c r="D520" i="2" s="1"/>
  <c r="C521" i="2"/>
  <c r="D521" i="2" s="1"/>
  <c r="C522" i="2"/>
  <c r="D522" i="2" s="1"/>
  <c r="C523" i="2"/>
  <c r="D523" i="2" s="1"/>
  <c r="C524" i="2"/>
  <c r="D524" i="2" s="1"/>
  <c r="C525" i="2"/>
  <c r="D525" i="2" s="1"/>
  <c r="C526" i="2"/>
  <c r="D526" i="2" s="1"/>
  <c r="C527" i="2"/>
  <c r="D527" i="2" s="1"/>
  <c r="C528" i="2"/>
  <c r="D528" i="2" s="1"/>
  <c r="C529" i="2"/>
  <c r="D529" i="2" s="1"/>
  <c r="C530" i="2"/>
  <c r="D530" i="2" s="1"/>
  <c r="C531" i="2"/>
  <c r="D531" i="2" s="1"/>
  <c r="C532" i="2"/>
  <c r="D532" i="2" s="1"/>
  <c r="C533" i="2"/>
  <c r="D533" i="2" s="1"/>
  <c r="C534" i="2"/>
  <c r="D534" i="2" s="1"/>
  <c r="C535" i="2"/>
  <c r="D535" i="2" s="1"/>
  <c r="C536" i="2"/>
  <c r="D536" i="2" s="1"/>
  <c r="C537" i="2"/>
  <c r="D537" i="2" s="1"/>
  <c r="C538" i="2"/>
  <c r="D538" i="2" s="1"/>
  <c r="C539" i="2"/>
  <c r="D539" i="2" s="1"/>
  <c r="C540" i="2"/>
  <c r="D540" i="2" s="1"/>
  <c r="C541" i="2"/>
  <c r="D541" i="2" s="1"/>
  <c r="C542" i="2"/>
  <c r="D542" i="2" s="1"/>
  <c r="C543" i="2"/>
  <c r="D543" i="2" s="1"/>
  <c r="C544" i="2"/>
  <c r="D544" i="2" s="1"/>
  <c r="C545" i="2"/>
  <c r="D545" i="2" s="1"/>
  <c r="C546" i="2"/>
  <c r="D546" i="2" s="1"/>
  <c r="C547" i="2"/>
  <c r="D547" i="2" s="1"/>
  <c r="C548" i="2"/>
  <c r="D548" i="2" s="1"/>
  <c r="C549" i="2"/>
  <c r="D549" i="2" s="1"/>
  <c r="C550" i="2"/>
  <c r="D550" i="2" s="1"/>
  <c r="C551" i="2"/>
  <c r="D551" i="2" s="1"/>
  <c r="C552" i="2"/>
  <c r="D552" i="2" s="1"/>
  <c r="C553" i="2"/>
  <c r="D553" i="2" s="1"/>
  <c r="C554" i="2"/>
  <c r="D554" i="2" s="1"/>
  <c r="C555" i="2"/>
  <c r="D555" i="2" s="1"/>
  <c r="C556" i="2"/>
  <c r="D556" i="2" s="1"/>
  <c r="C557" i="2"/>
  <c r="D557" i="2" s="1"/>
  <c r="C558" i="2"/>
  <c r="D558" i="2" s="1"/>
  <c r="C559" i="2"/>
  <c r="D559" i="2" s="1"/>
  <c r="C560" i="2"/>
  <c r="D560" i="2" s="1"/>
  <c r="C561" i="2"/>
  <c r="D561" i="2" s="1"/>
  <c r="C562" i="2"/>
  <c r="D562" i="2" s="1"/>
  <c r="C563" i="2"/>
  <c r="D563" i="2" s="1"/>
  <c r="C564" i="2"/>
  <c r="D564" i="2" s="1"/>
  <c r="C565" i="2"/>
  <c r="D565" i="2" s="1"/>
  <c r="C566" i="2"/>
  <c r="D566" i="2" s="1"/>
  <c r="C567" i="2"/>
  <c r="D567" i="2" s="1"/>
  <c r="C568" i="2"/>
  <c r="D568" i="2" s="1"/>
  <c r="C569" i="2"/>
  <c r="D569" i="2" s="1"/>
  <c r="C570" i="2"/>
  <c r="D570" i="2" s="1"/>
  <c r="C571" i="2"/>
  <c r="D571" i="2" s="1"/>
  <c r="C572" i="2"/>
  <c r="D572" i="2" s="1"/>
  <c r="C573" i="2"/>
  <c r="D573" i="2" s="1"/>
  <c r="C574" i="2"/>
  <c r="D574" i="2" s="1"/>
  <c r="C575" i="2"/>
  <c r="D575" i="2" s="1"/>
  <c r="C576" i="2"/>
  <c r="D576" i="2" s="1"/>
  <c r="C577" i="2"/>
  <c r="D577" i="2" s="1"/>
  <c r="C578" i="2"/>
  <c r="D578" i="2" s="1"/>
  <c r="C579" i="2"/>
  <c r="D579" i="2" s="1"/>
  <c r="C580" i="2"/>
  <c r="D580" i="2" s="1"/>
  <c r="C581" i="2"/>
  <c r="D581" i="2" s="1"/>
  <c r="C582" i="2"/>
  <c r="D582" i="2" s="1"/>
  <c r="C583" i="2"/>
  <c r="D583" i="2" s="1"/>
  <c r="C584" i="2"/>
  <c r="D584" i="2" s="1"/>
  <c r="C585" i="2"/>
  <c r="D585" i="2" s="1"/>
  <c r="C586" i="2"/>
  <c r="D586" i="2" s="1"/>
  <c r="C587" i="2"/>
  <c r="D587" i="2" s="1"/>
  <c r="C588" i="2"/>
  <c r="D588" i="2" s="1"/>
  <c r="C589" i="2"/>
  <c r="D589" i="2" s="1"/>
  <c r="C590" i="2"/>
  <c r="D590" i="2" s="1"/>
  <c r="C591" i="2"/>
  <c r="D591" i="2" s="1"/>
  <c r="C592" i="2"/>
  <c r="D592" i="2" s="1"/>
  <c r="C593" i="2"/>
  <c r="D593" i="2" s="1"/>
  <c r="C594" i="2"/>
  <c r="D594" i="2" s="1"/>
  <c r="C595" i="2"/>
  <c r="D595" i="2" s="1"/>
  <c r="C596" i="2"/>
  <c r="D596" i="2" s="1"/>
  <c r="C597" i="2"/>
  <c r="D597" i="2" s="1"/>
  <c r="C598" i="2"/>
  <c r="D598" i="2" s="1"/>
  <c r="C599" i="2"/>
  <c r="D599" i="2" s="1"/>
  <c r="C600" i="2"/>
  <c r="D600" i="2" s="1"/>
  <c r="C601" i="2"/>
  <c r="D601" i="2" s="1"/>
  <c r="C602" i="2"/>
  <c r="D602" i="2" s="1"/>
  <c r="C603" i="2"/>
  <c r="D603" i="2" s="1"/>
  <c r="C604" i="2"/>
  <c r="D604" i="2" s="1"/>
  <c r="C605" i="2"/>
  <c r="D605" i="2" s="1"/>
  <c r="C606" i="2"/>
  <c r="D606" i="2" s="1"/>
  <c r="C607" i="2"/>
  <c r="D607" i="2" s="1"/>
  <c r="C608" i="2"/>
  <c r="D608" i="2" s="1"/>
  <c r="C609" i="2"/>
  <c r="D609" i="2" s="1"/>
  <c r="C610" i="2"/>
  <c r="D610" i="2" s="1"/>
  <c r="C611" i="2"/>
  <c r="D611" i="2" s="1"/>
  <c r="C612" i="2"/>
  <c r="D612" i="2" s="1"/>
  <c r="C613" i="2"/>
  <c r="D613" i="2" s="1"/>
  <c r="C614" i="2"/>
  <c r="D614" i="2" s="1"/>
  <c r="C615" i="2"/>
  <c r="D615" i="2" s="1"/>
  <c r="C616" i="2"/>
  <c r="D616" i="2" s="1"/>
  <c r="C617" i="2"/>
  <c r="D617" i="2" s="1"/>
  <c r="C618" i="2"/>
  <c r="D618" i="2" s="1"/>
  <c r="C619" i="2"/>
  <c r="D619" i="2" s="1"/>
  <c r="C620" i="2"/>
  <c r="D620" i="2" s="1"/>
  <c r="C621" i="2"/>
  <c r="D621" i="2" s="1"/>
  <c r="C622" i="2"/>
  <c r="D622" i="2" s="1"/>
  <c r="C623" i="2"/>
  <c r="D623" i="2" s="1"/>
  <c r="C624" i="2"/>
  <c r="D624" i="2" s="1"/>
  <c r="C625" i="2"/>
  <c r="D625" i="2" s="1"/>
  <c r="C626" i="2"/>
  <c r="D626" i="2" s="1"/>
  <c r="C627" i="2"/>
  <c r="D627" i="2" s="1"/>
  <c r="C628" i="2"/>
  <c r="D628" i="2" s="1"/>
  <c r="C629" i="2"/>
  <c r="D629" i="2" s="1"/>
  <c r="C630" i="2"/>
  <c r="D630" i="2" s="1"/>
  <c r="C631" i="2"/>
  <c r="D631" i="2" s="1"/>
  <c r="C632" i="2"/>
  <c r="D632" i="2" s="1"/>
  <c r="T457" i="2"/>
  <c r="T410" i="2"/>
  <c r="T386" i="2"/>
  <c r="T238" i="2"/>
  <c r="T169" i="2"/>
  <c r="T144" i="2"/>
  <c r="T97" i="2"/>
  <c r="T93" i="2"/>
  <c r="T59" i="2"/>
  <c r="T48" i="2"/>
  <c r="D2" i="2" l="1"/>
  <c r="D181" i="3"/>
  <c r="H92" i="3" s="1"/>
  <c r="D180" i="3"/>
  <c r="H56" i="3" s="1"/>
  <c r="D179" i="3"/>
  <c r="H137" i="3" s="1"/>
  <c r="D178" i="3"/>
  <c r="H69" i="3" s="1"/>
  <c r="D177" i="3"/>
  <c r="H136" i="3" s="1"/>
  <c r="D176" i="3"/>
  <c r="H135" i="3" s="1"/>
  <c r="D175" i="3"/>
  <c r="H134" i="3" s="1"/>
  <c r="D174" i="3"/>
  <c r="H133" i="3" s="1"/>
  <c r="D173" i="3"/>
  <c r="H132" i="3" s="1"/>
  <c r="D172" i="3"/>
  <c r="H131" i="3" s="1"/>
  <c r="D171" i="3"/>
  <c r="H130" i="3" s="1"/>
  <c r="D170" i="3"/>
  <c r="H158" i="3" s="1"/>
  <c r="D169" i="3"/>
  <c r="H129" i="3" s="1"/>
  <c r="D168" i="3"/>
  <c r="H128" i="3" s="1"/>
  <c r="D167" i="3"/>
  <c r="H127" i="3" s="1"/>
  <c r="D166" i="3"/>
  <c r="H76" i="3" s="1"/>
  <c r="D165" i="3"/>
  <c r="H157" i="3" s="1"/>
  <c r="D164" i="3"/>
  <c r="H126" i="3" s="1"/>
  <c r="D163" i="3"/>
  <c r="H125" i="3" s="1"/>
  <c r="D162" i="3"/>
  <c r="H160" i="3" s="1"/>
  <c r="D161" i="3"/>
  <c r="H124" i="3" s="1"/>
  <c r="D160" i="3"/>
  <c r="H156" i="3" s="1"/>
  <c r="D159" i="3"/>
  <c r="H104" i="3" s="1"/>
  <c r="D158" i="3"/>
  <c r="H68" i="3" s="1"/>
  <c r="D157" i="3"/>
  <c r="H103" i="3" s="1"/>
  <c r="D156" i="3"/>
  <c r="H58" i="3" s="1"/>
  <c r="D155" i="3"/>
  <c r="H60" i="3" s="1"/>
  <c r="D154" i="3"/>
  <c r="H102" i="3" s="1"/>
  <c r="D153" i="3"/>
  <c r="H101" i="3" s="1"/>
  <c r="D152" i="3"/>
  <c r="H100" i="3" s="1"/>
  <c r="D151" i="3"/>
  <c r="H98" i="3" s="1"/>
  <c r="D150" i="3"/>
  <c r="H97" i="3" s="1"/>
  <c r="D149" i="3"/>
  <c r="H155" i="3" s="1"/>
  <c r="D148" i="3"/>
  <c r="H96" i="3" s="1"/>
  <c r="D147" i="3"/>
  <c r="H154" i="3" s="1"/>
  <c r="D146" i="3"/>
  <c r="H95" i="3" s="1"/>
  <c r="D145" i="3"/>
  <c r="H144" i="3" s="1"/>
  <c r="D144" i="3"/>
  <c r="H94" i="3" s="1"/>
  <c r="D143" i="3"/>
  <c r="H153" i="3" s="1"/>
  <c r="D142" i="3"/>
  <c r="H93" i="3" s="1"/>
  <c r="D141" i="3"/>
  <c r="H91" i="3" s="1"/>
  <c r="D140" i="3"/>
  <c r="H90" i="3" s="1"/>
  <c r="D139" i="3"/>
  <c r="H89" i="3" s="1"/>
  <c r="D138" i="3"/>
  <c r="H61" i="3" s="1"/>
  <c r="D137" i="3"/>
  <c r="H57" i="3" s="1"/>
  <c r="D136" i="3"/>
  <c r="H83" i="3" s="1"/>
  <c r="D135" i="3"/>
  <c r="H143" i="3" s="1"/>
  <c r="D134" i="3"/>
  <c r="H88" i="3" s="1"/>
  <c r="D133" i="3"/>
  <c r="H86" i="3" s="1"/>
  <c r="D132" i="3"/>
  <c r="H59" i="3" s="1"/>
  <c r="D131" i="3"/>
  <c r="H115" i="3" s="1"/>
  <c r="D130" i="3"/>
  <c r="H114" i="3" s="1"/>
  <c r="D129" i="3"/>
  <c r="H113" i="3" s="1"/>
  <c r="D128" i="3"/>
  <c r="H138" i="3" s="1"/>
  <c r="D127" i="3"/>
  <c r="H112" i="3" s="1"/>
  <c r="D126" i="3"/>
  <c r="H110" i="3" s="1"/>
  <c r="D125" i="3"/>
  <c r="H109" i="3" s="1"/>
  <c r="D124" i="3"/>
  <c r="H108" i="3" s="1"/>
  <c r="D123" i="3"/>
  <c r="H176" i="3" s="1"/>
  <c r="D122" i="3"/>
  <c r="H106" i="3" s="1"/>
  <c r="D121" i="3"/>
  <c r="H105" i="3" s="1"/>
  <c r="D120" i="3"/>
  <c r="H85" i="3" s="1"/>
  <c r="D119" i="3"/>
  <c r="H84" i="3" s="1"/>
  <c r="D118" i="3"/>
  <c r="H177" i="3" s="1"/>
  <c r="D117" i="3"/>
  <c r="H175" i="3" s="1"/>
  <c r="D116" i="3"/>
  <c r="H174" i="3" s="1"/>
  <c r="D115" i="3"/>
  <c r="H82" i="3" s="1"/>
  <c r="D114" i="3"/>
  <c r="H173" i="3" s="1"/>
  <c r="D113" i="3"/>
  <c r="H81" i="3" s="1"/>
  <c r="D112" i="3"/>
  <c r="H107" i="3" s="1"/>
  <c r="D111" i="3"/>
  <c r="H123" i="3" s="1"/>
  <c r="D110" i="3"/>
  <c r="H172" i="3" s="1"/>
  <c r="D109" i="3"/>
  <c r="H122" i="3" s="1"/>
  <c r="D108" i="3"/>
  <c r="H120" i="3" s="1"/>
  <c r="D107" i="3"/>
  <c r="H171" i="3" s="1"/>
  <c r="D106" i="3"/>
  <c r="H181" i="3" s="1"/>
  <c r="D105" i="3"/>
  <c r="H119" i="3" s="1"/>
  <c r="D104" i="3"/>
  <c r="H118" i="3" s="1"/>
  <c r="D103" i="3"/>
  <c r="H117" i="3" s="1"/>
  <c r="D102" i="3"/>
  <c r="H152" i="3" s="1"/>
  <c r="D101" i="3"/>
  <c r="H67" i="3" s="1"/>
  <c r="D100" i="3"/>
  <c r="H63" i="3" s="1"/>
  <c r="D99" i="3"/>
  <c r="H64" i="3" s="1"/>
  <c r="D98" i="3"/>
  <c r="H140" i="3" s="1"/>
  <c r="D97" i="3"/>
  <c r="H151" i="3" s="1"/>
  <c r="D96" i="3"/>
  <c r="H142" i="3" s="1"/>
  <c r="D95" i="3"/>
  <c r="H139" i="3" s="1"/>
  <c r="D94" i="3"/>
  <c r="H10" i="3" s="1"/>
  <c r="D93" i="3"/>
  <c r="H66" i="3" s="1"/>
  <c r="D92" i="3"/>
  <c r="H9" i="3" s="1"/>
  <c r="D91" i="3"/>
  <c r="H8" i="3" s="1"/>
  <c r="D90" i="3"/>
  <c r="H150" i="3" s="1"/>
  <c r="D89" i="3"/>
  <c r="H65" i="3" s="1"/>
  <c r="D88" i="3"/>
  <c r="H7" i="3" s="1"/>
  <c r="D87" i="3"/>
  <c r="H6" i="3" s="1"/>
  <c r="D86" i="3"/>
  <c r="H62" i="3" s="1"/>
  <c r="D85" i="3"/>
  <c r="H5" i="3" s="1"/>
  <c r="D84" i="3"/>
  <c r="H4" i="3" s="1"/>
  <c r="D83" i="3"/>
  <c r="H179" i="3" s="1"/>
  <c r="D82" i="3"/>
  <c r="H3" i="3" s="1"/>
  <c r="D81" i="3"/>
  <c r="H2" i="3" s="1"/>
  <c r="D80" i="3"/>
  <c r="H55" i="3" s="1"/>
  <c r="D79" i="3"/>
  <c r="H54" i="3" s="1"/>
  <c r="D78" i="3"/>
  <c r="H53" i="3" s="1"/>
  <c r="D77" i="3"/>
  <c r="H52" i="3" s="1"/>
  <c r="D76" i="3"/>
  <c r="H184" i="3" s="1"/>
  <c r="D75" i="3"/>
  <c r="H51" i="3" s="1"/>
  <c r="D74" i="3"/>
  <c r="H149" i="3" s="1"/>
  <c r="D73" i="3"/>
  <c r="H50" i="3" s="1"/>
  <c r="D72" i="3"/>
  <c r="H49" i="3" s="1"/>
  <c r="D71" i="3"/>
  <c r="H148" i="3" s="1"/>
  <c r="D70" i="3"/>
  <c r="H48" i="3" s="1"/>
  <c r="D69" i="3"/>
  <c r="H47" i="3" s="1"/>
  <c r="D68" i="3"/>
  <c r="H147" i="3" s="1"/>
  <c r="D67" i="3"/>
  <c r="H46" i="3" s="1"/>
  <c r="D66" i="3"/>
  <c r="H45" i="3" s="1"/>
  <c r="D65" i="3"/>
  <c r="H44" i="3" s="1"/>
  <c r="D64" i="3"/>
  <c r="H182" i="3" s="1"/>
  <c r="D63" i="3"/>
  <c r="H79" i="3" s="1"/>
  <c r="D62" i="3"/>
  <c r="H78" i="3" s="1"/>
  <c r="D61" i="3"/>
  <c r="H77" i="3" s="1"/>
  <c r="D60" i="3"/>
  <c r="H121" i="3" s="1"/>
  <c r="D59" i="3"/>
  <c r="H75" i="3" s="1"/>
  <c r="D58" i="3"/>
  <c r="H74" i="3" s="1"/>
  <c r="D57" i="3"/>
  <c r="H73" i="3" s="1"/>
  <c r="D56" i="3"/>
  <c r="H72" i="3" s="1"/>
  <c r="D55" i="3"/>
  <c r="H71" i="3" s="1"/>
  <c r="D54" i="3"/>
  <c r="H146" i="3" s="1"/>
  <c r="D53" i="3"/>
  <c r="H70" i="3" s="1"/>
  <c r="D52" i="3"/>
  <c r="H20" i="3" s="1"/>
  <c r="D51" i="3"/>
  <c r="H145" i="3" s="1"/>
  <c r="D50" i="3"/>
  <c r="H19" i="3" s="1"/>
  <c r="D49" i="3"/>
  <c r="H18" i="3" s="1"/>
  <c r="D48" i="3"/>
  <c r="H178" i="3" s="1"/>
  <c r="D47" i="3"/>
  <c r="H17" i="3" s="1"/>
  <c r="D46" i="3"/>
  <c r="H16" i="3" s="1"/>
  <c r="D45" i="3"/>
  <c r="H15" i="3" s="1"/>
  <c r="D44" i="3"/>
  <c r="H14" i="3" s="1"/>
  <c r="D43" i="3"/>
  <c r="H13" i="3" s="1"/>
  <c r="D42" i="3"/>
  <c r="H12" i="3" s="1"/>
  <c r="D41" i="3"/>
  <c r="H11" i="3" s="1"/>
  <c r="D40" i="3"/>
  <c r="H31" i="3" s="1"/>
  <c r="D39" i="3"/>
  <c r="H99" i="3" s="1"/>
  <c r="D38" i="3"/>
  <c r="H30" i="3" s="1"/>
  <c r="D37" i="3"/>
  <c r="H170" i="3" s="1"/>
  <c r="D36" i="3"/>
  <c r="H29" i="3" s="1"/>
  <c r="D35" i="3"/>
  <c r="H28" i="3" s="1"/>
  <c r="D34" i="3"/>
  <c r="H27" i="3" s="1"/>
  <c r="D33" i="3"/>
  <c r="H80" i="3" s="1"/>
  <c r="D32" i="3"/>
  <c r="H26" i="3" s="1"/>
  <c r="D31" i="3"/>
  <c r="H169" i="3" s="1"/>
  <c r="D30" i="3"/>
  <c r="H159" i="3" s="1"/>
  <c r="D29" i="3"/>
  <c r="H37" i="3" s="1"/>
  <c r="D28" i="3"/>
  <c r="H36" i="3" s="1"/>
  <c r="D27" i="3"/>
  <c r="H35" i="3" s="1"/>
  <c r="D26" i="3"/>
  <c r="H168" i="3" s="1"/>
  <c r="D25" i="3"/>
  <c r="H34" i="3" s="1"/>
  <c r="D24" i="3"/>
  <c r="H183" i="3" s="1"/>
  <c r="D23" i="3"/>
  <c r="H180" i="3" s="1"/>
  <c r="D22" i="3"/>
  <c r="H33" i="3" s="1"/>
  <c r="D21" i="3"/>
  <c r="H32" i="3" s="1"/>
  <c r="D20" i="3"/>
  <c r="H25" i="3" s="1"/>
  <c r="D19" i="3"/>
  <c r="H167" i="3" s="1"/>
  <c r="D18" i="3"/>
  <c r="H24" i="3" s="1"/>
  <c r="D17" i="3"/>
  <c r="H166" i="3" s="1"/>
  <c r="D16" i="3"/>
  <c r="H165" i="3" s="1"/>
  <c r="D15" i="3"/>
  <c r="H23" i="3" s="1"/>
  <c r="D14" i="3"/>
  <c r="H22" i="3" s="1"/>
  <c r="D13" i="3"/>
  <c r="H21" i="3" s="1"/>
  <c r="D12" i="3"/>
  <c r="H164" i="3" s="1"/>
  <c r="D11" i="3"/>
  <c r="H43" i="3" s="1"/>
  <c r="D10" i="3"/>
  <c r="H42" i="3" s="1"/>
  <c r="D9" i="3"/>
  <c r="H41" i="3" s="1"/>
  <c r="D8" i="3"/>
  <c r="H40" i="3" s="1"/>
  <c r="D7" i="3"/>
  <c r="H39" i="3" s="1"/>
  <c r="D6" i="3"/>
  <c r="H163" i="3" s="1"/>
  <c r="D5" i="3"/>
  <c r="H162" i="3" s="1"/>
  <c r="D4" i="3"/>
  <c r="H38" i="3" s="1"/>
  <c r="D3" i="3"/>
  <c r="H161" i="3" s="1"/>
  <c r="D2" i="3"/>
  <c r="H111" i="3" s="1"/>
  <c r="D633" i="2"/>
  <c r="D634" i="2"/>
  <c r="D585" i="1"/>
  <c r="D597" i="1"/>
  <c r="D609" i="1"/>
  <c r="D621" i="1"/>
  <c r="D645" i="1"/>
  <c r="D633" i="1"/>
  <c r="D573" i="1"/>
  <c r="D616" i="1"/>
  <c r="D640" i="1"/>
  <c r="D628" i="1"/>
  <c r="D646" i="1"/>
  <c r="D634" i="1"/>
  <c r="D622" i="1"/>
  <c r="D610" i="1"/>
  <c r="D598" i="1"/>
  <c r="D586" i="1"/>
  <c r="D574" i="1"/>
  <c r="D562" i="1"/>
  <c r="D550" i="1"/>
  <c r="D538" i="1"/>
  <c r="D526" i="1"/>
  <c r="D514" i="1"/>
  <c r="D502" i="1"/>
  <c r="D490" i="1"/>
  <c r="D478" i="1"/>
  <c r="D466" i="1"/>
  <c r="D454" i="1"/>
  <c r="D442" i="1"/>
  <c r="D430" i="1"/>
  <c r="D418" i="1"/>
  <c r="D406" i="1"/>
  <c r="D394" i="1"/>
  <c r="D382" i="1"/>
  <c r="D370" i="1"/>
  <c r="D358" i="1"/>
  <c r="D346" i="1"/>
  <c r="D334" i="1"/>
  <c r="D322" i="1"/>
  <c r="D310" i="1"/>
  <c r="D298" i="1"/>
  <c r="D286" i="1"/>
  <c r="D274" i="1"/>
  <c r="D262" i="1"/>
  <c r="D250" i="1"/>
  <c r="D238" i="1"/>
  <c r="D226" i="1"/>
  <c r="D214" i="1"/>
  <c r="D202" i="1"/>
  <c r="D190" i="1"/>
  <c r="D178" i="1"/>
  <c r="D166" i="1"/>
  <c r="D154" i="1"/>
  <c r="D142" i="1"/>
  <c r="D130" i="1"/>
  <c r="D118" i="1"/>
  <c r="D106" i="1"/>
  <c r="D94" i="1"/>
  <c r="D82" i="1"/>
  <c r="D70" i="1"/>
  <c r="D58" i="1"/>
  <c r="D46" i="1"/>
  <c r="D34" i="1"/>
  <c r="D22" i="1"/>
  <c r="D10" i="1"/>
  <c r="D561" i="1"/>
  <c r="D549" i="1"/>
  <c r="D537" i="1"/>
  <c r="D525" i="1"/>
  <c r="D513" i="1"/>
  <c r="D501" i="1"/>
  <c r="D489" i="1"/>
  <c r="D477" i="1"/>
  <c r="D465" i="1"/>
  <c r="D453" i="1"/>
  <c r="D441" i="1"/>
  <c r="D429" i="1"/>
  <c r="D417" i="1"/>
  <c r="D405" i="1"/>
  <c r="D393" i="1"/>
  <c r="D381" i="1"/>
  <c r="D369" i="1"/>
  <c r="D357" i="1"/>
  <c r="D345" i="1"/>
  <c r="D333" i="1"/>
  <c r="D321" i="1"/>
  <c r="D309" i="1"/>
  <c r="D297" i="1"/>
  <c r="D285" i="1"/>
  <c r="D273" i="1"/>
  <c r="D261" i="1"/>
  <c r="D249" i="1"/>
  <c r="D237" i="1"/>
  <c r="D225" i="1"/>
  <c r="D213" i="1"/>
  <c r="D201" i="1"/>
  <c r="D189" i="1"/>
  <c r="D177" i="1"/>
  <c r="D165" i="1"/>
  <c r="D153" i="1"/>
  <c r="D141" i="1"/>
  <c r="D129" i="1"/>
  <c r="D117" i="1"/>
  <c r="D105" i="1"/>
  <c r="D93" i="1"/>
  <c r="D81" i="1"/>
  <c r="D69" i="1"/>
  <c r="D57" i="1"/>
  <c r="D45" i="1"/>
  <c r="D33" i="1"/>
  <c r="D21" i="1"/>
  <c r="D9" i="1"/>
  <c r="D644" i="1"/>
  <c r="D632" i="1"/>
  <c r="D620" i="1"/>
  <c r="D608" i="1"/>
  <c r="D596" i="1"/>
  <c r="D584" i="1"/>
  <c r="D572" i="1"/>
  <c r="D560" i="1"/>
  <c r="D548" i="1"/>
  <c r="D536" i="1"/>
  <c r="D524" i="1"/>
  <c r="D512" i="1"/>
  <c r="D500" i="1"/>
  <c r="D488" i="1"/>
  <c r="D476" i="1"/>
  <c r="D464" i="1"/>
  <c r="D452" i="1"/>
  <c r="D440" i="1"/>
  <c r="D428" i="1"/>
  <c r="D416" i="1"/>
  <c r="D404" i="1"/>
  <c r="D392" i="1"/>
  <c r="D380" i="1"/>
  <c r="D368" i="1"/>
  <c r="D356" i="1"/>
  <c r="D344" i="1"/>
  <c r="D332" i="1"/>
  <c r="D320" i="1"/>
  <c r="D308" i="1"/>
  <c r="D296" i="1"/>
  <c r="D284" i="1"/>
  <c r="D272" i="1"/>
  <c r="D260" i="1"/>
  <c r="D248" i="1"/>
  <c r="D236" i="1"/>
  <c r="D224" i="1"/>
  <c r="D212" i="1"/>
  <c r="D200" i="1"/>
  <c r="D188" i="1"/>
  <c r="D176" i="1"/>
  <c r="D164" i="1"/>
  <c r="D152" i="1"/>
  <c r="D140" i="1"/>
  <c r="D128" i="1"/>
  <c r="D116" i="1"/>
  <c r="D104" i="1"/>
  <c r="D92" i="1"/>
  <c r="D80" i="1"/>
  <c r="D68" i="1"/>
  <c r="D56" i="1"/>
  <c r="D44" i="1"/>
  <c r="D32" i="1"/>
  <c r="D20" i="1"/>
  <c r="D8" i="1"/>
  <c r="D643" i="1"/>
  <c r="D631" i="1"/>
  <c r="D619" i="1"/>
  <c r="D607" i="1"/>
  <c r="D595" i="1"/>
  <c r="D583" i="1"/>
  <c r="D571" i="1"/>
  <c r="D559" i="1"/>
  <c r="D547" i="1"/>
  <c r="D535" i="1"/>
  <c r="D523" i="1"/>
  <c r="D511" i="1"/>
  <c r="D499" i="1"/>
  <c r="D487" i="1"/>
  <c r="D475" i="1"/>
  <c r="D463" i="1"/>
  <c r="D451" i="1"/>
  <c r="D439" i="1"/>
  <c r="D427" i="1"/>
  <c r="D415" i="1"/>
  <c r="D403" i="1"/>
  <c r="D391" i="1"/>
  <c r="D379" i="1"/>
  <c r="D367" i="1"/>
  <c r="D355" i="1"/>
  <c r="D343" i="1"/>
  <c r="D331" i="1"/>
  <c r="D319" i="1"/>
  <c r="D307" i="1"/>
  <c r="D295" i="1"/>
  <c r="D283" i="1"/>
  <c r="D271" i="1"/>
  <c r="D259" i="1"/>
  <c r="D247" i="1"/>
  <c r="D235" i="1"/>
  <c r="D223" i="1"/>
  <c r="D211" i="1"/>
  <c r="D199" i="1"/>
  <c r="D187" i="1"/>
  <c r="D175" i="1"/>
  <c r="D163" i="1"/>
  <c r="D151" i="1"/>
  <c r="D139" i="1"/>
  <c r="D127" i="1"/>
  <c r="D115" i="1"/>
  <c r="D103" i="1"/>
  <c r="D91" i="1"/>
  <c r="D79" i="1"/>
  <c r="D67" i="1"/>
  <c r="D55" i="1"/>
  <c r="D43" i="1"/>
  <c r="D31" i="1"/>
  <c r="D19" i="1"/>
  <c r="D7" i="1"/>
  <c r="D642" i="1"/>
  <c r="D630" i="1"/>
  <c r="D618" i="1"/>
  <c r="D606" i="1"/>
  <c r="D594" i="1"/>
  <c r="D582" i="1"/>
  <c r="D570" i="1"/>
  <c r="D558" i="1"/>
  <c r="D546" i="1"/>
  <c r="D534" i="1"/>
  <c r="D522" i="1"/>
  <c r="D510" i="1"/>
  <c r="D498" i="1"/>
  <c r="D486" i="1"/>
  <c r="D474" i="1"/>
  <c r="D462" i="1"/>
  <c r="D450" i="1"/>
  <c r="D438" i="1"/>
  <c r="D426" i="1"/>
  <c r="D414" i="1"/>
  <c r="D402" i="1"/>
  <c r="D390" i="1"/>
  <c r="D378" i="1"/>
  <c r="D366" i="1"/>
  <c r="D354" i="1"/>
  <c r="D342" i="1"/>
  <c r="D330" i="1"/>
  <c r="D318" i="1"/>
  <c r="D306" i="1"/>
  <c r="D294" i="1"/>
  <c r="D282" i="1"/>
  <c r="D270" i="1"/>
  <c r="D258" i="1"/>
  <c r="D246" i="1"/>
  <c r="D234" i="1"/>
  <c r="D222" i="1"/>
  <c r="D210" i="1"/>
  <c r="D198" i="1"/>
  <c r="D186" i="1"/>
  <c r="D174" i="1"/>
  <c r="D162" i="1"/>
  <c r="D150" i="1"/>
  <c r="D138" i="1"/>
  <c r="D126" i="1"/>
  <c r="D114" i="1"/>
  <c r="D102" i="1"/>
  <c r="D90" i="1"/>
  <c r="D78" i="1"/>
  <c r="D66" i="1"/>
  <c r="D54" i="1"/>
  <c r="D42" i="1"/>
  <c r="D30" i="1"/>
  <c r="D18" i="1"/>
  <c r="D6" i="1"/>
  <c r="D641" i="1"/>
  <c r="D629" i="1"/>
  <c r="D617" i="1"/>
  <c r="D605" i="1"/>
  <c r="D593" i="1"/>
  <c r="D581" i="1"/>
  <c r="D569" i="1"/>
  <c r="D557" i="1"/>
  <c r="D545" i="1"/>
  <c r="D533" i="1"/>
  <c r="D521" i="1"/>
  <c r="D509" i="1"/>
  <c r="D497" i="1"/>
  <c r="D485" i="1"/>
  <c r="D473" i="1"/>
  <c r="D461" i="1"/>
  <c r="D449" i="1"/>
  <c r="D437" i="1"/>
  <c r="D425" i="1"/>
  <c r="D413" i="1"/>
  <c r="D401" i="1"/>
  <c r="D389" i="1"/>
  <c r="D377" i="1"/>
  <c r="D365" i="1"/>
  <c r="D353" i="1"/>
  <c r="D341" i="1"/>
  <c r="D329" i="1"/>
  <c r="D317" i="1"/>
  <c r="D305" i="1"/>
  <c r="D293" i="1"/>
  <c r="D281" i="1"/>
  <c r="D269" i="1"/>
  <c r="D257" i="1"/>
  <c r="D245" i="1"/>
  <c r="D233" i="1"/>
  <c r="D221" i="1"/>
  <c r="D209" i="1"/>
  <c r="D197" i="1"/>
  <c r="D185" i="1"/>
  <c r="D173" i="1"/>
  <c r="D161" i="1"/>
  <c r="D149" i="1"/>
  <c r="D137" i="1"/>
  <c r="D125" i="1"/>
  <c r="D113" i="1"/>
  <c r="D101" i="1"/>
  <c r="D89" i="1"/>
  <c r="D77" i="1"/>
  <c r="D65" i="1"/>
  <c r="D53" i="1"/>
  <c r="D41" i="1"/>
  <c r="D29" i="1"/>
  <c r="D17" i="1"/>
  <c r="D5" i="1"/>
  <c r="D604" i="1"/>
  <c r="D580" i="1"/>
  <c r="D556" i="1"/>
  <c r="D532" i="1"/>
  <c r="D496" i="1"/>
  <c r="D472" i="1"/>
  <c r="D448" i="1"/>
  <c r="D424" i="1"/>
  <c r="D388" i="1"/>
  <c r="D364" i="1"/>
  <c r="D340" i="1"/>
  <c r="D316" i="1"/>
  <c r="D280" i="1"/>
  <c r="D256" i="1"/>
  <c r="D232" i="1"/>
  <c r="D196" i="1"/>
  <c r="D172" i="1"/>
  <c r="D136" i="1"/>
  <c r="D112" i="1"/>
  <c r="D16" i="1"/>
  <c r="D639" i="1"/>
  <c r="D627" i="1"/>
  <c r="D615" i="1"/>
  <c r="D603" i="1"/>
  <c r="D591" i="1"/>
  <c r="D579" i="1"/>
  <c r="D567" i="1"/>
  <c r="D555" i="1"/>
  <c r="D543" i="1"/>
  <c r="D531" i="1"/>
  <c r="D519" i="1"/>
  <c r="D507" i="1"/>
  <c r="D495" i="1"/>
  <c r="D483" i="1"/>
  <c r="D471" i="1"/>
  <c r="D459" i="1"/>
  <c r="D447" i="1"/>
  <c r="D435" i="1"/>
  <c r="D423" i="1"/>
  <c r="D411" i="1"/>
  <c r="D399" i="1"/>
  <c r="D387" i="1"/>
  <c r="D375" i="1"/>
  <c r="D363" i="1"/>
  <c r="D351" i="1"/>
  <c r="D339" i="1"/>
  <c r="D327" i="1"/>
  <c r="D315" i="1"/>
  <c r="D303" i="1"/>
  <c r="D291" i="1"/>
  <c r="D279" i="1"/>
  <c r="D267" i="1"/>
  <c r="D255" i="1"/>
  <c r="D243" i="1"/>
  <c r="D231" i="1"/>
  <c r="D219" i="1"/>
  <c r="D207" i="1"/>
  <c r="D195" i="1"/>
  <c r="D183" i="1"/>
  <c r="D171" i="1"/>
  <c r="D159" i="1"/>
  <c r="D147" i="1"/>
  <c r="D135" i="1"/>
  <c r="D123" i="1"/>
  <c r="D111" i="1"/>
  <c r="D99" i="1"/>
  <c r="D87" i="1"/>
  <c r="D75" i="1"/>
  <c r="D63" i="1"/>
  <c r="D51" i="1"/>
  <c r="D39" i="1"/>
  <c r="D27" i="1"/>
  <c r="D15" i="1"/>
  <c r="D3" i="1"/>
  <c r="D592" i="1"/>
  <c r="D568" i="1"/>
  <c r="D544" i="1"/>
  <c r="D520" i="1"/>
  <c r="D508" i="1"/>
  <c r="D484" i="1"/>
  <c r="D460" i="1"/>
  <c r="D436" i="1"/>
  <c r="D412" i="1"/>
  <c r="D400" i="1"/>
  <c r="D376" i="1"/>
  <c r="D352" i="1"/>
  <c r="D328" i="1"/>
  <c r="D304" i="1"/>
  <c r="D292" i="1"/>
  <c r="D268" i="1"/>
  <c r="D244" i="1"/>
  <c r="D220" i="1"/>
  <c r="D208" i="1"/>
  <c r="D184" i="1"/>
  <c r="D160" i="1"/>
  <c r="D148" i="1"/>
  <c r="D124" i="1"/>
  <c r="D100" i="1"/>
  <c r="D88" i="1"/>
  <c r="D76" i="1"/>
  <c r="D64" i="1"/>
  <c r="D52" i="1"/>
  <c r="D40" i="1"/>
  <c r="D28" i="1"/>
  <c r="D4" i="1"/>
  <c r="D638" i="1"/>
  <c r="D626" i="1"/>
  <c r="D614" i="1"/>
  <c r="D602" i="1"/>
  <c r="D590" i="1"/>
  <c r="D578" i="1"/>
  <c r="D566" i="1"/>
  <c r="D554" i="1"/>
  <c r="D542" i="1"/>
  <c r="D530" i="1"/>
  <c r="D518" i="1"/>
  <c r="D506" i="1"/>
  <c r="D494" i="1"/>
  <c r="D482" i="1"/>
  <c r="D470" i="1"/>
  <c r="D458" i="1"/>
  <c r="D446" i="1"/>
  <c r="D434" i="1"/>
  <c r="D422" i="1"/>
  <c r="D410" i="1"/>
  <c r="D398" i="1"/>
  <c r="D386" i="1"/>
  <c r="D374" i="1"/>
  <c r="D362" i="1"/>
  <c r="D350" i="1"/>
  <c r="D338" i="1"/>
  <c r="D326" i="1"/>
  <c r="D314" i="1"/>
  <c r="D302" i="1"/>
  <c r="D290" i="1"/>
  <c r="D278" i="1"/>
  <c r="D266" i="1"/>
  <c r="D254" i="1"/>
  <c r="D242" i="1"/>
  <c r="D230" i="1"/>
  <c r="D218" i="1"/>
  <c r="D206" i="1"/>
  <c r="D194" i="1"/>
  <c r="D182" i="1"/>
  <c r="D170" i="1"/>
  <c r="D158" i="1"/>
  <c r="D146" i="1"/>
  <c r="D134" i="1"/>
  <c r="D122" i="1"/>
  <c r="D110" i="1"/>
  <c r="D98" i="1"/>
  <c r="D86" i="1"/>
  <c r="D74" i="1"/>
  <c r="D62" i="1"/>
  <c r="D50" i="1"/>
  <c r="D38" i="1"/>
  <c r="D26" i="1"/>
  <c r="D14" i="1"/>
  <c r="D2" i="1"/>
  <c r="D649" i="1"/>
  <c r="D637" i="1"/>
  <c r="D625" i="1"/>
  <c r="D613" i="1"/>
  <c r="D601" i="1"/>
  <c r="D589" i="1"/>
  <c r="D577" i="1"/>
  <c r="D565" i="1"/>
  <c r="D553" i="1"/>
  <c r="D541" i="1"/>
  <c r="D529" i="1"/>
  <c r="D505" i="1"/>
  <c r="D493" i="1"/>
  <c r="D481" i="1"/>
  <c r="D469" i="1"/>
  <c r="D457" i="1"/>
  <c r="D445" i="1"/>
  <c r="D433" i="1"/>
  <c r="D421" i="1"/>
  <c r="D409" i="1"/>
  <c r="D397" i="1"/>
  <c r="D385" i="1"/>
  <c r="D361" i="1"/>
  <c r="D349" i="1"/>
  <c r="D337" i="1"/>
  <c r="D325" i="1"/>
  <c r="D313" i="1"/>
  <c r="D301" i="1"/>
  <c r="D289" i="1"/>
  <c r="D277" i="1"/>
  <c r="D265" i="1"/>
  <c r="D253" i="1"/>
  <c r="D241" i="1"/>
  <c r="D217" i="1"/>
  <c r="D205" i="1"/>
  <c r="D193" i="1"/>
  <c r="D181" i="1"/>
  <c r="D169" i="1"/>
  <c r="D157" i="1"/>
  <c r="D145" i="1"/>
  <c r="D133" i="1"/>
  <c r="D121" i="1"/>
  <c r="D109" i="1"/>
  <c r="D97" i="1"/>
  <c r="D85" i="1"/>
  <c r="D73" i="1"/>
  <c r="D61" i="1"/>
  <c r="D49" i="1"/>
  <c r="D37" i="1"/>
  <c r="D25" i="1"/>
  <c r="D13" i="1"/>
  <c r="D517" i="1"/>
  <c r="D648" i="1"/>
  <c r="D636" i="1"/>
  <c r="D624" i="1"/>
  <c r="D612" i="1"/>
  <c r="D600" i="1"/>
  <c r="D588" i="1"/>
  <c r="D576" i="1"/>
  <c r="D564" i="1"/>
  <c r="D552" i="1"/>
  <c r="D540" i="1"/>
  <c r="D528" i="1"/>
  <c r="D516" i="1"/>
  <c r="D504" i="1"/>
  <c r="D492" i="1"/>
  <c r="D480" i="1"/>
  <c r="D468" i="1"/>
  <c r="D456" i="1"/>
  <c r="D444" i="1"/>
  <c r="D432" i="1"/>
  <c r="D420" i="1"/>
  <c r="D408" i="1"/>
  <c r="D396" i="1"/>
  <c r="D384" i="1"/>
  <c r="D372" i="1"/>
  <c r="D360" i="1"/>
  <c r="D348" i="1"/>
  <c r="D336" i="1"/>
  <c r="D324" i="1"/>
  <c r="D312" i="1"/>
  <c r="D300" i="1"/>
  <c r="D288" i="1"/>
  <c r="D276" i="1"/>
  <c r="D264" i="1"/>
  <c r="D252" i="1"/>
  <c r="D240" i="1"/>
  <c r="D228" i="1"/>
  <c r="D216" i="1"/>
  <c r="D204" i="1"/>
  <c r="D192" i="1"/>
  <c r="D180" i="1"/>
  <c r="D168" i="1"/>
  <c r="D156" i="1"/>
  <c r="D144" i="1"/>
  <c r="D132" i="1"/>
  <c r="D120" i="1"/>
  <c r="D108" i="1"/>
  <c r="D96" i="1"/>
  <c r="D84" i="1"/>
  <c r="D72" i="1"/>
  <c r="D60" i="1"/>
  <c r="D48" i="1"/>
  <c r="D36" i="1"/>
  <c r="D24" i="1"/>
  <c r="D12" i="1"/>
  <c r="D373" i="1"/>
  <c r="D647" i="1"/>
  <c r="D635" i="1"/>
  <c r="D623" i="1"/>
  <c r="D611" i="1"/>
  <c r="D599" i="1"/>
  <c r="D587" i="1"/>
  <c r="D575" i="1"/>
  <c r="D563" i="1"/>
  <c r="D551" i="1"/>
  <c r="D539" i="1"/>
  <c r="D527" i="1"/>
  <c r="D515" i="1"/>
  <c r="D503" i="1"/>
  <c r="D491" i="1"/>
  <c r="D479" i="1"/>
  <c r="D467" i="1"/>
  <c r="D455" i="1"/>
  <c r="D443" i="1"/>
  <c r="D431" i="1"/>
  <c r="D419" i="1"/>
  <c r="D407" i="1"/>
  <c r="D395" i="1"/>
  <c r="D383" i="1"/>
  <c r="D371" i="1"/>
  <c r="D359" i="1"/>
  <c r="D347" i="1"/>
  <c r="D335" i="1"/>
  <c r="D323" i="1"/>
  <c r="D311" i="1"/>
  <c r="D299" i="1"/>
  <c r="D287" i="1"/>
  <c r="D275" i="1"/>
  <c r="D263" i="1"/>
  <c r="D251" i="1"/>
  <c r="D239" i="1"/>
  <c r="D227" i="1"/>
  <c r="D215" i="1"/>
  <c r="D203" i="1"/>
  <c r="D191" i="1"/>
  <c r="D179" i="1"/>
  <c r="D167" i="1"/>
  <c r="D155" i="1"/>
  <c r="D143" i="1"/>
  <c r="D131" i="1"/>
  <c r="D119" i="1"/>
  <c r="D107" i="1"/>
  <c r="D95" i="1"/>
  <c r="D83" i="1"/>
  <c r="D71" i="1"/>
  <c r="D59" i="1"/>
  <c r="D47" i="1"/>
  <c r="D35" i="1"/>
  <c r="D23" i="1"/>
  <c r="D11" i="1"/>
  <c r="D229" i="1"/>
</calcChain>
</file>

<file path=xl/sharedStrings.xml><?xml version="1.0" encoding="utf-8"?>
<sst xmlns="http://schemas.openxmlformats.org/spreadsheetml/2006/main" count="21555" uniqueCount="2558">
  <si>
    <t>Nombre</t>
  </si>
  <si>
    <t>Bp Id</t>
  </si>
  <si>
    <t>Columna1</t>
  </si>
  <si>
    <t>Columna2</t>
  </si>
  <si>
    <t>Descripcion</t>
  </si>
  <si>
    <t>Estado</t>
  </si>
  <si>
    <t>Prioridad</t>
  </si>
  <si>
    <t>Ubicacion</t>
  </si>
  <si>
    <t>Equipo Administrado Por</t>
  </si>
  <si>
    <t>Dueno Aplicacion</t>
  </si>
  <si>
    <t>Dueno Negocio</t>
  </si>
  <si>
    <t>Administrado Por</t>
  </si>
  <si>
    <t>Categoria Identidades</t>
  </si>
  <si>
    <t>Tipo Usuario</t>
  </si>
  <si>
    <t>¿Existe módulo de gestión de accesos?</t>
  </si>
  <si>
    <t>Metodo Autenticacion</t>
  </si>
  <si>
    <t>Metodo Autorizacion</t>
  </si>
  <si>
    <t>¿Cumple criterios de recepción?</t>
  </si>
  <si>
    <t>Entregada Identidades</t>
  </si>
  <si>
    <t>Observacion</t>
  </si>
  <si>
    <t>Fecha Recepcion</t>
  </si>
  <si>
    <t>Administrador Aplicativo Externo</t>
  </si>
  <si>
    <t>Administrador Aplicativo Identidades Principal</t>
  </si>
  <si>
    <t>Administrador Aplicativo Identidades Backup</t>
  </si>
  <si>
    <t>Metodo Reporteria Usuarios</t>
  </si>
  <si>
    <t>Metodo Reporteria Perfiles Opciones</t>
  </si>
  <si>
    <t>Metodo Gestion</t>
  </si>
  <si>
    <t>Metodo Baja Usuarios</t>
  </si>
  <si>
    <t>Url Acceso</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</si>
  <si>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</si>
  <si>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</si>
  <si>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</si>
  <si>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Operativo</t>
  </si>
  <si>
    <t>A - Apetito de Riesgo Disponibilidad</t>
  </si>
  <si>
    <t>On Premise</t>
  </si>
  <si>
    <t>TRIBU_CANALES</t>
  </si>
  <si>
    <t>DANIEL PATRICIO PAZ ENRIQUEZ</t>
  </si>
  <si>
    <t>JORGE HUMBERTO BRAVO YUNDA</t>
  </si>
  <si>
    <t>Luis Remigio Bayas Rea</t>
  </si>
  <si>
    <t>Aplicación del negocio</t>
  </si>
  <si>
    <t>Usuario Interno</t>
  </si>
  <si>
    <t>Si</t>
  </si>
  <si>
    <t>Active Directory</t>
  </si>
  <si>
    <t>No</t>
  </si>
  <si>
    <t>IBM WSRR</t>
  </si>
  <si>
    <t>INT0007</t>
  </si>
  <si>
    <t>Herramienta que proporciona el registro de servicios y funciones de repositorio para aplicaciones empresariales de arquitectura orientada a servicios (SOA).</t>
  </si>
  <si>
    <t>Retirado</t>
  </si>
  <si>
    <t>E - No Crítica</t>
  </si>
  <si>
    <t>Tribu_Integraciones_Apis</t>
  </si>
  <si>
    <t>DAVID RODRIGO REVELO RIVERA</t>
  </si>
  <si>
    <t>DIEGO VLADIMIR JAYA GUAMANZARA</t>
  </si>
  <si>
    <t>Consolas de Administración TI</t>
  </si>
  <si>
    <t>Propio</t>
  </si>
  <si>
    <t>EVALUADA, NO CUMPLE CRITERIOS</t>
  </si>
  <si>
    <t>ICEPanel</t>
  </si>
  <si>
    <t>ITM0068</t>
  </si>
  <si>
    <t>Modelado de Arquitectura de Soluciones</t>
  </si>
  <si>
    <t>D - BIA No Crítica</t>
  </si>
  <si>
    <t>Nube</t>
  </si>
  <si>
    <t>COE ARQUITECTURA</t>
  </si>
  <si>
    <t>MAURICIO BLADIMIR AUQUI MIRANDA</t>
  </si>
  <si>
    <t>LUIS MIGUEL ULLOA MOREIRA</t>
  </si>
  <si>
    <t>Aplicación complementaria</t>
  </si>
  <si>
    <t>Entra ID</t>
  </si>
  <si>
    <t>Idera</t>
  </si>
  <si>
    <t>ITM0035</t>
  </si>
  <si>
    <t>Es una aplicación para administrar motores SQL, donde se visualiza eventos que ocurran en las bases de datos como en el servidor</t>
  </si>
  <si>
    <t>INFRAESTRUCTURA</t>
  </si>
  <si>
    <t>BYRON ORLANDO MELENDREZ CABRERA</t>
  </si>
  <si>
    <t>NELSON ANDRES POZO YEPEZ</t>
  </si>
  <si>
    <t>FELIX ALEXANDER MANJARRES QUEZADA</t>
  </si>
  <si>
    <t>Conectarse a Idera y sacar los scripts de migración es_x000D_
Test: POECWDB064</t>
  </si>
  <si>
    <t>IGNITION</t>
  </si>
  <si>
    <t>ITM0069</t>
  </si>
  <si>
    <t>Monitoreo de las facilidades de los centros de datos, Sistemas Electricos, Enfriamiento, Electrogenos</t>
  </si>
  <si>
    <t>C - BIA Crítica</t>
  </si>
  <si>
    <t>DIEGO JAVIER SALAZAR MOLINA</t>
  </si>
  <si>
    <t>DIEGO PAUL BETANCOURT REYES</t>
  </si>
  <si>
    <t>ILMT</t>
  </si>
  <si>
    <t>ITM0036</t>
  </si>
  <si>
    <t>Monitoreo de Software IBM instalado en servidores licenciamiento</t>
  </si>
  <si>
    <t>HORACIO LEONEL HOLGUIN ALCIVAR</t>
  </si>
  <si>
    <t>FREDDY VINICIO ESTRELLA HIDALGO</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</si>
  <si>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</si>
  <si>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</si>
  <si>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</si>
  <si>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Negocios y Monetización</t>
  </si>
  <si>
    <t>ANTONIO ALEJANDRO CANAVERAL GIL</t>
  </si>
  <si>
    <t>SEBASTIAN MUNOZ ANDERSEN</t>
  </si>
  <si>
    <t>HEVER GONZALEZ GARCIA</t>
  </si>
  <si>
    <t>Clientes</t>
  </si>
  <si>
    <t>Impresion Documentos</t>
  </si>
  <si>
    <t>TIE0018</t>
  </si>
  <si>
    <t>Aplicación que permite levantar documentos de word ejecutando macros. Genera documentos entregados a los clientes, principalmente de solicitudes de crédito.</t>
  </si>
  <si>
    <t>ACTIVOS</t>
  </si>
  <si>
    <t>LAURA ELIZABETH CARRASCO UQUILLAS</t>
  </si>
  <si>
    <t>ANDREA FERNANDA ORTIZ CISNEROS</t>
  </si>
  <si>
    <t>ERISLAN MARTINEZ JERA</t>
  </si>
  <si>
    <t>Se ingresa por Login Central</t>
  </si>
  <si>
    <t>LIVE LOZADA EDGAR ROBERTO</t>
  </si>
  <si>
    <t>PAREDES NACIPUCHA EDISSON FERNANDO</t>
  </si>
  <si>
    <t>AUTORIZACION: PERFIL SIGLO21_x000D_
ASIGNAR GRUPO DE AD: GA_LOGINC_IMPRESION DE DOCUMENTOS</t>
  </si>
  <si>
    <t>https://logincentral.bp.bpichincha.com/</t>
  </si>
  <si>
    <t>Informes de RedTeam</t>
  </si>
  <si>
    <t>SEC0083</t>
  </si>
  <si>
    <t>Herramienta permite la generación automatizada de informes a través de plantillas, además de ofrecer un control centralizado de los hallazgos obtenidos durante los ejercicios ofensivos. Versión v4.2.5, released 9 August 2024, con soporte Local. Se adjunta la certificación de software por ciberseguridad para poder ser utilizado en entono Banco.</t>
  </si>
  <si>
    <t>Ciberseguridad</t>
  </si>
  <si>
    <t>SANTIAGO ANDRES MEDRANDA MOREJON</t>
  </si>
  <si>
    <t>JOHNATAN SILVA ORREGO</t>
  </si>
  <si>
    <t>Allan Paul Gomez Ehmig</t>
  </si>
  <si>
    <t>Consolas de Administración Seguridad</t>
  </si>
  <si>
    <t>Se hizo una revisión con Arq. de Cyberseguridad y se va a replantear la solución para construir esta aplicación sobre la plataforma de sharepoint en vez de usar software libre, por lo que algunos de los criterios de respuesta podrán cambiar.</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</si>
  <si>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</si>
  <si>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</si>
  <si>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</si>
  <si>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Frente de Soluciones Empresariales</t>
  </si>
  <si>
    <t>FABRICIO ANTONIO PEREIRA GARCIA</t>
  </si>
  <si>
    <t>WILLIAM PATRICIO PANCHI SHUGULI</t>
  </si>
  <si>
    <t>SIGLO21</t>
  </si>
  <si>
    <t>Integration Bus Soporte</t>
  </si>
  <si>
    <t>INT0009</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</si>
  <si>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</si>
  <si>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B - Ecosistema Apetito de Riesgo</t>
  </si>
  <si>
    <t>ESTRELLA HIDALGO FREDDY VINICIO</t>
  </si>
  <si>
    <t>FLORES YAGUANA JHONATAN DAMIAN</t>
  </si>
  <si>
    <t>RAMOS SALAZAR SEBASTIAN MATEO</t>
  </si>
  <si>
    <t>Manual</t>
  </si>
  <si>
    <t>Ingresar al nodo (servidor Unix) correspondiente mediante Cyberark utilizando el usuario root y ejecutar los comandos detallados en el instructivo para administrar usuarios</t>
  </si>
  <si>
    <t>Eliminar</t>
  </si>
  <si>
    <t>APLICACIÓN	HOSTNAME	IP_x000D_
Integration Bus Soporte Nodo1	PRECBPIB01	10.151.152.221_x000D_
Integration Bus Soporte Nodo2	PRECBPIB02	10.151.152.222_x000D_
Integration Bus Soporte Cash 1	PRECBPIB10	10.151.152.227_x000D_
Integration Bus Soporte Cash 2	PRECBPIB11	10.151.152.226</t>
  </si>
  <si>
    <t>Interaction Studio</t>
  </si>
  <si>
    <t>CUS0010</t>
  </si>
  <si>
    <t>Es una herramienta de Salesforce Marketing Cloud que aprende de los datos de manera automática para lograr identificar las siguientes mejores ofertas y/o acciones para cada cliente</t>
  </si>
  <si>
    <t>Negocios Digitales (Campañas y Marketing Digital)</t>
  </si>
  <si>
    <t>IVANNA MARIA ZAUZICH POSADA</t>
  </si>
  <si>
    <t>FREDDY LEONARDO ABAD LEON</t>
  </si>
  <si>
    <t>Interdin AS400 Gestor</t>
  </si>
  <si>
    <t>PAY0008</t>
  </si>
  <si>
    <t>No existe descripción</t>
  </si>
  <si>
    <t>Terceros</t>
  </si>
  <si>
    <t>MEDIOS_DE_PAGO</t>
  </si>
  <si>
    <t>DIEGO MANUEL CARRERA BENAVIDES</t>
  </si>
  <si>
    <t>KATHERINE FATIMA CJURO VERA</t>
  </si>
  <si>
    <t>JEAN ANEL PROANO FALCONES</t>
  </si>
  <si>
    <t>REPORTERIA: CORREO A EXTERNO LUEGO SUBIR A GEMA</t>
  </si>
  <si>
    <t>ALVARADO RAMOS OLGER OSWALDO</t>
  </si>
  <si>
    <t>ETL</t>
  </si>
  <si>
    <t>CREAR TICKET</t>
  </si>
  <si>
    <t>Interdin Autorizador CAO</t>
  </si>
  <si>
    <t>PAY0009</t>
  </si>
  <si>
    <t>EDWIN GEOVANNY FLORES CASTRO</t>
  </si>
  <si>
    <t>CREAR TICKET A INTERDIN PARA SOLICITAR REPORTES DE USUARIO Y PERFILES</t>
  </si>
  <si>
    <t>Interdin AS 400/ CAO</t>
  </si>
  <si>
    <t>PAY0010</t>
  </si>
  <si>
    <t>PIVI/CAO</t>
  </si>
  <si>
    <t>Interdin Servicios Integración</t>
  </si>
  <si>
    <t>PAY0011</t>
  </si>
  <si>
    <t>INTERDIN SERVICIOS INTEGRACION comprende dos servidores que fueron creados para _x000D_
relacionar servicios de Interdin (Proveedor).</t>
  </si>
  <si>
    <t>WILLIAM RICHARD CORREA JIMENEZ</t>
  </si>
  <si>
    <t>DAVID DE JESUS BELLO NIEVES</t>
  </si>
  <si>
    <t>Componente</t>
  </si>
  <si>
    <t>EVALUADO: NO APLICA RECEPCION_x000D_
Descripción del aplicativo: _x000D_
o INTERDIN SERVICIOS INTEGRACION comprende dos servidores que fueron creados para _x000D_
relacionar servicios de Interdin (Proveedor)._x000D_
o En base al documento ¿BPECU-SEG-044-STD - Estándar de Recepción de Módulos de _x000D_
Gestión de Accesos y Perfiles V 2.1-¿; donde se definen uno de los criterios para recepción _x000D_
es contar con un módulo de gestión de accesos y perfiles. _x000D_
 _x000D_
o En la reunión mantenida el jueves 20 de noviembre 2025 en conjunto con el equipo _x000D_
administrador del aplicativo, se concluyó que: ¿Interdin Servicios Integración no es una _x000D_
aplicación, son dos servidores que están relacionados a la aplicación de manera _x000D_
incorrecta. No cuenta con módulo de gestión de usuarios ni perfiles, por lo cual no aplica _x000D_
realizar un proceso de recepción¿. Adicional, se tuvieron las siguientes observaciones: _x000D_
 _x000D_
o Edwin Geovanny Flores Castro - LIDER TECNICO DE TRIBU menciona: ¿Más adelante _x000D_
procederé a decomisarla cuando apague los servidores¿, de acuerdo con el correo con _x000D_
asunto: Re: Solicitud entrega del aplicativo a Gestión de Identidades: INTERDIN SERVICIOS _x000D_
INTEGRACION, con fecha 20 de noviembre de 2025. _x000D_
 _x000D_
o Se realiza la consulta sobre la fecha de apagado y si existe alguna aplicación en su _x000D_
reemplazo, a lo que Edwin Geovanny Flores Castro - LIDER TECNICO DE TRIBU menciona: _x000D_
¿Aún no tengo esa información. De momento esta aplicación no es prioritaria para la _x000D_
tribu¿._x000D_
o En referencia a la gestión de usuarios y perfiles: Edwin Geovanny Flores Castro - LIDER _x000D_
TECNICO DE TRIBU menciona: ¿la aplicación en mención no tiene roles ni usuarios¿.</t>
  </si>
  <si>
    <t>FLORES CASTRO EDWIN GEOVANNY</t>
  </si>
  <si>
    <t>Inversiones</t>
  </si>
  <si>
    <t>PRD0060</t>
  </si>
  <si>
    <t>Aplicacion para venta y postventa de Inversiones.</t>
  </si>
  <si>
    <t>PASIVOS Y SEGUROS</t>
  </si>
  <si>
    <t>JONATHAN HERNAN ARIAS HERNANDEZ</t>
  </si>
  <si>
    <t>MANUEL ABELARDO HARO MONTERO</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</si>
  <si>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24 de marzo de 2026 en conjunto con el equipo administrador del aplicativo, se concluyó que: que la aplicación no cuenta con un módulo para la gestión de accesos._x000D_
_x000D_
o Loaiza Armijos Mayi Dayali - EXPERTO PORTAFOLIO PRODUCTOS Y SERVICIOS Nos informa _x000D_
que el acceso es a través de la banca web y va dirigido a clientes finales. _x000D_
 _x000D_
o Cabe mencionar que el acceso al módulo de Inversiones dentro del Portal de la Banca Web _x000D_
es de autogestión; es decir, lo realiza directamente el cliente final sin la intervención de _x000D_
ningún asesor.</t>
  </si>
  <si>
    <t>CARRASCO UQUILLAS LAURA ELIZABETH</t>
  </si>
  <si>
    <t>IPS Intrusion Prevention System</t>
  </si>
  <si>
    <t>SEC0025</t>
  </si>
  <si>
    <t>Cisco Firepower Management Center 4600</t>
  </si>
  <si>
    <t>ERICK DAMIAN RISUENO BENITEZ</t>
  </si>
  <si>
    <t>MARCO FABRICIO FALCONI NORIEGA</t>
  </si>
  <si>
    <t>JORGE XAVIER LUCERO GALLEGOS</t>
  </si>
  <si>
    <t>RISUENO BENITEZ ERICK DAMIAN</t>
  </si>
  <si>
    <t>ZAMBRANO NUNEZ PAUL SANTIAGO</t>
  </si>
  <si>
    <t>GESTIONAR EN LA APLICACION USUARIOS Y ROLES</t>
  </si>
  <si>
    <t>Cybeark: _x000D_
https://10.70.88.105/</t>
  </si>
  <si>
    <t>ISE</t>
  </si>
  <si>
    <t>SEC0026</t>
  </si>
  <si>
    <t>CONTROL DE ACCESO A LA RED</t>
  </si>
  <si>
    <t>ROBERT STALIN SOTO CORONEL</t>
  </si>
  <si>
    <t>LUCERO GALLEGOS JORGE XAVIER</t>
  </si>
  <si>
    <t>BARAHONA ESPINOSA SANTIAGO ISRAEL</t>
  </si>
  <si>
    <t>Generar un ticket en el flujo: "Gestión de Acceso a la Red"; junto con la autorización de Jorge Lucero</t>
  </si>
  <si>
    <t>Cyberark: 10.70.88.110</t>
  </si>
  <si>
    <t>Jaguar Liquidez Plus</t>
  </si>
  <si>
    <t>PRD0022</t>
  </si>
  <si>
    <t>En portafolio</t>
  </si>
  <si>
    <t>ADMINISTRACION ELIMINADA</t>
  </si>
  <si>
    <t>Crear un ticket</t>
  </si>
  <si>
    <t>Jenkins</t>
  </si>
  <si>
    <t>ITM0037</t>
  </si>
  <si>
    <t>Herramienta de integración continua, utilizado por el proyecto de Omnicanalidad.</t>
  </si>
  <si>
    <t>COE de Ingeniería</t>
  </si>
  <si>
    <t>GERMAN MARTIN GUTIERREZ</t>
  </si>
  <si>
    <t>Kafka</t>
  </si>
  <si>
    <t>OMN0004</t>
  </si>
  <si>
    <t>Basado en una transmisión de evetos,captura datos en tiempo real desde varias fuentes, enruta los flujos de datos a diferentes tecnologías de destino según sea necesario.</t>
  </si>
  <si>
    <t>EVALUADO_x000D_
Descripción del aplicativo: _x000D_
o Es una plataforma basada en una transmisión de eventos, captura datos en tiempo real _x000D_
desde varias fuentes, enruta los flujos de datos a diferentes tecnologías de destino según _x000D_
sea necesario._x000D_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Sin embargo: luego de la reunión del 2025/11/24 vía Teams con el equipo administrador _x000D_
del aplicativo informa que Kafka no cuenta con un módulo para la gestión de usuarios y _x000D_
perfiles.</t>
  </si>
  <si>
    <t>VALLEJO SOLORZANO OSCAR DAVID</t>
  </si>
  <si>
    <t>Kafka Deuna</t>
  </si>
  <si>
    <t>INT0014</t>
  </si>
  <si>
    <t>Broker de eventos de Deuna desplegado en AWS</t>
  </si>
  <si>
    <t>TRIBU_DE_UNA</t>
  </si>
  <si>
    <t>LUIS JAVIER MARIDUENA NOVILLO</t>
  </si>
  <si>
    <t>Keeper Security</t>
  </si>
  <si>
    <t>SEC0053</t>
  </si>
  <si>
    <t>Solución para la gestión de contraseñas de los usuarios</t>
  </si>
  <si>
    <t>lvtandaz@pichincha.com TANDAZO GALLEGOS</t>
  </si>
  <si>
    <t>ISRAEL SEBASTIAN DE LA TORRE TRUJILLO</t>
  </si>
  <si>
    <t>Kriptos</t>
  </si>
  <si>
    <t>SEC0055</t>
  </si>
  <si>
    <t>Solución basada en clasificación artificial que tiene la capacidad de identificar y clasificar los datos de la empresa.</t>
  </si>
  <si>
    <t>FERNANDO JAVIER PALADINES BUSTAMANTE</t>
  </si>
  <si>
    <t>MARIA DEL CARMEN PENAHERRERA PLUA</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</si>
  <si>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En la reunión mantenida el lunes 23 de marzo de 2026 en conjunto con el equipo administrador del aplicativo, se concluyó que: que la aplicación no cuenta con un módulo para la gestión de accesos.</t>
  </si>
  <si>
    <t>VIDAL BARBA GABRIELA VIRGINIA</t>
  </si>
  <si>
    <t>Vidal Barba Gabriela Virginia- EXPERTO PLATAFORMAS CIBERSEGURIDAD: Nos informa que el acceso es a través de la asignación de grupos de Azure AD de nomenclatura: GSC_KRIPTOS_XXX, no existen usuarios locales.</t>
  </si>
  <si>
    <t>Fielweb</t>
  </si>
  <si>
    <t>SUP0011</t>
  </si>
  <si>
    <t>AREAS_DE_APOYO</t>
  </si>
  <si>
    <t>FABIAN GEOVANNI PAZMINO UBIDIA</t>
  </si>
  <si>
    <t>JOSE LUIS ZAPATA ROSERO</t>
  </si>
  <si>
    <t>FERNANDO JOSE ROLDAN CORREA</t>
  </si>
  <si>
    <t>LEXMARK CLOUD PRINT MANAGEMENT (CPM)</t>
  </si>
  <si>
    <t>ITM0038</t>
  </si>
  <si>
    <t>Administración  Multifunción Lexmark para Integración multifuncionales  con Talla  Impresión</t>
  </si>
  <si>
    <t>Gerencia Arquitectura Usuario Final</t>
  </si>
  <si>
    <t>AMPARO MARIANA CARDENAS HUILCA</t>
  </si>
  <si>
    <t>ABNER ANDY AREVALO BRACAMONTE</t>
  </si>
  <si>
    <t>Lexmark Printer Management</t>
  </si>
  <si>
    <t>JOSE LUIS GOYES LARA</t>
  </si>
  <si>
    <t>Librarian</t>
  </si>
  <si>
    <t>ITM0071</t>
  </si>
  <si>
    <t>Aplicación de equipo Librarian</t>
  </si>
  <si>
    <t>GUILLERMO GABRIEL DEPRATI</t>
  </si>
  <si>
    <t>DIEGO PAUL AREVALO COSTALES</t>
  </si>
  <si>
    <t>FERNANDO VINICIO OCHOA CARRION</t>
  </si>
  <si>
    <t>ListaObservados</t>
  </si>
  <si>
    <t>GOB0013</t>
  </si>
  <si>
    <t>Es una aplicación que permite la validación de clientes en listas de validación utilizando componentes de terceros (Bridger).</t>
  </si>
  <si>
    <t>PPRD - SIGLO21</t>
  </si>
  <si>
    <t>Siglo 21</t>
  </si>
  <si>
    <t>LogiFlow</t>
  </si>
  <si>
    <t>TIE0019</t>
  </si>
  <si>
    <t>Portal de aplicaciones para la gestión y administracion de procesos del Banco.</t>
  </si>
  <si>
    <t xml:space="preserve">CISNEROS MANOSALVAS EDGAR NAPOLEON </t>
  </si>
  <si>
    <t>MEJIA MANZANO ROMEO OCTAVIO</t>
  </si>
  <si>
    <t>TERAN PIEDRA DAYANARA ABIGAIL</t>
  </si>
  <si>
    <t>https://flujoempresaslan.uio.bpichincha.com:8046/Pichincha/WebLogiPortal/</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</si>
  <si>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</si>
  <si>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</si>
  <si>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</si>
  <si>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Tribu Ciberseguridad</t>
  </si>
  <si>
    <t>JUAN FELIPE GALLEGO COSSIO</t>
  </si>
  <si>
    <t>FRANCISCO DAVID CEVALLOS GRANJA</t>
  </si>
  <si>
    <t>ROBERTO CARLOS PINO CEDENO</t>
  </si>
  <si>
    <t>AUQUILLA CHINCHIN GLADYS ARACELI</t>
  </si>
  <si>
    <t>GRUPOS AD</t>
  </si>
  <si>
    <t>https://logincentral.bp.bpichincha.com/loginCentralizado/loginCentralizado</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</si>
  <si>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</si>
  <si>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</si>
  <si>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</si>
  <si>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PRISCILA ALEXANDRA PARRA LEON</t>
  </si>
  <si>
    <t>Lumu</t>
  </si>
  <si>
    <t>SEC0056</t>
  </si>
  <si>
    <t>Aplicación ciberseguridad que ofrece visibilidad y respuesta a amenazas en tiempo real.</t>
  </si>
  <si>
    <t>GABRIELA VIRGINIA VIDAL BARBA</t>
  </si>
  <si>
    <t>Mail Control System</t>
  </si>
  <si>
    <t>SUP0012</t>
  </si>
  <si>
    <t>Aplicación utilizada por el área Administrativa para gestionar el proceso de entrega y recepción de correspondencia interna.</t>
  </si>
  <si>
    <t>LIZETH AURORA ENCALADA RAMON</t>
  </si>
  <si>
    <t>ABRAHAM JOSUE MOGOLLON VASQUEZ</t>
  </si>
  <si>
    <t>Realizar la recepción: está planificada_x000D_
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_x000D_
o Luego de una reunión mantenida con el equipo administrador del aplicativo se recibió _x000D_
mediante email el día 11 de marzo de 2026 que la aplicación no cuenta con un módulo _x000D_
para la gestión de accesos. Adicional se tuvieron las siguientes observaciones:_x000D_
_x000D_
o Muzzillo Gustavo - INGENIERO INFRAESTRUCTURA TI menciona que Mail Control System: _x000D_
"no posee un módulo de gestión de Usuarios y Permisos, encontrándose estas funciones delegadas al IDP (EntraID) apoyándose en las herramientas MyAccess y MySessions para la gestión de permisos y claves de usuario respectivamente", de acuerdo con el correo con asunto: RE: Solicitud entrega del aplicativo a Gestión de Identidades: Mail Control System, con fecha 11 de marzo de 2026.</t>
  </si>
  <si>
    <t>MUZZILLO GUSTAVO</t>
  </si>
  <si>
    <t>Mambu</t>
  </si>
  <si>
    <t>COR0008</t>
  </si>
  <si>
    <t>GILBERT ADRIAN CISNEROS TELLO</t>
  </si>
  <si>
    <t>Mambu Deuna</t>
  </si>
  <si>
    <t>SEC0057</t>
  </si>
  <si>
    <t>Core bancario de uso exlclusivo para Deuna</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</si>
  <si>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</si>
  <si>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</si>
  <si>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</si>
  <si>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</si>
  <si>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</si>
  <si>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</si>
  <si>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</si>
  <si>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</si>
  <si>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COE Experiencia</t>
  </si>
  <si>
    <t>GABRIEL ANDRES PACHECO TELLO</t>
  </si>
  <si>
    <t>Utilitario</t>
  </si>
  <si>
    <t>Mi Campus Pichincha</t>
  </si>
  <si>
    <t>SUP0033</t>
  </si>
  <si>
    <t>Sistema de gestión de aprendizaje</t>
  </si>
  <si>
    <t>ANDREA PAULINA PARDO ULLAGUARI</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</si>
  <si>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</si>
  <si>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</si>
  <si>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</si>
  <si>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FRANKLIN STALIN GARZON ANDRADE</t>
  </si>
  <si>
    <t>Detalle del criterio de recepción:  _x000D_
o En base al documento ¿BPECU-SEG-044-STD - Estándar de Recepción de Módulos de Gestión de Accesos y Perfiles V 2.1-¿; donde se definen los criterios para recepción, registra que las aplicaciones administrables deben contar con un módulo de gestión de accesos y perfiles.  _x000D_
o Sin embargo: luego de la reunión del 2026/02/10 vía Teams con el equipo administrador del aplicativo se informa y concluye que MI PORTAL no cuenta con un módulo para la gestión de usuarios y perfiles.</t>
  </si>
  <si>
    <t>Microcrédito Digital</t>
  </si>
  <si>
    <t>PRD0053</t>
  </si>
  <si>
    <t>Aplicativo para Microcredito en Linea de Microfinanzas</t>
  </si>
  <si>
    <t>MICROFINANZAS</t>
  </si>
  <si>
    <t>EUDOCIA BEATRIZ VASQUEZ CASTILLO</t>
  </si>
  <si>
    <t>No Aplica</t>
  </si>
  <si>
    <t>Microfinance Portal</t>
  </si>
  <si>
    <t>PRD0063</t>
  </si>
  <si>
    <t>Aplicativo para la aprobación, instrumentación y desembolso de créditos de la metodología Microfinanzas Individual y Grupal</t>
  </si>
  <si>
    <t>FREDDY NEY BASTIDAS CALERO</t>
  </si>
  <si>
    <t>Willam Marcel Ontaneda Yaguana</t>
  </si>
  <si>
    <t>Mis Riesgos</t>
  </si>
  <si>
    <t>RIS0008</t>
  </si>
  <si>
    <t>Agrupación lógica de las aplicaciones internas desarrolladas por Banco, que no cuentan con un ambiente controlado, Banco realiza cambios directos y sus actualizaciones no sigue el proceso de control de cambios.</t>
  </si>
  <si>
    <t>Tribu Administración de Créditos</t>
  </si>
  <si>
    <t>JORGE MARIO PULGARIN MAZO</t>
  </si>
  <si>
    <t>JOHANNA NATALIA RODRIGUEZ SANCHEZ</t>
  </si>
  <si>
    <t>CHRISTIAN PAUL ENRIQUEZ LOPEZ</t>
  </si>
  <si>
    <t>Propio - MISRIESGOS</t>
  </si>
  <si>
    <t>MODELO PREDICTIVO CIIU</t>
  </si>
  <si>
    <t>DAT0006</t>
  </si>
  <si>
    <t>Modelo de Sector y Actividad Económica</t>
  </si>
  <si>
    <t>COE DATOS&amp;ANALITICA</t>
  </si>
  <si>
    <t>JAVIER EDUARDO TORRES ALTAMIRANO</t>
  </si>
  <si>
    <t>ARNALDO UTRIA AZAN</t>
  </si>
  <si>
    <t>DIEGO EDUARDO GALLARDO CORRALES</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</si>
  <si>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</si>
  <si>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</si>
  <si>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</si>
  <si>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CESAR ALEJANDRO VELASCO TORO</t>
  </si>
  <si>
    <t>Monitor BPM</t>
  </si>
  <si>
    <t>ITM0039</t>
  </si>
  <si>
    <t>Es software libre, Monitorea los servicios middleware utilizados en BPM</t>
  </si>
  <si>
    <t>Tribu_Cores_Transacciones</t>
  </si>
  <si>
    <t>ANDREA ESTEFANIA CHAVEZ ORDONEZ</t>
  </si>
  <si>
    <t>Johanna Elizabeth Carangui Vivar</t>
  </si>
  <si>
    <t>Monitor Plus</t>
  </si>
  <si>
    <t>GOB0005</t>
  </si>
  <si>
    <t>Aplicación que permite realizar el monitoreo de las transacciones de clientes para identificación de lavado de dinero y fraude, es de tercero (nombre proveedor plus Holding) implementado en datacenter de Banco.</t>
  </si>
  <si>
    <t>Híbrida</t>
  </si>
  <si>
    <t>MonitorATM</t>
  </si>
  <si>
    <t>CHL0019</t>
  </si>
  <si>
    <t>Mediante la aplicación de MonitorATM se puede crear ATMS en el sistema y realiza un monitoreo de los ATMs con sus respectivas transacciones. Relación con el Switch de ATM</t>
  </si>
  <si>
    <t>JUAN FELIPE DIAZ RESTREPO</t>
  </si>
  <si>
    <t>Nelson Patricio Cardenas Llumiugsi</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</si>
  <si>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</si>
  <si>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</si>
  <si>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</si>
  <si>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CreditosCOM</t>
  </si>
  <si>
    <t>PRD0015</t>
  </si>
  <si>
    <t>Aplicación que maneja el flujo de créditos para Crédito Distribuidor.</t>
  </si>
  <si>
    <t>AUTORIZACIÓN: PERFIL SIGLO21_x000D_
ASIGNAR GRUPO AD: GA_LOGINC_CREDITOS_COM</t>
  </si>
  <si>
    <t>CRM (salesforce - Financial services)</t>
  </si>
  <si>
    <t>CUS0007</t>
  </si>
  <si>
    <t>JULIEN LOUIS ADRIEN LEREBOULLET</t>
  </si>
  <si>
    <t>HECTOR EDUARDO JARAMILLO RUALES</t>
  </si>
  <si>
    <t>En temas de reporteria se descarga la información de una carpeta compartida con el responsable de la aplicación</t>
  </si>
  <si>
    <t>Externo</t>
  </si>
  <si>
    <t>https://pichincha.my.salesforce.com/_x000D_
Se ingresa con genéricos usrpacrm@pichincha.com - usrpbcrm@pichincha.com ingresar con la contraseña registrada en la Producción y se aprueba el ingreso mediante el authenticator de Windows (app android)</t>
  </si>
  <si>
    <t>CRM (salesforce - Marketing Cloud)</t>
  </si>
  <si>
    <t>CUS0008</t>
  </si>
  <si>
    <t>Es una plataforma de automatización de marketing digital en la nube, parte del ecosistema CRM de Salesforce, diseñada para gestionar campañas multicanal (email, móvil, redes sociales, web).</t>
  </si>
  <si>
    <t>ANGULO CAMUENDO BRYAN LENIN</t>
  </si>
  <si>
    <t>LEON NOGUERA YOLANDA AMPARO</t>
  </si>
  <si>
    <t>Creación: Sobre un usuario inactivo se procede con la modificación del usuario por temas de licenciamiento del aplictivo.</t>
  </si>
  <si>
    <t>https://mc.s10.exacttarget.com/cloud/#app/Marketing%20Cloud%20Dashboard/?ks=ks</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</si>
  <si>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</si>
  <si>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</si>
  <si>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</si>
  <si>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ESPINOZA RENGIFO MISCHEL ESTEFANIA</t>
  </si>
  <si>
    <t>GRUPO AD</t>
  </si>
  <si>
    <t>falcon.crowdstrike.com</t>
  </si>
  <si>
    <t>Cuadre Atms</t>
  </si>
  <si>
    <t>SUP0021</t>
  </si>
  <si>
    <t>Aplicación que dispone de procesos para cuadre de cajeros automáticos (cuadre físico vs reporte del Switch de Servicios ATMs) y conciliación de transacciones en ATMs propios (clientes BP y clientes de otras redes).</t>
  </si>
  <si>
    <t>MILTON PATRICIO MANTILLA CAYO</t>
  </si>
  <si>
    <t>JUAN FRANCISCO PROCEL MICHILENA</t>
  </si>
  <si>
    <t>Cuenta Digital Personas</t>
  </si>
  <si>
    <t>CHL0037</t>
  </si>
  <si>
    <t>APP ONBOARDING, aplicación movil de Banco Pichincha, en la que podrá crear clientes, activar cuentas, crear chequeras.</t>
  </si>
  <si>
    <t>Clientes / Usuario Interno</t>
  </si>
  <si>
    <t>Estimado,_x000D_
_x000D_
En negrita mis respuestas._x000D_
_x000D_
1.	¿Qué tipo de usuarios acceden a la aplicación?                _x000D_
1.	Clientes._x000D_
2.	Colaboradores (Internos)._x000D_
 _x000D_
2.	¿La aplicación cuenta con un módulo de gestión de accesos y perfiles, que permita la administración del ciclo de vida de los usuarios y roles?_x000D_
¿¿¿¿¿¿No._x000D_
 _x000D_
3.	¿Cuál es el método de Autenticación de la aplicación? _x000D_
Entra ID._x000D_
Propio._x000D_
 _x000D_
4.	¿Cuál es el método de Autorización de la aplicación?_x000D_
1.	Entra ID._x000D_
1.	Propio._x000D_
 _x000D_
5.	En base a su expertis en la aplicación ¿Cual considera de las siguientes categorías se ajusta de manera más cercana a la aplicación?_x000D_
a. Aplicación Complementaria: Se refiera a una aplicación que se proporciona como complemento de otra aplicación, permitiendo extender las funciones de otra aplicación o programa sin tener que modificar el código._x000D_
b. Aplicación del Negocio: Son herramientas digitales que facilitan distintas operaciones dentro de los negocios, es decir, aquellas que son esenciales en la ejecución, desarrollando las operaciones  del negocio._x000D_
f.  Middleware: Software que ofrece servicios y funciones comunes para las aplicaciones.</t>
  </si>
  <si>
    <t>Cuentas por pagar</t>
  </si>
  <si>
    <t>SUP0031</t>
  </si>
  <si>
    <t>Es un por portal donde se visualiza los diferentes documentos de proveedores de banco (facturas, retenciones). Está en un aks de azure</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</si>
  <si>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</si>
  <si>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</si>
  <si>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</si>
  <si>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MIGUEL ALEXANDER MEJIA BRONCANO</t>
  </si>
  <si>
    <t>DIANA PATRICIA CAICEDO RODRIGUEZ</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</si>
  <si>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</si>
  <si>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</si>
  <si>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</si>
  <si>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</si>
  <si>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</si>
  <si>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</si>
  <si>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</si>
  <si>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</si>
  <si>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</si>
  <si>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CHRISTIAN DARIO PASQUEL PARRA</t>
  </si>
  <si>
    <t>DataPower Externo se encuentra alojado en servidores DMZ.</t>
  </si>
  <si>
    <t>Ingresar al nodo y crear al usuario manualmente con una contraseña personalizada.</t>
  </si>
  <si>
    <t>Ingresar por Cyberark, al nodo correspondiente:_x000D_
_x000D_
ECBPDPP3	10.40.4.47	Datapower Nodo 1	Externo DCP_x000D_
ECBPDPP4	10.40.4.48	Datapower Nodo 2	Externo DCP_x000D_
DRECBPDPP3	10.40.4.54	Datapower Nodo 1	Externo DCA_x000D_
DRECBPDPP4	10.40.4.55	Datapower Nodo 2	Externo DCA</t>
  </si>
  <si>
    <t>Decisión Cloud</t>
  </si>
  <si>
    <t>ITM0001</t>
  </si>
  <si>
    <t>ANDY JOSE ANDRADE BRAVO</t>
  </si>
  <si>
    <t>CARLOS ANDRES MORALES MALDONADO</t>
  </si>
  <si>
    <t>VALLEJO BAQUERO JAIME GIOVANNY</t>
  </si>
  <si>
    <t>GRUPOS CLOUD</t>
  </si>
  <si>
    <t>Desactivar</t>
  </si>
  <si>
    <t>pichincha.mydecisioncloud.com</t>
  </si>
  <si>
    <t>Deep Discovery Analyzer</t>
  </si>
  <si>
    <t>SEC0012</t>
  </si>
  <si>
    <t>Proporciona una protección completa, adaptable y extremadamente eficiente, con antimalware, detección y prevención de intrusiones, firewall, protección de aplicaciones Web, supervisión de la integridad e inspección de registros</t>
  </si>
  <si>
    <t>WILSON FERNANDO RODRIGUEZ TOBAR</t>
  </si>
  <si>
    <t>Deep Discovery Inspector</t>
  </si>
  <si>
    <t>SEC0013</t>
  </si>
  <si>
    <t>Deep Security</t>
  </si>
  <si>
    <t>SEC0014</t>
  </si>
  <si>
    <t>SE ELIMINA DENTRO DE LA APLICACION</t>
  </si>
  <si>
    <t>CYBERARK: ecbpprsi70</t>
  </si>
  <si>
    <t>Depositarios</t>
  </si>
  <si>
    <t>CHL0015</t>
  </si>
  <si>
    <t>Conjunto de componentes instalados en los ATM's que permite llevar a cabo los procesos relacionados a cajeros automáticos del Banco del Pichincha./ Sistema de cajeros automáticos de Banco Pichincha</t>
  </si>
  <si>
    <t>DESIGNSYSTEM</t>
  </si>
  <si>
    <t>CHL0044</t>
  </si>
  <si>
    <t>Sin descripción</t>
  </si>
  <si>
    <t>JORGE ALBERTO VILLAFUERTE GORDILLO</t>
  </si>
  <si>
    <t>PRICILA VANESSA QUICHIMBO ARMIJOS</t>
  </si>
  <si>
    <t>Detect ID</t>
  </si>
  <si>
    <t>SEC0015</t>
  </si>
  <si>
    <t>Aplicación para generación de softoken en lugar de OTP enviada por SMS.</t>
  </si>
  <si>
    <t>Vladimir Stalin Lamina Sanchez</t>
  </si>
  <si>
    <t>REPORTERIA DE USUARIOS SE EXTRAE DEL APLICATIVO</t>
  </si>
  <si>
    <t>ZAMBRANO SOLORZANO FRANKLIN STEVEN</t>
  </si>
  <si>
    <t>Escoger en Username :usrpdck Plataform ID: BP-DetectID2</t>
  </si>
  <si>
    <t>Deuna Microcomercios</t>
  </si>
  <si>
    <t>CHL0041</t>
  </si>
  <si>
    <t>Aplicacion para administracion de microcomercios</t>
  </si>
  <si>
    <t>DIEGO ALBERTO ORDONEZ BARRIOS</t>
  </si>
  <si>
    <t>Ansible</t>
  </si>
  <si>
    <t>TIE0024</t>
  </si>
  <si>
    <t>Ansible Automation platform para automatizar la configuracion de la infrastructura</t>
  </si>
  <si>
    <t>Gerencia SRE</t>
  </si>
  <si>
    <t>GONZALO TRANCILLO</t>
  </si>
  <si>
    <t>DIANA CRISTINA AVEIGA LOVATO</t>
  </si>
  <si>
    <t>AntiDDoS Radware</t>
  </si>
  <si>
    <t>SEC0052</t>
  </si>
  <si>
    <t>Es un servicio que bloquea ataques volumétricos de las 3 redes públicas / 24 que el banco tiene adquirido</t>
  </si>
  <si>
    <t>GSC_BP-Radware-Prod_Reader_x000D_
GSC_BP-Radware-Prod_Admins</t>
  </si>
  <si>
    <t>GESTION DE ROLES EN LA APLICACION</t>
  </si>
  <si>
    <t>https://radware.eu.auth0.com/authorize?client_id=KnZSRL3CSoahL0ymcqfwsmt55EHxXxgS&amp;response_type=code&amp;connection=IDP-RADWARE&amp;prompt=login&amp;scope=openid%20profile&amp;redirect_uri=https://console.radwarecloud.com?connection=IDP-RADWARE</t>
  </si>
  <si>
    <t>AntiSpam</t>
  </si>
  <si>
    <t>SEC0003</t>
  </si>
  <si>
    <t>APEX</t>
  </si>
  <si>
    <t>SEC0064</t>
  </si>
  <si>
    <t>Sistema de gestión de eventos de ciberdefensa</t>
  </si>
  <si>
    <t>Apigee</t>
  </si>
  <si>
    <t>INT0004</t>
  </si>
  <si>
    <t>No existe dentro del portafolio</t>
  </si>
  <si>
    <t>MARICELA NATALY ACUNA GUANOLUISA</t>
  </si>
  <si>
    <t>PABLO SANTIAGO DELGADO MONCAYO</t>
  </si>
  <si>
    <t>ACUNA GUANOLUISA MARICELA NATALY</t>
  </si>
  <si>
    <t>https://login.apigee.com/login</t>
  </si>
  <si>
    <t>APIM</t>
  </si>
  <si>
    <t>INT0016</t>
  </si>
  <si>
    <t>Servicio de Microsoft Azure API Management. Mantiene la gestión de las APIs, autorización de consumo y analítica de los componentes.</t>
  </si>
  <si>
    <t>JUAN CARLOS CONTRERAS PAREDES</t>
  </si>
  <si>
    <t>Gestión de Accesos Cloud</t>
  </si>
  <si>
    <t>Microsoft Azure</t>
  </si>
  <si>
    <t>Appsflyer</t>
  </si>
  <si>
    <t>CUS0001</t>
  </si>
  <si>
    <t>Ofrece la posibilidad de trackear eventos que acontecen dentro de la aplicación móvil como pueden ser compras y otros objetivos personalizados para el cliente</t>
  </si>
  <si>
    <t>ESTEFANY CAROLINA GONGORA PAREDES</t>
  </si>
  <si>
    <t>WILLIAM EDUARDO HUERA ORTIZ</t>
  </si>
  <si>
    <t>Atalla</t>
  </si>
  <si>
    <t>SEC0004</t>
  </si>
  <si>
    <t>Herramienta de generación de llaves de cifrado para la encripción del tráfico usado por varios aplicativos</t>
  </si>
  <si>
    <t>Athento</t>
  </si>
  <si>
    <t>TIE0025</t>
  </si>
  <si>
    <t>ECM Athento, es una herramienta de gestión de contenido transversal a institución, que cuenta con capacidades de ocr,ia, clasificación entre otras con la finalidad de dar gestión y almacenamiento a documentos</t>
  </si>
  <si>
    <t>COE_TRANSFORMACION_PROCESOS</t>
  </si>
  <si>
    <t>JAVIER ENRIQUE RIOS CASTILLO</t>
  </si>
  <si>
    <t>FREDI ALEXANDER ELIZALDE RODRIGUEZ</t>
  </si>
  <si>
    <t>SANTIAGO POSADA ZULUAGA</t>
  </si>
  <si>
    <t>ELIZALDE RODRIGUEZ FREDI ALEXANDER</t>
  </si>
  <si>
    <t>ATMCampanias</t>
  </si>
  <si>
    <t>CUS0002</t>
  </si>
  <si>
    <t>Aplicación stand alone la cual permite cargar archivos de información de campañas para ser promocionadas a través de los cajeros automáticos. Es la nueva aplicación</t>
  </si>
  <si>
    <t>AURO SUITE</t>
  </si>
  <si>
    <t>COR0003</t>
  </si>
  <si>
    <t>Sistema que permite gestionar los depósitos a plazo generados en Banco Pichincha por los segmentos de  bancas privada, empresarial y preferencial</t>
  </si>
  <si>
    <t>EDITH SUSANA ACUNA GARCIA</t>
  </si>
  <si>
    <t>EXTRAE REPORTE DE USUARIOS DESDE LA APP</t>
  </si>
  <si>
    <t>https://servicioauro.uio.bpichincha.com:8443/auro</t>
  </si>
  <si>
    <t>Auth0</t>
  </si>
  <si>
    <t>SEC0051</t>
  </si>
  <si>
    <t>Auth0, es la nueva aplicación de autenticación para los clientes de canales digitales</t>
  </si>
  <si>
    <t>EVALUADO, CUMPLE CRITERIOS, SIN EMBARGO, POR IMPOSIBILIDAD DE SEGREGACIÓN Y SOLICITUD DE SANTIAGO MEDRANDA IDENTIDADES NO ADMINISTRARA.</t>
  </si>
  <si>
    <t>Automation Anywhere RPA</t>
  </si>
  <si>
    <t>TIE0002</t>
  </si>
  <si>
    <t>Una automatización robótica de procesos es una forma naciente de automatización de los procesos de negocio que replica las acciones de un ser humano interactuando con la interfaz de usuario de un sistema informático</t>
  </si>
  <si>
    <t>DAVID JOEL REVELO BORJA</t>
  </si>
  <si>
    <t>THALIA ALEJANDRA LOZADA ARELLANO</t>
  </si>
  <si>
    <t>AutorizadorPichincha</t>
  </si>
  <si>
    <t>SEC0005</t>
  </si>
  <si>
    <t>Aplicación para generar una OTP para que el asesor ejecute la transacción financiera solicitada.</t>
  </si>
  <si>
    <t>AVAYA Aura</t>
  </si>
  <si>
    <t>ITM0003</t>
  </si>
  <si>
    <t>Plataforma de Comuniaciones Unificadas Coorporativa</t>
  </si>
  <si>
    <t>MAURICIO FERNANDO NAVAS GALLARDO</t>
  </si>
  <si>
    <t>ROSITA LORENA CHAVEZ CABRERA</t>
  </si>
  <si>
    <t>Azure AD</t>
  </si>
  <si>
    <t>SEC0048</t>
  </si>
  <si>
    <t>Sincronización Usuarios Office 365</t>
  </si>
  <si>
    <t>MARIO ALBERTO TOSCANO GUANIN</t>
  </si>
  <si>
    <t>RICHARD FABRICIO BRIONES LAICA</t>
  </si>
  <si>
    <t>Cheque Image Server (CIS Totem)</t>
  </si>
  <si>
    <t>CHL0010</t>
  </si>
  <si>
    <t>Componente que permite el envío de imágenes de cheques desde cada ATM de Depositario hacia la solución de Canje Digital (CheqScan).</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</si>
  <si>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</si>
  <si>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</si>
  <si>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</si>
  <si>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HECTOR DAVID CANTOS CEDENO</t>
  </si>
  <si>
    <t>CLIENT PUEX</t>
  </si>
  <si>
    <t>CHL0012</t>
  </si>
  <si>
    <t>Aplicación que permite la actualización de pantallas de los ATMs y la extracción de EDCs (logs) de los mismos.</t>
  </si>
  <si>
    <t>GRUPO ACTIVE DIRECTORY</t>
  </si>
  <si>
    <t>COBIS BANCA COMUNAL</t>
  </si>
  <si>
    <t>PRD0052</t>
  </si>
  <si>
    <t>Gestión de préstamos colectivos.</t>
  </si>
  <si>
    <t>MYRIAM ADRIANA YANGUICELA TIPAN</t>
  </si>
  <si>
    <t>YEPEZ HERRERA SILVIA VIVIANA</t>
  </si>
  <si>
    <t>http://10.21.30.70/microbanx/Default.htm</t>
  </si>
  <si>
    <t>CollabNet Subversion</t>
  </si>
  <si>
    <t>ITM0007</t>
  </si>
  <si>
    <t>Herramienta de repositorio de control de versiones</t>
  </si>
  <si>
    <t>Compass</t>
  </si>
  <si>
    <t>SEC0076</t>
  </si>
  <si>
    <t>Sistema de alarmas</t>
  </si>
  <si>
    <t>LUIS ENRIQUE ALVAREZ GARCIA</t>
  </si>
  <si>
    <t>Cambiar las contraseñas de los usuarios personalizados periodicamente y enviar por correo ya que no existe el control de caducidad de clave.</t>
  </si>
  <si>
    <t>ANDRADE BRAVO ANDY JOSE</t>
  </si>
  <si>
    <t>Acceso mediante cybeark_x000D_
Server: 10.70.72.246_x000D_
Hostname: prewsf001</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</si>
  <si>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</si>
  <si>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</si>
  <si>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</si>
  <si>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EMPRESAS</t>
  </si>
  <si>
    <t>MIRTHA CATHERINE ARCELA ESPINOZA</t>
  </si>
  <si>
    <t>GONZALO MARCELO NAZATI GONZALEZ</t>
  </si>
  <si>
    <t>FRANKLIN HAYBECK SERRANO GOMEZ</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</si>
  <si>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</si>
  <si>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</si>
  <si>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</si>
  <si>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</si>
  <si>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Conexión Empresas Online</t>
  </si>
  <si>
    <t>PAY0005</t>
  </si>
  <si>
    <t>Front del Sitio Web que permite administrar tarjetas prepago.</t>
  </si>
  <si>
    <t>DAVID ALEJANDRO CHAVEZ PENAHERRERA</t>
  </si>
  <si>
    <t>HENRRY DANIEL MORETA IZA</t>
  </si>
  <si>
    <t>Conexión Personas Online</t>
  </si>
  <si>
    <t>PAY0006</t>
  </si>
  <si>
    <t>Configuración Centralizada</t>
  </si>
  <si>
    <t>SEC0008</t>
  </si>
  <si>
    <t>Aplicativo que permite la administración de las configuraciones de comunicación de las distintas aplicaciones: servidores, usuarios, cadenas de conexión, bases de datos, servicios.</t>
  </si>
  <si>
    <t>RODNEY XAVIER JACOME TERAN</t>
  </si>
  <si>
    <t>http://10.151.12.59/Tcs.ServicioConfiguracion.Web/Paginas/Administracion/Usuarios.aspx</t>
  </si>
  <si>
    <t>Confluent</t>
  </si>
  <si>
    <t>OMN0002</t>
  </si>
  <si>
    <t>SANTIAGO ALEXANDER CHERREZ RAMIREZ</t>
  </si>
  <si>
    <t>JOHANNA ELIZABETH CARANGUI VIVAR</t>
  </si>
  <si>
    <t>Control-M</t>
  </si>
  <si>
    <t>ITM0008</t>
  </si>
  <si>
    <t>Herramienta Schedule (Calendarización y ejecución de Procesos Batch)</t>
  </si>
  <si>
    <t>Gerencia Servicios Producción Tecnológica</t>
  </si>
  <si>
    <t>MARIO SIXTO ZEGARRA OREZZOLI</t>
  </si>
  <si>
    <t>XAVIER ALEJANDRO JARAMILLO CEVALLOS</t>
  </si>
  <si>
    <t>Copy Services Manager</t>
  </si>
  <si>
    <t>ITM0009</t>
  </si>
  <si>
    <t>Software Administración de Replicas del Storage</t>
  </si>
  <si>
    <t>PABLO RAUL CAICEDO ARELLANO</t>
  </si>
  <si>
    <t>Coren WEB</t>
  </si>
  <si>
    <t>SEC0071</t>
  </si>
  <si>
    <t>Cerraduras electrónicas</t>
  </si>
  <si>
    <t>GAIBOR GARZON FRANKLIN ALCIDES</t>
  </si>
  <si>
    <t>10.70.72.249:5000</t>
  </si>
  <si>
    <t>CreditLens</t>
  </si>
  <si>
    <t>RIS0004</t>
  </si>
  <si>
    <t>Motor de cálculo de banca para proyecciones, balances, representa el 1/3 de las funciones del Banco. para pymes y  empresas</t>
  </si>
  <si>
    <t>EDISON JAVIER RODRIGUEZ SIMBANA</t>
  </si>
  <si>
    <t>ENVIAR CORREO ELECTRONICO A FLECHAS BAEZ CAMILO</t>
  </si>
  <si>
    <t>FLECHAS BAEZ CAMILO</t>
  </si>
  <si>
    <t>GESTION COMPARTIDA, SE ENVIA UN CORREO AL RESPONSABLE: OCHOA VERA PAULINA DOMINIQUE PARA REALIZAR EL ABM USUARIOS</t>
  </si>
  <si>
    <t>Gestión de Identidades no ingresa al aplicativo</t>
  </si>
  <si>
    <t>CREDITO EN LINEA</t>
  </si>
  <si>
    <t>PRD0046</t>
  </si>
  <si>
    <t>Aplicación para la generación, simulación y desembolso de créditos preciso preaprobados.</t>
  </si>
  <si>
    <t>TATIANA ISABEL ZAMORA VILLAVICENCIO</t>
  </si>
  <si>
    <t>Crédito Hipotecario</t>
  </si>
  <si>
    <t>PRD0047</t>
  </si>
  <si>
    <t>Portal para Autogestion de creditos hipotecarios</t>
  </si>
  <si>
    <t>SAMIRA ISABEL RABIE CABEZAS</t>
  </si>
  <si>
    <t>Azure Devops</t>
  </si>
  <si>
    <t>ITM0072</t>
  </si>
  <si>
    <t>Servicio CI/CD</t>
  </si>
  <si>
    <t>Deuna Backoffice</t>
  </si>
  <si>
    <t>SUP0030</t>
  </si>
  <si>
    <t>Aplicacion micro Front end que permite autogestión del comercio para la configuración del negocio, consilización y ajustes contables</t>
  </si>
  <si>
    <t>Bactrader</t>
  </si>
  <si>
    <t>SUP0004</t>
  </si>
  <si>
    <t>Aplicación que permite el manejo de inversiones a nivel de clientes corporativos y Banca Privada (Clientes Naturales).</t>
  </si>
  <si>
    <t>MARIA ISABEL AYALA HIDALGO</t>
  </si>
  <si>
    <t>Bancs</t>
  </si>
  <si>
    <t>COR0004</t>
  </si>
  <si>
    <t>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</si>
  <si>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Switch Transaccional</t>
  </si>
  <si>
    <t>BancsLink</t>
  </si>
  <si>
    <t>COR0005</t>
  </si>
  <si>
    <t>Front del Core Bancario Bancs encargado de presentar una interfaz de  usuario para la ejecucion de diversas transacciones financieras y no financieras.</t>
  </si>
  <si>
    <t>SOLICITA REPORTE DE PERFILES DE FORMA QUINCENAL</t>
  </si>
  <si>
    <t>VASCONEZ TORRES OSCAR VINICIO</t>
  </si>
  <si>
    <t>https://logincentral.bp.bpichincha.com</t>
  </si>
  <si>
    <t>Banner Campañas</t>
  </si>
  <si>
    <t>CUS0018</t>
  </si>
  <si>
    <t>Banner para campañas de marketing</t>
  </si>
  <si>
    <t>Banred ON2 (Pago directo)</t>
  </si>
  <si>
    <t>PRD0037</t>
  </si>
  <si>
    <t>WILLIAM RENATO CALDERON ROSERO</t>
  </si>
  <si>
    <t>JULIO CESAR VEGA GUZMAN</t>
  </si>
  <si>
    <t>Banred Switch Bono de Desarrollo Humano</t>
  </si>
  <si>
    <t>PRD0005</t>
  </si>
  <si>
    <t>Banred Switch IESS</t>
  </si>
  <si>
    <t>PRD0006</t>
  </si>
  <si>
    <t>Banred Switch SENAE</t>
  </si>
  <si>
    <t>PRD0007</t>
  </si>
  <si>
    <t>Banred Switch UPP</t>
  </si>
  <si>
    <t>PRD0008</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</si>
  <si>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</si>
  <si>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</si>
  <si>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</si>
  <si>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</si>
  <si>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DANIELA ELIZABETH ROSERO CASA</t>
  </si>
  <si>
    <t>Datos</t>
  </si>
  <si>
    <t>BECLEVER</t>
  </si>
  <si>
    <t>RIS0003</t>
  </si>
  <si>
    <t>Motor de Decisión que realiza la calificación de créditos de un cliente.</t>
  </si>
  <si>
    <t>Billetera Pichincha</t>
  </si>
  <si>
    <t>CHL0033</t>
  </si>
  <si>
    <t>Aplicación móvil para realizar pagos entre personas y comercios.</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</si>
  <si>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</si>
  <si>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</si>
  <si>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</si>
  <si>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DAVID OCTAVIO CORDOVA COLLAHUAZO</t>
  </si>
  <si>
    <t>EJECUTAR SCRIPT SQL PARA OBTENER REPORTE USUARIOS MEDIANTE GRUPOS DE AD</t>
  </si>
  <si>
    <t>DE LA TORRE TRUJILLO ISRAEL SEBASTIAN</t>
  </si>
  <si>
    <t>GRUPOS AD: GA_BIOCATCH_XXX</t>
  </si>
  <si>
    <t>https://portalapp-54085ba9.us.v2.we-stats.com/app/portal</t>
  </si>
  <si>
    <t>BIZAGI (Deshabilitado)</t>
  </si>
  <si>
    <t>TIE0003</t>
  </si>
  <si>
    <t>Aplicación que permite la automatización de procesos de negocio llevadas a cabo por Banco Pichincha.</t>
  </si>
  <si>
    <t>ROSEMBERTH SEBASTIAN BONE ROSSI</t>
  </si>
  <si>
    <t>BMC TSSA</t>
  </si>
  <si>
    <t>ITM0076</t>
  </si>
  <si>
    <t>Agente para el control de Automatización</t>
  </si>
  <si>
    <t>Gerencia Ingeniería de Seguridad Tecnológica</t>
  </si>
  <si>
    <t>PABLO ALEJANDRO VERDESOTO AVILES</t>
  </si>
  <si>
    <t>MAURICIO JAVIER BALDEON GARZON</t>
  </si>
  <si>
    <t>BP-MOVIL</t>
  </si>
  <si>
    <t>CHL0007</t>
  </si>
  <si>
    <t>APP BP-MOVIL, aplicación móvil Banco Pichincha, en la que podrá consultar posicion consolidada, consultar últimos movimientos, realizar transferencias.</t>
  </si>
  <si>
    <t>BPOne</t>
  </si>
  <si>
    <t>CHL0045</t>
  </si>
  <si>
    <t>BPOne es el portal único para la atención de los clientes en los canales físicos (Agencias y Call Center).</t>
  </si>
  <si>
    <t>DIEGO ROBERTO GORDON UCHUARI</t>
  </si>
  <si>
    <t>LUIS FERNANDO CORDOVAS RODAS</t>
  </si>
  <si>
    <t>Detalle del criterio de recepción:_x000D_
_x000D_
o En base al documento ¿BPECU-SEG-044-STD - Estándar de Recepción de Módulos de _x000D_
Gestión de Accesos y Perfiles V 2.1-¿; se define que uno de los criterios para la recepción _x000D_
es que la aplicación cuente con un módulo de gestión de accesos y perfiles._x000D_
_x000D_
o En base a la información técnica validada en conjunto con el equipo administrador, se _x000D_
confirma que la aplicación por el momento no cuenta con un módulo para la gestión de _x000D_
accesos y perfiles. Adicionalmente se tienen las siguientes observaciones:_x000D_
_x000D_
o De la revisión documental se identificó que la aplicación implementa un mecanismo de _x000D_
autenticación y validación basado en token y roles externos, pero no evidencia la _x000D_
existencia de un módulo de administración de usuarios y perfiles dentro de la propia _x000D_
aplicación._x000D_
_x000D_
o Finalmente, se realiza la consulta al administrador para ratificar si la aplicación no cuenta _x000D_
con un módulo para administrar usuarios y perfiles, a lo que López Ruiz Carlos Rodrigo - _x000D_
EXPERTO ESTRATEGIA CANALES menciona: ¿No tiene, ya que la administración para _x000D_
otorgar acceso a usuarios debe ser por el Entra ID¿. Esto fue enviado el día 1 de abril del _x000D_
2026 mediante un correo con asunto: ¿RE: Solicitud entrega del aplicativo a Gestión de _x000D_
Identidades: BPONE¿._x000D_
_x000D_
o Cabe mencionar que el acceso a la aplicación se gestiona mediante la asignación de _x000D_
usuarios a grupos de seguridad Cloud (GSC_BPONE) y/o de Directorio Activo (GA_BPONE), _x000D_
este proceso de asignación de usuario es ejecutado por Gestión de Identidades.</t>
  </si>
  <si>
    <t>LOPEZ RUIZ CARLOS RODRIGO</t>
  </si>
  <si>
    <t>https://bpone.pichincha.com/</t>
  </si>
  <si>
    <t>Bridger Insight XG Enterprise</t>
  </si>
  <si>
    <t>GOB0011</t>
  </si>
  <si>
    <t>Aplicación que administra la gestión de Lista de Observados, permite realizar las búsquedas de un cliente determinado en las listas que se configuren.</t>
  </si>
  <si>
    <t>GABRIEL ERNESTO BUSTILLOS RAMOS</t>
  </si>
  <si>
    <t>https://launcher.myapps.microsoft.com/api/signin/11dc4a76-c56d-4609-81cd-5d7f1b4c78d9?tenantId=f5b0d682-1497-4db0-9019-660035554e72</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</si>
  <si>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</si>
  <si>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</si>
  <si>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</si>
  <si>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CAFServer (TOTEM)</t>
  </si>
  <si>
    <t>PAY0003</t>
  </si>
  <si>
    <t>Aplicación que permite gestionar la seguridad, la validación, sincronización, consulta de datos de tarjetas de débito. Apalanca el funcionamiento del StandIn en Banred.</t>
  </si>
  <si>
    <t>EVALUADO:_x000D_
o	Mediante email LASSO AYALA DANY FERNANDO, RE: Recepción de Aplicaciones CAFServer (TOTEM) - FASE 1: CONTROL Y CUMPLIMIENTO, miércoles 15/10/2025 18:57 menciona que: _x000D_
_x000D_
Por favor, tener en cuenta las siguientes consideraciones:_x000D_
o	El aplicativo CAFServer se encuentra en un proceso de apagado_x000D_
o	El aplicativo CAFServer no posee usuario ni un frontend.  Netamente se comunica a la base de cardholder en siglo XXI para censar las nuevas tarjetas creadas y se comunica con BANRED para sincronizar las tarjetas.  _x000D_
o	Los controles de cambio se gestionan con el proveedor TOTEM, es decir, ninguna de banco puede ingresar y modificar el aplicativo._x000D_
o	 La aplicación no cuenta con un módulo para la gestión de accesos._x000D_
En conclusión, el aplicativo CAFServer no maneja usuarios ni permisos."</t>
  </si>
  <si>
    <t>o	CAFServer (TOTEM) es una aplicación backend que se comunica a la base de Cardholder en siglo XXI para censar las nuevas tarjetas creadas y se comunica con BANRED para sincronizar las tarjetas.</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</si>
  <si>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</si>
  <si>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</si>
  <si>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</si>
  <si>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Callme back</t>
  </si>
  <si>
    <t>CUS0003</t>
  </si>
  <si>
    <t>Campañas SMS Anyway</t>
  </si>
  <si>
    <t>CUS0004</t>
  </si>
  <si>
    <t>Propio - ANYWAY</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</si>
  <si>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</si>
  <si>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</si>
  <si>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</si>
  <si>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</si>
  <si>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</si>
  <si>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</si>
  <si>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CardHolder</t>
  </si>
  <si>
    <t>PAY0004</t>
  </si>
  <si>
    <t>Aplicación utilizada por el Balcón de Servicios para ejecutar los  procesos de  registro, solicitud, emisión, entrega, activación, modificación, reposición y cancelación de tarjetas débito</t>
  </si>
  <si>
    <t>LOGINCENTRAL - SIGLO21</t>
  </si>
  <si>
    <t>https://precwwa033.uio.bpichincha.com/cardholder/entorno/chllogin.aspx</t>
  </si>
  <si>
    <t>CARTERA_CASTIGADA</t>
  </si>
  <si>
    <t>RIS0020</t>
  </si>
  <si>
    <t>CashApp</t>
  </si>
  <si>
    <t>PRD0011</t>
  </si>
  <si>
    <t>Aplicación Movil homologada de Cash New Release, para pagos, cobros y recaudaciones.</t>
  </si>
  <si>
    <t>MARIA GABRIELA GAVILANES BARRERA</t>
  </si>
  <si>
    <t>DANIEL ARMANDO AGUIRRE ALCIVAR</t>
  </si>
  <si>
    <t>AT_EASYPAGOS</t>
  </si>
  <si>
    <t>CashManagement</t>
  </si>
  <si>
    <t>PRD0012</t>
  </si>
  <si>
    <t>Componente front que expone la funcionalidad de CashManagement.</t>
  </si>
  <si>
    <t>EASYPAGOS</t>
  </si>
  <si>
    <t>GAVILANES BARRERA MARIA GABRIELA</t>
  </si>
  <si>
    <t>https://cashmanagement.pichincha.com/easyseguridad/EasyLogin/indexPichincha.html</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</si>
  <si>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</si>
  <si>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</si>
  <si>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</si>
  <si>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</si>
  <si>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o En base al documento ¿BPECU-SEG-044-STD - Estándar de Recepción de Módulos de _x000D_
Gestión de Accesos y Perfiles V 2.1-¿; donde se define que uno de los criterios para la _x000D_
recepción es que la aplicación debe estar clasificada en una de las siguientes 4 categorías: _x000D_
¿ Datos _x000D_
¿ Aplicaciones del Negocio _x000D_
¿ Consolas de Plataformas de Seguridad _x000D_
o Se valida en Service Now que CELONIS es un aplicativo priorizado por TI como E - No _x000D_
Crítica, y categorizado como ¿Aplicación Complementaria¿.</t>
  </si>
  <si>
    <t>ZAPATTA CARTAGENA JOHANNA PAOLA</t>
  </si>
  <si>
    <t>CREAR REQUERIMIENTO_x000D_
_x000D_
Actualmente, la gestión de usuarios en el aplicativo se realiza mediante grupos de seguridad Cloud. En caso de requerir acceso se debe generar un requerimiento a través del flujo: Inicio ¿ Seguridad ¿ Usuarios y Accesos ¿ Requerimientos Cloud ¿ Usuarios ¿ Consolas de Administración TI (Críticas A, B, C, D)  y Accesos Cloud. El usuario solicitante deberá adjuntar la autorización emitida por su Línea de Supervisión, en la cual se apruebe el grupo o rol requerido.</t>
  </si>
  <si>
    <t>Cheqscan</t>
  </si>
  <si>
    <t>PAY0002</t>
  </si>
  <si>
    <t>Sistema actual de procesamiento de cheques</t>
  </si>
  <si>
    <t>JOHANNA GABRIELA GUERRERO SANTAMARIA</t>
  </si>
  <si>
    <t>Cheque Image Client</t>
  </si>
  <si>
    <t>CHL0009</t>
  </si>
  <si>
    <t>ACL Robotics Enterprise</t>
  </si>
  <si>
    <t>GOB0010</t>
  </si>
  <si>
    <t>Aplicación para la automatización de flujos de auditoría, desde la extracción de los datos fuentes, hasta la gestión de notificaciones y excepciones</t>
  </si>
  <si>
    <t>SEC0047</t>
  </si>
  <si>
    <t>Controladores de Dominio</t>
  </si>
  <si>
    <t>Ninguno</t>
  </si>
  <si>
    <t>Dominio: uio.bpichincha.com_x000D_
Server: ecuio012d02</t>
  </si>
  <si>
    <t>Administración de Contratos</t>
  </si>
  <si>
    <t>SUP0038</t>
  </si>
  <si>
    <t>Seguimiento, alertas y calificación de Contratos.</t>
  </si>
  <si>
    <t>JUAN PABLO DURAN VEGA</t>
  </si>
  <si>
    <t>El proceso de gestión roles y perfiles se lo hace con requerimientos hacia la base de datos, Tiene una conexión mediante HC para nuevos usuarios y mediante el aplicativo Administración de Contratos Gestiona su contraseña,               El proceso de gestión de autorización se lo hace con requerimientos hacia la base de datos</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</si>
  <si>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</si>
  <si>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</si>
  <si>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</si>
  <si>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La aplicación no cuenta con un URL de acceso, únicamente se accede mediante grupo de AD: _x000D_
_x000D_
Grupo AD: GA_ADMINCREDITO</t>
  </si>
  <si>
    <t>ACCESO GRUPO: GA_ADMINCREDITO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</si>
  <si>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</si>
  <si>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</si>
  <si>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</si>
  <si>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</si>
  <si>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</si>
  <si>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</si>
  <si>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</si>
  <si>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</si>
  <si>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</si>
  <si>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</si>
  <si>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</si>
  <si>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Recursos de Siglo21: GESTION DE PARAMETROS_x000D_
Asignar: GA_LOGINC_ADMINREMESAS</t>
  </si>
  <si>
    <t>Administrador de Reportes</t>
  </si>
  <si>
    <t>GOB0001</t>
  </si>
  <si>
    <t>Aplicacion para generar los reportes de Organismos de Control para Mercado y Liquidez</t>
  </si>
  <si>
    <t>WILLIAM FELIPE ROSERO POLO</t>
  </si>
  <si>
    <t>Administrador Omnicanal</t>
  </si>
  <si>
    <t>CHL0003</t>
  </si>
  <si>
    <t>Aplicación de administración de omnicanalidad que permite la parametrización para interactuar y llevar a cabo las transacciones por Banca Digital (CXP).</t>
  </si>
  <si>
    <t>NOMBRE SIMILAR: MOTOR_PAGOS</t>
  </si>
  <si>
    <t>CAICEDO RODRIGUEZ DIANA PATRICIA</t>
  </si>
  <si>
    <t>https://administradoromnicanal.uio.bpichincha.com:6914/Pagos/dist/home_x000D_
ASIGNAR GRUPO: GA_MOTOR_PAGOS</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</si>
  <si>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</si>
  <si>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</si>
  <si>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</si>
  <si>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Fernando Ivan Flores Sanchez</t>
  </si>
  <si>
    <t>SIGLO 21: REFERENCIAS BANCARIAS - INTRANET</t>
  </si>
  <si>
    <t>Operación de Estructuras Normativas UAFE / RML</t>
  </si>
  <si>
    <t>GOB0002</t>
  </si>
  <si>
    <t>Aplicación en Intranet que permite la carga y procesamiento de información para la generación de reportes para los entes de control como la Superintendencia de Bancos y SRI.</t>
  </si>
  <si>
    <t>CESAR MAURICIO PANTOJA MIRANDA</t>
  </si>
  <si>
    <t>EVALUADO:</t>
  </si>
  <si>
    <t>Adobe suite</t>
  </si>
  <si>
    <t>EDC0001</t>
  </si>
  <si>
    <t>Conjunto de programas para edicion de video fotografia e imagenes vectoriales.</t>
  </si>
  <si>
    <t>Akamai WAF</t>
  </si>
  <si>
    <t>SEC0002</t>
  </si>
  <si>
    <t>https://control.akamai.com/apps/auth/#/login</t>
  </si>
  <si>
    <t>Alarmnet</t>
  </si>
  <si>
    <t>SEC0043</t>
  </si>
  <si>
    <t>Sistema de programación para comunicación de alarmas.</t>
  </si>
  <si>
    <t>FIREEYE AFO_D</t>
  </si>
  <si>
    <t>SEC0067</t>
  </si>
  <si>
    <t>DANNY ALEXANDER BASTIDAS FLORES</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</si>
  <si>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</si>
  <si>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</si>
  <si>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</si>
  <si>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192.168.71.91 DCP o 192.168.71.93 DCA_x000D_
https://192.168.71.90/securitymanager/#/login</t>
  </si>
  <si>
    <t>Firma Electrónica</t>
  </si>
  <si>
    <t>EDC0009</t>
  </si>
  <si>
    <t>Componentes On-Premise para integración con la plataforma en nube del proveedor onespan</t>
  </si>
  <si>
    <t>FLUID ARM</t>
  </si>
  <si>
    <t>SEC0054</t>
  </si>
  <si>
    <t>FLUID ARM una herramienta de seguridad para escaneo y detección de vulnerabilidades a nivel de código fuente.</t>
  </si>
  <si>
    <t>FREDY OMAR MORANTES MORENO</t>
  </si>
  <si>
    <t>ROBERTH DARIO CHAVEZ JARA</t>
  </si>
  <si>
    <t>Forcepoint DLP</t>
  </si>
  <si>
    <t>SEC0022</t>
  </si>
  <si>
    <t>Forcepoint DLP Endpoint es una herramienta  diseñada para organizaciones preocupadas por la pérdida de datos que se origina en la máquina del punto final, ya sea de</t>
  </si>
  <si>
    <t>REPORTE SE OBTIENE DESDE LA APP</t>
  </si>
  <si>
    <t>PALADINES BUSTAMANTE FERNANDO JAVIER</t>
  </si>
  <si>
    <t>CYBEARK:ECBPPRSI93_x000D_
https://forcepointmanagementconsole.uio.bpichincha.com:9443/manager/login/pages/l_x000D_
oginPage.jsf</t>
  </si>
  <si>
    <t>Formularios del Portal</t>
  </si>
  <si>
    <t>CUS0009</t>
  </si>
  <si>
    <t>Fortify</t>
  </si>
  <si>
    <t>SEC0023</t>
  </si>
  <si>
    <t>Es una herramienta de análisis de vulnerabilidades en aplicaciones, ejecutando escaneos de seguridad de código estático y dinámico. El mismo nos permite tener visibilidad de las vulnerabilidades en las aplicaciones tanto en el desarrolo y certificación, como en los escaneos mensuales que realiza seltika a las aplicaciones acordadas</t>
  </si>
  <si>
    <t>Frontify</t>
  </si>
  <si>
    <t>EDC0003</t>
  </si>
  <si>
    <t>Repositorio de documentacion de definiciones de diseño.</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</si>
  <si>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</si>
  <si>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</si>
  <si>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</si>
  <si>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</si>
  <si>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DESKTOP - AS400</t>
  </si>
  <si>
    <t>GEENERA</t>
  </si>
  <si>
    <t>SUP0007</t>
  </si>
  <si>
    <t>Aplicación para el manejo de información relacionada con recursos humanos de Banco Pichincha.</t>
  </si>
  <si>
    <t>PARDO ULLAGUARI ANDREA PAULINA</t>
  </si>
  <si>
    <t>BDD</t>
  </si>
  <si>
    <t>Desktop</t>
  </si>
  <si>
    <t>Genesys Cloud</t>
  </si>
  <si>
    <t>CHL0040</t>
  </si>
  <si>
    <t>Solución de contact center como servicio que permite la comunicación de los clientes en los distintos canales como voz, mensajería o correo</t>
  </si>
  <si>
    <t>JOSE LUIS MONTUFAR ZAMBRANO</t>
  </si>
  <si>
    <t>Reporte: Service Now/Requerimientos IVR Genesys Cloud_x000D_
ASIGNACION GRUPO: GA_CALLCENTER_GENESYS</t>
  </si>
  <si>
    <t>Gestión de Liquidez 2.0</t>
  </si>
  <si>
    <t>SUP0009</t>
  </si>
  <si>
    <t>Aplicación la cual controla y revisa la liquidez del banco tanto externa como interna</t>
  </si>
  <si>
    <t>REEMPLAZO DE JAGUAR LIQUIDEZ PLUS</t>
  </si>
  <si>
    <t>VILLACRESES DONOSO CAMILA</t>
  </si>
  <si>
    <t>CISNEROS MANOSALVAS EDGAR NAPOLEON</t>
  </si>
  <si>
    <t>Gestión del Efectivo</t>
  </si>
  <si>
    <t>SUP0032</t>
  </si>
  <si>
    <t>Aplicativo de manejo de masa monetaria del banco, agencias, centros de acopio, BCE</t>
  </si>
  <si>
    <t>Módulo para Gestión de Perfiles</t>
  </si>
  <si>
    <t>PARRA LEON PRISCILA ALEXANDRA</t>
  </si>
  <si>
    <t>https://gde-portal.aan.cloud.bpichincha.com/login</t>
  </si>
  <si>
    <t>Gestion Identidades-WSO2 Interna</t>
  </si>
  <si>
    <t>SEC0024</t>
  </si>
  <si>
    <t>Aplicativo Gestión Identidades</t>
  </si>
  <si>
    <t>ADMINISTRACION ELIMINADA WSO2</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</si>
  <si>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</si>
  <si>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</si>
  <si>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</si>
  <si>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LUIS ERNESTO ALMEIDA ZAMBRANO</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</si>
  <si>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</si>
  <si>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</si>
  <si>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</si>
  <si>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DAVID SEBASTIAN CHAGUARO VASCONEZ</t>
  </si>
  <si>
    <t>BALDEON GARZON MAURICIO JAVIER</t>
  </si>
  <si>
    <t>https://mfti1.bp.bpichincha.com:8001/goanywhere/auth/Login.xhtml</t>
  </si>
  <si>
    <t>Golden Gate</t>
  </si>
  <si>
    <t>DAT0017</t>
  </si>
  <si>
    <t>Replicación de Datos, de uso primario en Banca Móvil</t>
  </si>
  <si>
    <t>JUAN FRANCISCO MALDONADO TORRES</t>
  </si>
  <si>
    <t>EVALUADO:_x000D_
Descripción del aplicativo: _x000D_
o Replicación de Datos, de uso primario en Banca Móvil._x000D_
_x000D_
Mediante email MALDONADO TORRES JUAN FRANCISCO, en email: RE: Asignación de Recepción de Aplicaciones NTTDATA, miércoles 15/10/2025 17:09 menciona que: _x000D_
_x000D_
"Saludos Equipo,_x000D_
Acorde a la reunión mantenida, la herramienta Oracle Golden Gate no tiene la necesidad de realizar una creación de usuarios adicionales al usuario administrador (oggadmin - RITM0563601), ya que la herramienta es administrada por la torre de base de datos TCS, y únicamente hace uso del usuario en mención para tareas específicas y propias de administración de Golden Gate por medio de la consola de administración dentro del sistema operativo donde se encuentra alojada la herramienta._x000D_
_x000D_
Como un detalle adicional, en caso de requerirse un usuario adicional se lo debe realizar mediante la consola de administración (adminclient) y conectado con el usuario oggadmin de manera conjunta con la torre de base de datos y gestión de identidades, debido a que Golden Gate no cuenta con un módulo exclusivo para la gestión de usuarios, además que existe una custodia compartida entre las áreas mencionadas."</t>
  </si>
  <si>
    <t>MALDONADO TORRES JUAN FRANCISCO</t>
  </si>
  <si>
    <t>Google Analytics</t>
  </si>
  <si>
    <t>EDC0004</t>
  </si>
  <si>
    <t>EMMANUELLE SEGOLENE REPAIN DAPHNE</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</si>
  <si>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</si>
  <si>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</si>
  <si>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</si>
  <si>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ERICK GABRIEL TORRES NEVAREZ</t>
  </si>
  <si>
    <t>HUGO ARIEL COSENTINO</t>
  </si>
  <si>
    <t>HCI</t>
  </si>
  <si>
    <t>ITM0063</t>
  </si>
  <si>
    <t>Extrae información desde BDD la procesa y guarda información  HCP</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</si>
  <si>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</si>
  <si>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</si>
  <si>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</si>
  <si>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</si>
  <si>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</si>
  <si>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</si>
  <si>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</si>
  <si>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</si>
  <si>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</si>
  <si>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JAIME NICOLAS FUSEAU AYALA</t>
  </si>
  <si>
    <t>Hopex</t>
  </si>
  <si>
    <t>ITM0027</t>
  </si>
  <si>
    <t>VICTOR HENRY SALINAS AGUIRRE</t>
  </si>
  <si>
    <t>CATALINA ALEXANDRA ALDAZ FLORES</t>
  </si>
  <si>
    <t>Horas extras</t>
  </si>
  <si>
    <t>SUP0010</t>
  </si>
  <si>
    <t>Aplicativo en donde los colaboradores registran las horas laborables adicionales a su jornada</t>
  </si>
  <si>
    <t>Host Integration Server</t>
  </si>
  <si>
    <t>ITM0028</t>
  </si>
  <si>
    <t>Herramienta para conexión entre la plataforma Windows y Siglo 21</t>
  </si>
  <si>
    <t>Hotjar</t>
  </si>
  <si>
    <t>EDC0005</t>
  </si>
  <si>
    <t>Herramienta de medicion y analiticas de flujos web y grabaciones.</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</si>
  <si>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</si>
  <si>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</si>
  <si>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</si>
  <si>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</si>
  <si>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</si>
  <si>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https://bpichincha.identitynow.com/ui/search/search</t>
  </si>
  <si>
    <t>IBM Business Process Manager (BPM) 6.0</t>
  </si>
  <si>
    <t>TIE0005</t>
  </si>
  <si>
    <t>Administrador de procesos</t>
  </si>
  <si>
    <t>PLATAFORMA</t>
  </si>
  <si>
    <t>RHDS</t>
  </si>
  <si>
    <t>Red Hat Directory Service</t>
  </si>
  <si>
    <t>IBM Business Process Manager</t>
  </si>
  <si>
    <t>TIE0006</t>
  </si>
  <si>
    <t>BPM presenta flujos para manejo de activos (créditos), pasivos (cámara y certificados de depósito), desembolso Credife, centro de autorización, oferta de créditos fabricalizados y tarjetas.</t>
  </si>
  <si>
    <t>IBM Business Process Manager (Process Server) 6.0</t>
  </si>
  <si>
    <t>TIE0016</t>
  </si>
  <si>
    <t>IBM Deployment Manager (Dmgr)</t>
  </si>
  <si>
    <t>ITM0030</t>
  </si>
  <si>
    <t>Herramienta que me permite administrar los nodos de productos de IBM.</t>
  </si>
  <si>
    <t>IBM Deployment Manager (Dmgr_BPM)</t>
  </si>
  <si>
    <t>ITM0031</t>
  </si>
  <si>
    <t>Herramienta que me permite administrar los nodos de aplicación de IBM BPM.</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</si>
  <si>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</si>
  <si>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</si>
  <si>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</si>
  <si>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</si>
  <si>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</si>
  <si>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</si>
  <si>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PABLO VINICIO PONCE GONZALEZ</t>
  </si>
  <si>
    <t>La gestión es a través de los grupos de Directorio Activo</t>
  </si>
  <si>
    <t>https://10.70.144.229:9043/ibm/console</t>
  </si>
  <si>
    <t>IBM Spectrum Control</t>
  </si>
  <si>
    <t>ITM0034</t>
  </si>
  <si>
    <t>Herramienta de Monitore para Storage IBM</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</si>
  <si>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</si>
  <si>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</si>
  <si>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</si>
  <si>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ALEJANDRO JAVIER USHCA FLORES</t>
  </si>
  <si>
    <t>EVALUADO:_x000D_
o De acuerdo con el documento ¿BPECU-SEG-044-STD - Estándar de Recepción de Módulos _x000D_
de Gestión de Accesos y Perfiles V 2.1¿, se establecen los criterios que determinan cuándo _x000D_
una aplicación debe ser administrada por Gestión de Identidades en lo referente al A.B.M _x000D_
(Alta, Baja y Modificación) de usuarios y perfiles. Como resultado de la reunión realizada _x000D_
el viernes 21 de noviembre de 2025 (16:30 - 17:00, vía Microsoft Teams) y la posterior _x000D_
confirmación por correo electrónico, se concluyó lo siguiente: _x000D_
 _x000D_
¿ La aplicación Sonar Optimizer no cuenta con un módulo de gestión de _x000D_
usuarios/perfiles. _x000D_
(Fuente: Email BRE 766 Sonar Optimizer - Matriz de riesgo, ítem 25 - Gestión _x000D_
de Identidades, remitido por Ushca Flores Alejandro Javier) _x000D_
¿ La aplicación tiene una calificación ¿E¿ en la CMDB. _x000D_
(Fuente: Email BRE 766 Sonar Optimizer - Matriz de riesgo, ítem 25 - Gestión _x000D_
de Identidades, remitido por Ushca Flores Alejandro Javier) _x000D_
o Con base en la matriz de clasificación de aplicaciones de Gestión de Identidades y los _x000D_
criterios aplicados durante la sesión, Sonar Optimizer se etiqueta como ¿Aplicación _x000D_
Complementaria¿. _x000D_
 _x000D_
o Por lo tanto, la aplicación Sonar Optimizer, en su estado actual, no cumple con los criterios _x000D_
de recepción establecidos por la Gerencia de Gestión de Identidades.</t>
  </si>
  <si>
    <t>USHCA FLORES ALEJANDRO JAVIER</t>
  </si>
  <si>
    <t>Zendesk</t>
  </si>
  <si>
    <t>CUS0020</t>
  </si>
  <si>
    <t>PROD: https://pichincha.zendesk.com/_x000D_
TEST: https://pichincha1707161568.zendesk.com/</t>
  </si>
  <si>
    <t>Seguridad Perimetral Firewall Onpremise</t>
  </si>
  <si>
    <t>SEC0081</t>
  </si>
  <si>
    <t>CREAR TICKET: PEDIDOS DE SOPORTE E INFORMACION FW PARA GESTION TOTAL_x000D_
FIREWALL CHECKPOINT</t>
  </si>
  <si>
    <t>ALVARADO BORJA JORGE ESTEBAN</t>
  </si>
  <si>
    <t>Workvivo</t>
  </si>
  <si>
    <t>SUP0066</t>
  </si>
  <si>
    <t>WORKVIVO es una aplicación que habilita la comunicación organizacional interna para fomentar la cohesión, impulsar el compromiso de los colaboradores y reforzar los pilares de la institución en cualquier lugar de trabajo.</t>
  </si>
  <si>
    <t>EVALUADO:_x000D_
 En base al documento ¿BPECU-SEG-044-STD - Estándar de Recepción de Módulos de _x000D_
Gestión de Accesos y Perfiles V 2.1-¿; donde se define que la aplicación debe estar _x000D_
clasificada como Crítica (A, B, C o D). _x000D_
o En la reunión mantenida el martes 25 de noviembre del 2025, se verificó en la CMDB que _x000D_
la aplicación tiene las siguientes especificaciones: _x000D_
¿ Criticidad del negocio: E - NO CRITICA _x000D_
¿ Gestionado por grupo: AREAS_DE_APOYO _x000D_
o La plataforma WORKVIVO está integrada con el Directorio Activo del Banco mediante el _x000D_
IDP corporativo Entra ID. Esta integración permite una gestión centralizada, segura y sin _x000D_
intervención manual para la creación y administración de usuarios. Los usuarios se crean _x000D_
automáticamente al ser dados de alta en el Directorio Activo. Es decir, el aplicativo no _x000D_
dispone de un módulo para la gestión de accesos._x000D_
Posterior a la evaluación y comentarios de ambas partes,  Gestión de Identidades no procederá con la recepción del aplicativo.</t>
  </si>
  <si>
    <t>GARZON ANDRADE FRANKLIN STALIN</t>
  </si>
  <si>
    <t>MOTOR DECISIONAL</t>
  </si>
  <si>
    <t>RIS0021</t>
  </si>
  <si>
    <t>GINO LUCIANO VERA MIMBELA</t>
  </si>
  <si>
    <t>Swift Alliance Fullstack (ALLIANCE WEBPLATAFORM)</t>
  </si>
  <si>
    <t>GI0003</t>
  </si>
  <si>
    <t>ZAPATA CHANGO JHONNY ALEXIS</t>
  </si>
  <si>
    <t>Reporting Services Negocio Automotriz</t>
  </si>
  <si>
    <t>GI00001</t>
  </si>
  <si>
    <t>Reporting Services Negocio Automotriz - AMERAFIN</t>
  </si>
  <si>
    <t>HERRERA RODRIGUEZ YANDRY FERNANDO</t>
  </si>
  <si>
    <t>El ingreso al AD de BPAC se lo realiza a través de RDP al_x000D_
Acceder al contenedor de bpac.com.ec a la IP 192.168.4.51_x000D_
https://192.168.4.52/Reports/_x000D_
_x000D_
Migración: https://reportes.uio.bpichincha.com/Reports/browse</t>
  </si>
  <si>
    <t>Swift Alliance Fullstack (ALLIANCE GATEWAY)</t>
  </si>
  <si>
    <t>GI0002</t>
  </si>
  <si>
    <t>REPORTERIA: EXPORTAR ARCHIVO DESDE LA APP</t>
  </si>
  <si>
    <t>Seguridad Perimetral Firewall Onpremise (BPAC)</t>
  </si>
  <si>
    <t>GI0005</t>
  </si>
  <si>
    <t>NO SE REALIZA NINGUNA GESTION MIENTRAS INTEGRAN AL DOMINIO BP</t>
  </si>
  <si>
    <t>Comunicaciones Unificadas</t>
  </si>
  <si>
    <t>ITM0104</t>
  </si>
  <si>
    <t>Comunicaciones Unificadas es una Plataforma AudioCodes para gestión de recursos _x000D_
telefónicos de banco que tiene integración nativa con MS Teams.</t>
  </si>
  <si>
    <t>EVALUADO:_x000D_
¿ La aplicación Comunicaciones Unificadas no cuenta con un módulo de _x000D_
gestión de usuarios/perfiles.  (Fuente: Email RE: RITM0701623- Entrega asignación de perfiles de llamadas a Usuarios de BP - Definición final, remitido por Chávez Cabrera Rosita _x000D_
Lorena)_x000D_
¿ Con base en la matriz de clasificación de aplicaciones de Gestión de  Identidades y los criterios aplicados durante la sesión, Comunicaciones Unificadas se etiqueta como ¿Aplicación Complementaria¿. _x000D_
 ¿ Por lo tanto, la aplicación Comunicaciones Unificadas, en su estado actual, no _x000D_
cumple con los criterios de recepción establecidos por la Gerencia de Gestión _x000D_
de Identidades.</t>
  </si>
  <si>
    <t>CHAVEZ CABRERA ROSITA LORENA</t>
  </si>
  <si>
    <t>Tiene integración nativa con MS Teams.</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</si>
  <si>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</si>
  <si>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</si>
  <si>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</si>
  <si>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RODRIGUEZ VARILLAS ABRAHAM JESUS</t>
  </si>
  <si>
    <t>Grupos de EntraID</t>
  </si>
  <si>
    <t>https://intune.microsoft.com/</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</si>
  <si>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</si>
  <si>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</si>
  <si>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</si>
  <si>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Micosoft Azure</t>
  </si>
  <si>
    <t>https://purview.microsoft.com/</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</si>
  <si>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</si>
  <si>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</si>
  <si>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</si>
  <si>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https://security.microsoft.com/</t>
  </si>
  <si>
    <t>JP Morgan</t>
  </si>
  <si>
    <t>GI0010</t>
  </si>
  <si>
    <t>Aplicacion de Tesoreria</t>
  </si>
  <si>
    <t>Aprobador de JPMORGAN :  HERRERA CORNEJO MARIA CRISTINA o ARROYO LEON PABLO ESTEBAN</t>
  </si>
  <si>
    <t>SARMIENTO BORJA ALEX MIGUEL</t>
  </si>
  <si>
    <t>https://acces.jpmorgan.com</t>
  </si>
  <si>
    <t>Loginter</t>
  </si>
  <si>
    <t>GI0011</t>
  </si>
  <si>
    <t>Logistica</t>
  </si>
  <si>
    <t>ENRIQUEZ LOPEZ MIGUEL ESTEBAN</t>
  </si>
  <si>
    <t>Crear ticket: Service Now: Administración Accesos Loginter</t>
  </si>
  <si>
    <t>Model Risk Hub</t>
  </si>
  <si>
    <t>GI0013</t>
  </si>
  <si>
    <t>Riesgos</t>
  </si>
  <si>
    <t>Para solicitar el acceso el usuario debe comunicarse por correo a:_x000D_
¿	Principal: jzunigad@pichincha.com_x000D_
¿	Backup: flopezgr@pichincha.com</t>
  </si>
  <si>
    <t>ZUNIGA DELGADO JORGE ANDRES</t>
  </si>
  <si>
    <t>https://apps.powerapps.com/play/e/default-f5b0d682-1497-4db0-9019-660035554e72/a/05a2ffba-ef87-4a6f-9fb4-653c60e2d923?tenantId=f5b0d682-1497-4db0-9019-660035554e72&amp;sourcetime=1747057729741</t>
  </si>
  <si>
    <t>MISP</t>
  </si>
  <si>
    <t>SEC0092</t>
  </si>
  <si>
    <t>JAIME ERNESTO ESPINOSA CABEZAS</t>
  </si>
  <si>
    <t>FABRICIO ANDRES ZULES ACOSTA</t>
  </si>
  <si>
    <t>Swift O2M</t>
  </si>
  <si>
    <t>GI0019</t>
  </si>
  <si>
    <t>https://o2m.browse.swiftnet.sipn.swift.com/#Welcome</t>
  </si>
  <si>
    <t>WELLSFARGO</t>
  </si>
  <si>
    <t>GI0021</t>
  </si>
  <si>
    <t>TESORERIA</t>
  </si>
  <si>
    <t>TOKEN</t>
  </si>
  <si>
    <t>BENAVIDES ESPINOZA SOFIA</t>
  </si>
  <si>
    <t>https://wellsoffice.ceo.wellsfargo.com/ceosignon/login.html?RC=811</t>
  </si>
  <si>
    <t>Deuna Personas V2</t>
  </si>
  <si>
    <t>CHL0039</t>
  </si>
  <si>
    <t>Aplicacion movil para realizar pagos entre personas y comercios</t>
  </si>
  <si>
    <t>DHCP</t>
  </si>
  <si>
    <t>ITM0010</t>
  </si>
  <si>
    <t>El protocolo de configuración dinámica de host (en inglés: Dynamic Host Configuration Protocol, también conocido por sus siglas de DHCP) es un protocolo de red de tipo cliente/servidor mediante el cual un servidor DHCP asigna dinámicamente una dirección IP y otros parámetros de configuración de red a cada dispositivo en una red para que puedan comunicarse con otras redes IP. Este servidor posee una lista de direcciones IP dinámicas y las va asignando a los clientes conforme estas van quedando libres, sabiendo en todo momento quién ha estado en posesión de esa IP, cuánto tiempo la ha tenido y a quién se la ha asignado después. Así los clientes de una red IP pueden conseguir sus parámetros de configuración automáticamente.</t>
  </si>
  <si>
    <t>Diferidos Consumo</t>
  </si>
  <si>
    <t>PAY0027</t>
  </si>
  <si>
    <t>Dieferir la Lista de consumos en el mes, seleccionar  y puede diferir a 3,6,9,12 meses.</t>
  </si>
  <si>
    <t>DLS5</t>
  </si>
  <si>
    <t>SEC0074</t>
  </si>
  <si>
    <t>PONCE OCHOA JORGE LUIS</t>
  </si>
  <si>
    <t>CYBERARK: PRECWSF002</t>
  </si>
  <si>
    <t>DNA Center</t>
  </si>
  <si>
    <t>ITM0011</t>
  </si>
  <si>
    <t>Herramienta Gestión y monitoreo equipos SD-ACCESS</t>
  </si>
  <si>
    <t>Docker Engine</t>
  </si>
  <si>
    <t>ITM0012</t>
  </si>
  <si>
    <t>Núcleo del docker, que facilita la creación, implementación y ejecución de contenedores.</t>
  </si>
  <si>
    <t>Doka -Comex</t>
  </si>
  <si>
    <t>PRD0016</t>
  </si>
  <si>
    <t>LEONOR FABIOLA CORRAL GAONA</t>
  </si>
  <si>
    <t>REPORTE DE USUARIOS Y PERFILES DESDE EL APLICATIVO</t>
  </si>
  <si>
    <t>Producción: https://ntp-prod-pichincha.surecomp.com/TDRAPClient/dokang._x000D_
Test: https://ntp-nonprod-pichincha.surecomp.com/TDRAPClient/dokang</t>
  </si>
  <si>
    <t>Dynamic Codes</t>
  </si>
  <si>
    <t>SEC0070</t>
  </si>
  <si>
    <t>MINAYA ANDINO BRYAN MARCELO</t>
  </si>
  <si>
    <t>ENVIAR CORREO ELECTRONICO</t>
  </si>
  <si>
    <t>dynamiccodes.uio.bpichincha.com</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</si>
  <si>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</si>
  <si>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</si>
  <si>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</si>
  <si>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APROBAR EN MY ACCESS</t>
  </si>
  <si>
    <t>TRANCILLO GONZALO</t>
  </si>
  <si>
    <t>MY ACCESS</t>
  </si>
  <si>
    <t>https://myaccount.dynatrace.com/account/home?account-uuid=434b91e8-097a-4039-af59-4a8c2671e55e</t>
  </si>
  <si>
    <t>EASYCASHCORE</t>
  </si>
  <si>
    <t>PRD0018</t>
  </si>
  <si>
    <t>Aplicación web que permite a las empresas manejar eficientemente sus principales operaciones de tesorería (cobros y pagos), permite a las empresas llegar a sus proveedores, empleados.</t>
  </si>
  <si>
    <t>EBS</t>
  </si>
  <si>
    <t>SUP0006</t>
  </si>
  <si>
    <t>Aplicación que permite manejar los procesos contables y administrativos de Banco Pichincha.</t>
  </si>
  <si>
    <t>ebspichincha.uio.bpichincha.com</t>
  </si>
  <si>
    <t>EFT Enterprise SFTP</t>
  </si>
  <si>
    <t>ITM0014</t>
  </si>
  <si>
    <t>Herramienta de FTP Seguro para transferencia de archivos</t>
  </si>
  <si>
    <t>Ingreso a Cyberark: _x000D_
PRECWFS006 _x000D_
ecuio012f04</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</si>
  <si>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</si>
  <si>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</si>
  <si>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</si>
  <si>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EVALUADO:_x000D_
Detalle del criterio de recepción:_x000D_
_x000D_
¿ En base al documento ¿BPECU-SEG-044-STD - Estándar de Recepción de Módulos de Gestión de Accesos y Perfiles V 2.1-¿; se define que uno de los criterios para la recepción es que la aplicación cuente con un módulo de gestión de accesos y perfiles. _x000D_
_x000D_
¿ En un correo enviado por el equipo administrador del aplicativo, el día 16 de octubre del 2024, se menciona que la aplicación no cuenta con un módulo para la gestión de accesos. Adicional se tuvieron las siguientes observaciones:_x000D_
_x000D_
¿ Marín Ríos David Mauricio ¿ ARQUITECTO OBSERVABILIDAD menciona lo siguiente: ¿Conforme lo conversado envío un detalle de la integración de la plataforma de Observabilidad Elastic (ELK) Stack y Grafana:_x000D_
_x000D_
¿ Las herramientas que usamos de Elastic (ELK) Stack son Elasticsearch y Logstash, ninguna de estas cuentas con módulo de usuarios. Elasticsearch es el backend, es decir donde se almacena toda la información pre-procesada por Logstash ¿ este cumple una función de ETL dentro de la Arquitectura._x000D_
¿ Cuando se realizó la configuración del clúster de Elasticsearch se creó un usuario propio de la plataforma, el usuario se denomina elastic. _x000D_
¿ El frontend utilizado para la construcción de tableros de monitoreo es Grafana, es decir se integró Grafana con Elasticsearch para mostrar los datos en forma de indicadores/gráficas. La URL interna de Grafana es https://observabilidadgf.uio.bpichincha.com:3000/_x000D_
¿ Grafana está integrado con el Directorio Activo de BP mediante LDAP para la autenticación de usuarios, existen 2 perfiles (GF_GRAFANA_ADMIN, GF_GRAFANA_EDITOR) y 3 roles (Admin, Editor, Viewer) dentro de la Plataforma, el rol de Viewer se asigna por defecto a todos los usuarios que dispongan de usuario _x000D_
BP¿_x000D_
_x000D_
¿ Con base en lo anterior, los usuarios no acceden directamente a Elastic (ELK) Stack, ya _x000D_
que ni Elasticsearch ni Logstash disponen de un módulo de autenticación o administración _x000D_
de usuarios.</t>
  </si>
  <si>
    <t>Electronic trading - FX</t>
  </si>
  <si>
    <t>SUP0023</t>
  </si>
  <si>
    <t>PRODUCTOS</t>
  </si>
  <si>
    <t>Enforcive Enterprise Security</t>
  </si>
  <si>
    <t>SEC0017</t>
  </si>
  <si>
    <t>Solución de administración de seguridad y cumplimiento de TI</t>
  </si>
  <si>
    <t>TEC_INCIDENT_PRUEBA</t>
  </si>
  <si>
    <t>Marco Antonio PACHECO MARCO</t>
  </si>
  <si>
    <t>Entidad Certificadora INTERNA</t>
  </si>
  <si>
    <t>SEC0018</t>
  </si>
  <si>
    <t>Entidad de confianza, responsable de emitir y revocar los certificados digitales internos de Banco Pichincha</t>
  </si>
  <si>
    <t>NO APLICA</t>
  </si>
  <si>
    <t>Trellix</t>
  </si>
  <si>
    <t>SEC0019</t>
  </si>
  <si>
    <t>Herramienta de seguridad Punto final para ATMs NCR - C00013174</t>
  </si>
  <si>
    <t>TRELLIX EPOLICY ORCHESTRATOR (EPO)</t>
  </si>
  <si>
    <t>ETC Platform</t>
  </si>
  <si>
    <t>PAY0007</t>
  </si>
  <si>
    <t>Excepciones</t>
  </si>
  <si>
    <t>RIS0005</t>
  </si>
  <si>
    <t>Sistema que permite a la unidad de riesgos de BP gestionar las excepciones de un cliente.</t>
  </si>
  <si>
    <t>LOGIN CENTRAL - SIGLO21</t>
  </si>
  <si>
    <t>Exchange Server 2016</t>
  </si>
  <si>
    <t>ITM0017</t>
  </si>
  <si>
    <t>Aplicación para el envío de correos electrónicos / Servicio SMTP para notificaciones de correo electrónico para aplicaciones internas de BP</t>
  </si>
  <si>
    <t>REPORTE DE USUARIOS EXTRAE DE LA APP</t>
  </si>
  <si>
    <t>webmail.pichincha.com</t>
  </si>
  <si>
    <t>Fabrica de Producto</t>
  </si>
  <si>
    <t>PRD0065</t>
  </si>
  <si>
    <t>Parametrización de productos que permite mantener la lógica de negocio desacoplada del core bancario</t>
  </si>
  <si>
    <t>ANA CAROLINA FLORES PAREDES</t>
  </si>
  <si>
    <t>Facephi</t>
  </si>
  <si>
    <t>SEC0020</t>
  </si>
  <si>
    <t>FACEPHI es una plataforma que orquesta procesos de verificación de identidad para _x000D_
empresas.</t>
  </si>
  <si>
    <t>EVALUADO:_x000D_
o FACEPHI es una plataforma que orquesta procesos de verificación de identidad para _x000D_
empresas._x000D_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_x000D_
o Sin embargo: Israel Sebastián de la Torre Trujillo - INGENIERO PLATAFORMAS _x000D_
CIBERSEGURIDAD menciona que: ¿En el caso de Facephi es un SaaS y no existe una consola _x000D_
de administración/usuarios. En este caso particular no aplicaría la entrega de esta.¿, de _x000D_
acuerdo con el correo con asunto: RE: Asignación de Recepción de Aplicaciones NTTDATA _x000D_
con fecha 30 de septiembre de 2025._x000D_
o Acuerdo de aceptación del acta: Posterior a la evaluación y comentarios de ambas partes, _x000D_
Gestión de Identidades no procederá con la recepción del aplicativo.</t>
  </si>
  <si>
    <t>Facturación Electrónica</t>
  </si>
  <si>
    <t>GOB0012</t>
  </si>
  <si>
    <t>Aplicación que permite la gestión de documentos tributarios en formato digital para el SRI y estados de cuenta. SIPECOM</t>
  </si>
  <si>
    <t>REPORTE DE PERFILES Y OPCIONES DE LA APP</t>
  </si>
  <si>
    <t>https://ecbpprw119:8443/webframework/default.aspx</t>
  </si>
  <si>
    <t>Figma</t>
  </si>
  <si>
    <t>EDC0002</t>
  </si>
  <si>
    <t>Herramienta de prototipado generacion de interfaces y handoff a dersarrollo.</t>
  </si>
  <si>
    <t>File server</t>
  </si>
  <si>
    <t>ITM0018</t>
  </si>
  <si>
    <t>FILE SERVER: Es un servidor centralizado dentro de una red que se encarga de almacenar, _x000D_
administrar y compartir archivos entre varios usuarios.</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</si>
  <si>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perfiles._x000D_
o En la reunión mantenida el lunes 25 de marzo de 2026 en conjunto con el equipo administrador del File Server, se concluyó que: la aplicación no cuenta con un módulo para la gestión de accesos.  _x000D_
o Vergara Castillo Arsecio Edilberto- INGENIERO INFRAESTRUCTURA TI: Nos informa que los _x000D_
accesos los realizan a través del explorador de Windows, otorgando a los usuarios permisos para la gestión de archivos en carpetas compartidas, la solicitud de acceso llega a través de un requerimiento._x000D_
o Los servidores que gestionan son: _x000D_
¿ ecuio012h01_x000D_
¿ ecbpprh01_x000D_
¿ ecbpprh02_x000D_
¿ ecuio197h01_x000D_
¿ ecuio197h02_x000D_
¿ ecuio242w02_x000D_
¿ precwhf001</t>
  </si>
  <si>
    <t>HOLGUIN ALCIVAR HORACIO LEONEL</t>
  </si>
  <si>
    <t>File Server - Respaldos</t>
  </si>
  <si>
    <t>ITM0019</t>
  </si>
  <si>
    <t>FileUpdate (TOTEM)</t>
  </si>
  <si>
    <t>COR0001</t>
  </si>
  <si>
    <t>Aplicación Windows utilizada para la transmisión hacia Banred de números de cuenta y saldos, información utilizada para el StandIn de Banred</t>
  </si>
  <si>
    <t>FIREEYE 5500_NX2</t>
  </si>
  <si>
    <t>SEC0066</t>
  </si>
  <si>
    <t>Notificador Cloud</t>
  </si>
  <si>
    <t>TIE0021</t>
  </si>
  <si>
    <t>CARLOS ANDRES RIVERA ORMAZA</t>
  </si>
  <si>
    <t>Novoadmin</t>
  </si>
  <si>
    <t>PAY0013</t>
  </si>
  <si>
    <t>Nutanix CVM</t>
  </si>
  <si>
    <t>ITM0084</t>
  </si>
  <si>
    <t>Es una VM que permite controlador de storage de cada nodo Nutanix no aplica version.</t>
  </si>
  <si>
    <t>VICTOR ALFONSO SUNTAXI CHASI</t>
  </si>
  <si>
    <t>Información proporcionada por VELASCO TORO CESAR ALEJANDRO</t>
  </si>
  <si>
    <t>Colector de Eventos SOC (NXLog)</t>
  </si>
  <si>
    <t>SEC0050</t>
  </si>
  <si>
    <t>Solución de recolección de logs para envío a colector centralizado de todo el parque tecnológico de Banco Pichincha.</t>
  </si>
  <si>
    <t>VANESSA ELENA MOROCHO SAILEMA</t>
  </si>
  <si>
    <t>https://nxmanagerprod1.uio.bpichincha.com:94437</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</si>
  <si>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</si>
  <si>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</si>
  <si>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</si>
  <si>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</si>
  <si>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</si>
  <si>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</si>
  <si>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</si>
  <si>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</si>
  <si>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</si>
  <si>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RENNE PATRICIO MERA MIRANDA</t>
  </si>
  <si>
    <t>Optimal workshop</t>
  </si>
  <si>
    <t>EDC0007</t>
  </si>
  <si>
    <t>Herramienta explorativa para estudios de usabilidad, card sorting tree test etc.</t>
  </si>
  <si>
    <t>Oracle Fusion ERP</t>
  </si>
  <si>
    <t>SUP0064</t>
  </si>
  <si>
    <t>SE PUEDE PARAMETRIZAR LA AUTENTICACIÓN POR ENTRA ID</t>
  </si>
  <si>
    <t>https://iaylqy.fa.ocs.oraclecloud.com/</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</si>
  <si>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</si>
  <si>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</si>
  <si>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</si>
  <si>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</si>
  <si>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GESTIONAR EN LA APLICACION</t>
  </si>
  <si>
    <t>https://fcmadmin.bancopichinchacbsuite.com/fcmadmin/bankScheduleNewUX.srvc</t>
  </si>
  <si>
    <t>Seguridad Perimetral Firewall Nube</t>
  </si>
  <si>
    <t>SEC0049</t>
  </si>
  <si>
    <t>Gestor de Next Generation Firewall VM-Firewall -  gestor de firewalls en nube de la marca Palo Alto</t>
  </si>
  <si>
    <t>FIREWALL PALO ALTO</t>
  </si>
  <si>
    <t>PUNINA CORDOVA CARINA PRISCILA</t>
  </si>
  <si>
    <t>GESTION MEDIANTE GRUPOS DE AD_x000D_
Asignar al usuario al grupo de AD que corresponda:_x000D_
- GF_FW_PANORAMA_PREMISA_READ_ONLY_x000D_
- GF_FW_PANORAMA_PREMISA__GOBIERNO_READ_ONLY</t>
  </si>
  <si>
    <t>CYBERARK: 192.168.71.166 (usrpclck)</t>
  </si>
  <si>
    <t>Parametría Ingesta Deltalake</t>
  </si>
  <si>
    <t>DAT0012</t>
  </si>
  <si>
    <t>Payment Control</t>
  </si>
  <si>
    <t>PAY0024</t>
  </si>
  <si>
    <t>Componente SAS de la plataforma SWIFT que permite parametrizar reglas de negocio para control de envío de mensajeria SWIFT</t>
  </si>
  <si>
    <t>MAURO RENATO VINCENT CHONLONG</t>
  </si>
  <si>
    <t>Reporteria:GEMA</t>
  </si>
  <si>
    <t>Perfiles Transaccionales</t>
  </si>
  <si>
    <t>GOB0014</t>
  </si>
  <si>
    <t>Aplicación para el manejo de Información de clientes naturales y jurídicos para uso de la Unidad de Cumplimiento</t>
  </si>
  <si>
    <t>PFTR (prevención de fraude en tiempo real)</t>
  </si>
  <si>
    <t>SEC0065</t>
  </si>
  <si>
    <t>Aplicación para prevención de fraude en tiempo real</t>
  </si>
  <si>
    <t>ALFREDO LLOPI GUSTAVO</t>
  </si>
  <si>
    <t>RAFAEL ALEJANDRO SANCHEZ GUAYASAMIN</t>
  </si>
  <si>
    <t>ARIC</t>
  </si>
  <si>
    <t>LLOPI GUSTAVO ALFREDO</t>
  </si>
  <si>
    <t>Pichincha Empresas</t>
  </si>
  <si>
    <t>CHL0034</t>
  </si>
  <si>
    <t>Aplicativo Web que  permite el enrolamiento de clientes empresas y autogestion de usuarios empresas</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</si>
  <si>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</si>
  <si>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</si>
  <si>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</si>
  <si>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AUTORIZACION: PERFIL SIGLO21_x000D_
ASIGNAR GRUPO DE AD: GA_LOGINC_RIESGO GLOBAL</t>
  </si>
  <si>
    <t>RPA -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</si>
  <si>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</si>
  <si>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</si>
  <si>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GUSTAVO ALEJANDRO VARGAS VARGAS</t>
  </si>
  <si>
    <t>Ruta de los Volcanes</t>
  </si>
  <si>
    <t>SUP0034</t>
  </si>
  <si>
    <t> </t>
  </si>
  <si>
    <t>GABRIEL HUMBERTO RENGIFO TOSCANO</t>
  </si>
  <si>
    <t>Harmony VPN externos</t>
  </si>
  <si>
    <t>SEC0063</t>
  </si>
  <si>
    <t>Solución de seguridad que protege contra amenazas avanzadas, incluyendo malware y phishing.</t>
  </si>
  <si>
    <t>APLICACION DE BAJA: 17 JULIO 2026 - HARMONY</t>
  </si>
  <si>
    <t>https://portal.checkpoint.com/signin</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</si>
  <si>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</si>
  <si>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</si>
  <si>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</si>
  <si>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SAC:https://wwwp1.authentication.br10.hana.ondemand.com/login_x000D_
PAPM:https://papm-pichincha-ec7bdtdovl.us10.papm.cloud.sap/webpages/index.html_x000D_
BTP - PORTAL: https://support.sap.com/en/index.html</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</si>
  <si>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</si>
  <si>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</si>
  <si>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</si>
  <si>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Scoring</t>
  </si>
  <si>
    <t>RIS0012</t>
  </si>
  <si>
    <t>Motor de Cálculo Scoring de Créditos</t>
  </si>
  <si>
    <t>SILVIA VIVIANA YEPEZ HERRERA</t>
  </si>
  <si>
    <t>SegUnixOranService</t>
  </si>
  <si>
    <t>SEC0032</t>
  </si>
  <si>
    <t>Servicio de autenticación y autorización. La autenticación te valida usuario y clave.  La autorización devuelve los recursos asociados al usuario para determinar su acceso dentro del aplicativo.</t>
  </si>
  <si>
    <t>Sentinel Compliance</t>
  </si>
  <si>
    <t>GOB0015</t>
  </si>
  <si>
    <t>Aplicación que permite realizar el monitoreo de las transacciones de clientes para identificación de fraude._x000D_
Genera alertas para prevención de lavados de activos y transacciones inusuales.</t>
  </si>
  <si>
    <t>PAREDES SALAZAR SERGIO WLADIMIR</t>
  </si>
  <si>
    <t>https://sentinelcompliancerisk.uio.bpichincha.com/login</t>
  </si>
  <si>
    <t>Sentinel Informer Card</t>
  </si>
  <si>
    <t>GOB0017</t>
  </si>
  <si>
    <t>Sentinel Prevention</t>
  </si>
  <si>
    <t>GOB0018</t>
  </si>
  <si>
    <t>https://sentinelprevention.bpichincha.com/</t>
  </si>
  <si>
    <t>SEPM</t>
  </si>
  <si>
    <t>SEC0033</t>
  </si>
  <si>
    <t>Para usuarios y servidores  / Solución de Antivirus</t>
  </si>
  <si>
    <t>SERVER PUEX</t>
  </si>
  <si>
    <t>CHL0024</t>
  </si>
  <si>
    <t>03/12/2025 -  _x000D_
Descripción del aplicativo: _x000D_
o SERVER PUEX es una aplicación que permite la actualización de pantallas de los ATMs y la _x000D_
extracción de EDCs (logs) de los mismos. 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En la reunión mantenida con el equipo administrador del aplicativo el 2 de diciembre del _x000D_
2025, se ratificó que la aplicación en producción no cuenta con un módulo para la gestión _x000D_
de accesos; dado que el proveedor es quien parametriza los accesos de cada rol dentro _x000D_
del aplicativo, mediante grupos de Directorio Activo. Adicional se tuvieron las siguientes _x000D_
observaciones: _x000D_
o El aplicativo SERVER PUEX se encuentra en proceso de apagado para el 31 de marzo del _x000D_
2026. En su reemplazo se tiene previsto utilizar una aplicación llamada ATM SYNC. _x000D_
o Durante este tiempo, hasta la fecha de apagado, está restringido realizar cambios en el _x000D_
aplicativo. _x000D_
o Actualmente, la gestión de usuarios en el aplicativo se realiza mediante grupos de _x000D_
Directorio Activo. En caso de que el grupo no esté definido en un perfil global, se debe _x000D_
generar un requerimiento a través del flujo: Inicio ¿ Seguridad ¿ Usuarios y Accesos ¿ Modificación de Atributos de Seguridad. El usuario solicitante deberá adjuntar la _x000D_
autorización emitida por su Línea de Supervisión, en la cual se apruebe el grupo o rol _x000D_
requerido.</t>
  </si>
  <si>
    <t>MANTILLA CAYO MILTON PATRICIO</t>
  </si>
  <si>
    <t>ACTIVE DIRECTORY</t>
  </si>
  <si>
    <t>Service Manager</t>
  </si>
  <si>
    <t>ITM0050</t>
  </si>
  <si>
    <t>Solución de software para la gestión de servicios de TI basada en aprendizaje automático, análisis y automatización</t>
  </si>
  <si>
    <t>VICTOR ERNESTO BENITES CHUMPITAZ</t>
  </si>
  <si>
    <t>ServiceNow ITOM/ITAM</t>
  </si>
  <si>
    <t>ITM0064</t>
  </si>
  <si>
    <t>Herramienta de Operación de Servicios Tecnológicos ITOM.</t>
  </si>
  <si>
    <t>ESTEFANIA ESMERALDA OLIVO BARCIA</t>
  </si>
  <si>
    <t>SANTIAGO EUGENIO FABARA SALAZAR</t>
  </si>
  <si>
    <t>SGUC</t>
  </si>
  <si>
    <t>GOB0020</t>
  </si>
  <si>
    <t>Aplicativo para la gestión interna del área de Cumplimiento</t>
  </si>
  <si>
    <t>SIEM - RSA</t>
  </si>
  <si>
    <t>GOB0006</t>
  </si>
  <si>
    <t>Security Information and Event Management (Recopila todos los eventos de seguridad enviados por equipos de seguridad TEUNO, Windows y UNIX)</t>
  </si>
  <si>
    <t>LUIS ALBERTO PAZMINO GOMEZ</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</si>
  <si>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</si>
  <si>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</si>
  <si>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</si>
  <si>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</si>
  <si>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</si>
  <si>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</si>
  <si>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</si>
  <si>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SIMA_APP</t>
  </si>
  <si>
    <t>PRD0056</t>
  </si>
  <si>
    <t>Aplicación móvil que permite realizar la gestion en campo de los ejecutivos del segmento microfinanzas, tales como creditos, cobranzas y promociones.</t>
  </si>
  <si>
    <t>FORMIIK-SIMA_x000D_
APLICACION MOBIL</t>
  </si>
  <si>
    <t>ES UN APP MOVIL PARA EL USUARIO FINAL</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</si>
  <si>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</si>
  <si>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</si>
  <si>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</si>
  <si>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https://pichincha.siro-ms.com/siro/index.html</t>
  </si>
  <si>
    <t>Sistema de Chapter Desarrollo Iniciativas</t>
  </si>
  <si>
    <t>ITM0065</t>
  </si>
  <si>
    <t>Aplicación (Backoffice) para la administración de la medición de estándares, evaluaciones técnicas, administración de comunidades y obtención de métricas de Desarrollo en Banco Pichincha, esta aplicación tiene como objetivo mejorar los procesos de Chapter Desarrollo mediante una fuente de información centralizada, trazable con el objetivo de agilizar los procesos de las iniciativas llevadas.</t>
  </si>
  <si>
    <t>CESAR EDUARDO GARCIA ROMERO</t>
  </si>
  <si>
    <t>Sistema de Gestión Gerencial (SGG)</t>
  </si>
  <si>
    <t>CHL0025</t>
  </si>
  <si>
    <t>ENVIAR MAIL A CRUZ YANEZ DIEGO ARMANDO  PARA LA GESTION DEL APLICATIVO SGG</t>
  </si>
  <si>
    <t>ENVIAR MAIL</t>
  </si>
  <si>
    <t>Sistema Financiero Integrado</t>
  </si>
  <si>
    <t>PRD0058</t>
  </si>
  <si>
    <t>Aplicación que permite la creación de solicitudes de crédito para microempresarios.</t>
  </si>
  <si>
    <t>ecuio012ts2, ecuio012ts5</t>
  </si>
  <si>
    <t>Sistema Gestión de Cuentas</t>
  </si>
  <si>
    <t>COR0002</t>
  </si>
  <si>
    <t>Smart Protection</t>
  </si>
  <si>
    <t>SEC0036</t>
  </si>
  <si>
    <t>Servidor para el aplicativo Smart Protection</t>
  </si>
  <si>
    <t>Softguard</t>
  </si>
  <si>
    <t>SEC0044</t>
  </si>
  <si>
    <t>Software de monitoreo de espacios físicos a través de cámaras.</t>
  </si>
  <si>
    <t>https://serveronesoftguard.uio.bpichincha.com/</t>
  </si>
  <si>
    <t>Solicitud Digital - Tarjetas de Crédito</t>
  </si>
  <si>
    <t>PAY0015</t>
  </si>
  <si>
    <t>SOLICITUD DIGITAL - TARJETAS DE CRÉDITO es una aplicación donde los clientes se auto _x000D_
aprovisiona para la gestión de Tarjetas de Crédito.</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</si>
  <si>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_x000D_
Sin embargo, luego de la reunión con el equipo administrador del aplicativo, este indica _x000D_
que la aplicación no cuenta con un módulo para la gestión de accesos.  _x000D_
 _x000D_
o En base al documento ¿BPECU-SEG-044-STD - Estándar de Recepción de Módulos de _x000D_
Gestión de Accesos y Perfiles V 2.1-¿; donde se definen los criterios de recepción, se _x000D_
establece que en la aplicación se deben gestionar usuarios internos, entendiéndose como _x000D_
personal de El Banco, terceros, filiales, proveedores, no se aplicará sobre aplicaciones _x000D_
donde únicamente se realice gestión de clientes, ejemplo: Banca Móvil.  _x000D_
 _x000D_
Sin embargo, luego de la reunión con el equipo administrador del aplicativo, este indica _x000D_
que la aplicación no gestiona usuario internos.</t>
  </si>
  <si>
    <t>CASTRO CHAMBA JORDAN RICHARD</t>
  </si>
  <si>
    <t>Solicitud inmediata</t>
  </si>
  <si>
    <t>CUS0012</t>
  </si>
  <si>
    <t>Aplicacion para solicitud de productos via web</t>
  </si>
  <si>
    <t>SPARTAN</t>
  </si>
  <si>
    <t>GOB0007</t>
  </si>
  <si>
    <t>Detección de Fraudes Transaccionales</t>
  </si>
  <si>
    <t>Monitore de Fraude</t>
  </si>
  <si>
    <t>https://fact-op.cyb.bpichincha.com/</t>
  </si>
  <si>
    <t>Correlacionador de Eventos SOC (SPLUNK)</t>
  </si>
  <si>
    <t>SEC0068</t>
  </si>
  <si>
    <t>Solución SIEM Gestión de eventos e información de seguridad) de Banco Pichincha</t>
  </si>
  <si>
    <t>¿	Producción - Cloud_x000D_
_x000D_
o	https://ecbp001.splunkcloud.com/_x000D_
_x000D_
¿	Producción ¿ Enterprise Security_x000D_
_x000D_
o	https://es.ecbp001.splunkcloud.com/</t>
  </si>
  <si>
    <t>SSTOB</t>
  </si>
  <si>
    <t>ITM0053</t>
  </si>
  <si>
    <t>Sistema de monitoreo en línea de autoservicios conectados a Banred</t>
  </si>
  <si>
    <t>ENRIQUE PATRICIO ORDONEZ TERAN</t>
  </si>
  <si>
    <t>StackHawk</t>
  </si>
  <si>
    <t>SEC0058</t>
  </si>
  <si>
    <t>Ejecucion de escaneos de vulnerabilidades DAST</t>
  </si>
  <si>
    <t>DAVID FERNANDO SILVA VIZCARRA</t>
  </si>
  <si>
    <t>Reporteria GEMA</t>
  </si>
  <si>
    <t>Gema</t>
  </si>
  <si>
    <t>https://auth.stackhawk.com/sso)</t>
  </si>
  <si>
    <t>Stealtwatch</t>
  </si>
  <si>
    <t>SEC0038</t>
  </si>
  <si>
    <t>Es una herramienta de seguridad informática que permite el análisis de flujos, detección de amenazas informáticas</t>
  </si>
  <si>
    <t>SNA</t>
  </si>
  <si>
    <t>CYBERARK: 10.70.89.68</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</si>
  <si>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</si>
  <si>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</si>
  <si>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</si>
  <si>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</si>
  <si>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Swift Alliance FullStack</t>
  </si>
  <si>
    <t>PRD0040</t>
  </si>
  <si>
    <t>Plataforma de mensajería financiera que interactuará con los aplicativos de Banco Pichincha para orquestar el envío y recepción de mensajes hacia y desde el exterior utilizando el estándar Swift.</t>
  </si>
  <si>
    <t>DIEGO ALBERTO PARRA ROMO</t>
  </si>
  <si>
    <t>JUAN ESTEBAN BALSECA PINTO</t>
  </si>
  <si>
    <t>ALLIANCE ACCESS_x000D_
LICENCIAMIENTO</t>
  </si>
  <si>
    <t>https://wplatform.swift.uio.bpichincha.com/swp/group/access/</t>
  </si>
  <si>
    <t>Swift Alliance WareHouse</t>
  </si>
  <si>
    <t>PRD0041</t>
  </si>
  <si>
    <t>LICENCIAMIENTO_x000D_
ESTA ACTIVO CONFIRMAR ALLIANCE WAREHOUSE</t>
  </si>
  <si>
    <t>https://ecbplxswpp01.uio.bpichincha.com:2443/swp/group/admin/#com.swift.swp.Admin.adminUser</t>
  </si>
  <si>
    <t>Swift Transaction Screening</t>
  </si>
  <si>
    <t>GOB0019</t>
  </si>
  <si>
    <t>Aplicación que usa el equipo del cumplimiento, Servicio para validar listas internacionales cuando el mesaje sale la red del swift</t>
  </si>
  <si>
    <t>Switch Banred - Remesas</t>
  </si>
  <si>
    <t>PRD0036</t>
  </si>
  <si>
    <t>EDITH VERONICA MERRILL OCHOA</t>
  </si>
  <si>
    <t>Switch Transacciones Tarjetas</t>
  </si>
  <si>
    <t>PAY0016</t>
  </si>
  <si>
    <t>Switch Banred - Tarjeta Débito</t>
  </si>
  <si>
    <t>PAY0017</t>
  </si>
  <si>
    <t>Switch Banred - Tarjeta Prepago</t>
  </si>
  <si>
    <t>PAY0018</t>
  </si>
  <si>
    <t>RENATO RAFAEL ARAMBURU ANDERSON</t>
  </si>
  <si>
    <t>IBIS ALBERTO VIDAL RAMIREZ</t>
  </si>
  <si>
    <t>Switch Bayteq</t>
  </si>
  <si>
    <t>INT0001</t>
  </si>
  <si>
    <t>Aplicación de proveedor para efectuar la interacción con los proveedores: Yanbal y Banred. Permite realizar la transacción de EfectivoXpress. Manejan la convivencia entre BP y BGR.</t>
  </si>
  <si>
    <t>Switch NETManager CNB</t>
  </si>
  <si>
    <t>CHL0028</t>
  </si>
  <si>
    <t>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</si>
  <si>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JUAN CARLOS ULLOA PADILLA</t>
  </si>
  <si>
    <t>Switch NETManager Pago Directo / IESS</t>
  </si>
  <si>
    <t>PRD0029</t>
  </si>
  <si>
    <t>Pichincha Token</t>
  </si>
  <si>
    <t>PRD0026</t>
  </si>
  <si>
    <t>Aplicación móvil que permite la generación del código de seguridad requerido en la plataforma Cash New Release. El usuario recibe el código QR vía correo electrónico, la aplicación lee dicho código y genera el token.</t>
  </si>
  <si>
    <t>JUAN SEBASTIAN GONZALEZ SANCHEZ</t>
  </si>
  <si>
    <t>SANTIAGO FABIAN PAGUAY RAMIREZ</t>
  </si>
  <si>
    <t>PichinchaDigital</t>
  </si>
  <si>
    <t>CHL0036</t>
  </si>
  <si>
    <t>Portal para consulta de documentos tributarios, estados de cuenta, verificación de documentos referencias bancarias.</t>
  </si>
  <si>
    <t>GIOVANNY DAVID RAMIREZ GALLEGOS</t>
  </si>
  <si>
    <t>PichinchaServicios</t>
  </si>
  <si>
    <t>SUP0001</t>
  </si>
  <si>
    <t>Aplicación móvil para la autogestión de servicios de desbloqueo de cuenta de Directorio Activo y cierre de sesión de usuario.</t>
  </si>
  <si>
    <t>PichinchaVacantes</t>
  </si>
  <si>
    <t>SUP0015</t>
  </si>
  <si>
    <t>Portal web de ofertas de empleo que ofrece Banco Pichincha.</t>
  </si>
  <si>
    <t>JORGE VINICIO AGUILAR YAURE</t>
  </si>
  <si>
    <t>PinPad</t>
  </si>
  <si>
    <t>CHL0020</t>
  </si>
  <si>
    <t>Sistema utilizado para gestionar y activar los dispositivos PinPad para ser usados en el Sistema de Ventanillas (WebTeller).</t>
  </si>
  <si>
    <t>BRAVO YUNDA JORGE HUMBERTO</t>
  </si>
  <si>
    <t>https://pinpadadmin.uio.bpichincha.com/PinPadAdmin/Entorno/LogIn.aspx</t>
  </si>
  <si>
    <t>Plataforma de Pagos RippleNet</t>
  </si>
  <si>
    <t>PRD0035</t>
  </si>
  <si>
    <t>Permitir realizar transacciones de pago de remesas (recepción de remesas del exterior) a los clientes del Banco.  Los pagos podrán ser ejecutados: a. En Efectivo b. Acreditación a Cuenta  c. Transferencia Interbancaria</t>
  </si>
  <si>
    <t>Polaris Cloud</t>
  </si>
  <si>
    <t>CHL0021</t>
  </si>
  <si>
    <t>Portal APIs</t>
  </si>
  <si>
    <t>INT0015</t>
  </si>
  <si>
    <t>Portal de Gestión Formiik - Microfinanzas</t>
  </si>
  <si>
    <t>PRD0054</t>
  </si>
  <si>
    <t>Portal de Verificacion Microfinanzas</t>
  </si>
  <si>
    <t>PRD0055</t>
  </si>
  <si>
    <t>Aplicación que permite la verificacion y aprobación de las solicitudes de crédito gestionadas por los ejecutivos de Microfinanzas.</t>
  </si>
  <si>
    <t>EVALUADO:_x000D_
Detalle del criterio de recepción:  _x000D_
o En base al documento ¿BPECU-SEG-044-STD - Estándar de Recepción de Módulos de _x000D_
Gestión de Accesos y Perfiles V 2.1-¿; donde se definen uno de los criterios para recepción _x000D_
es contar con un módulo de gestión de accesos y perfiles.  _x000D_
o Adicionalmente, William Marcel Ontaneda Yaguana - INGENIERO INFRAESTRUCTURA TI _x000D_
explica el proceso de autorización que se delega al backend, de la siguiente manera: _x000D_
o Sin embargo: luego de la reunión con el equipo administrador del aplicativo se recibió _x000D_
mediante email  que la aplicación no cuenta con un módulo _x000D_
para la gestión de accesos. Adicional se tuvieron las siguientes observaciones:  _x000D_
o William Marcel Ontaneda Yaguana - INGENIERO INFRAESTRUCTURA TI menciona que el _x000D_
aplicativo ¿no cuenta con un módulo de usuarios y accesos, ya que esta responsabilidad _x000D_
es delegada hacia la capa del backend¿, de acuerdo con el correo con asunto ¿RE: Solicitud _x000D_
entrega del aplicativo a Gestión de Identidades: Portal de Verificación Microfinanzas - _x000D_
FASE 1: CONTROL Y CUMPLIMIENTO¿ enviado el 11 de marzo de 2026._x000D_
Adicionalmente, William Marcel Ontaneda Yaguana - INGENIERO INFRAESTRUCTURA TI _x000D_
explica el proceso de autorización que se delega al backend, de la siguiente manera:_x000D_
1. Los usuarios a Loguear deben formar parte del Active Directory de Banco Pichincha, _x000D_
credenciales de red.  _x000D_
2. Usando el servicio ORQSeguridad0010 y orquestando el WSSeguridad0022 y  WSSeguridad0025 se realizan la validación del acceso al Active Directory. _x000D_
3. Aprobado el acceso por el Active Directory es necesario recuperar el rol del usuario, _x000D_
usando el servicio WSSeguridad0030 se obtiene por lo menos un rol, caso contrario _x000D_
se detiene el acceso, este servicio obtiene un ROL de base de datos el cual indicara al _x000D_
Portal de Verificación donde puede ingresar. _x000D_
 4. Finalmente obtiene información adicional con el WSClientes0066 del ejecutivo._x000D_
Gestión de Identidades no procederá con la recepción del aplicati</t>
  </si>
  <si>
    <t>ONTANEDA YAGUANA WILLAM MARCEL</t>
  </si>
  <si>
    <t>Portal Informativo Pichincha</t>
  </si>
  <si>
    <t>CHL0022</t>
  </si>
  <si>
    <t>Portal accedido a través de la Internet, posee información principal de Banco así como los productos que oferta.</t>
  </si>
  <si>
    <t>BERNARDA ELENA SAENZ GRIJALVA</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</si>
  <si>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</si>
  <si>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</si>
  <si>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</si>
  <si>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Power App</t>
  </si>
  <si>
    <t>TIE0010</t>
  </si>
  <si>
    <t>Power Automate</t>
  </si>
  <si>
    <t>TIE0011</t>
  </si>
  <si>
    <t>Power BI</t>
  </si>
  <si>
    <t>DAT0007</t>
  </si>
  <si>
    <t>Power BI es una plataforma de análisis de negocios desarrollada por Microsoft. Permite a los usuarios crear visualizaciones interactivas y paneles de control a partir de conjuntos de datos diversos</t>
  </si>
  <si>
    <t>BENGY XAVIER YONFA GUERRERO</t>
  </si>
  <si>
    <t>PPM Pichincha Miles</t>
  </si>
  <si>
    <t>CUS0016</t>
  </si>
  <si>
    <t>Portal web del programa de recompensas en el que el cliente gana millas por sus consumos con tarjeta de crédito, para ser canjeado por productos o viajes.</t>
  </si>
  <si>
    <t>JUAN ANDRES AMADOR PEREZ</t>
  </si>
  <si>
    <t>JEAN KARLO OBANDO RAMOS</t>
  </si>
  <si>
    <t>Preguntas de Validación</t>
  </si>
  <si>
    <t>SEC0077</t>
  </si>
  <si>
    <t>Factor de autenticación de Identidad del Cliente a usarse en Canales Fisicos.</t>
  </si>
  <si>
    <t>DIEGO PAUL TAMAYO BARRIGA</t>
  </si>
  <si>
    <t>Nutanix Prism Central</t>
  </si>
  <si>
    <t>ITM0045</t>
  </si>
  <si>
    <t>dashboard de Nutanix / Monitorea la salud de los componentes</t>
  </si>
  <si>
    <t>Prisma Cloud</t>
  </si>
  <si>
    <t>ITM0046</t>
  </si>
  <si>
    <t>FRANKLIN STEVEN ZAMBRANO SOLORZANO</t>
  </si>
  <si>
    <t>ARIEL EDUARDO VILLACIS DE LA CUEVA</t>
  </si>
  <si>
    <t>https://app3.prismacloud.io/home/cloud/welcome</t>
  </si>
  <si>
    <t>Proofpoint</t>
  </si>
  <si>
    <t>SEC0060</t>
  </si>
  <si>
    <t>Control de correo corporativo para filtrar Spam, archivos maliciosos, evitar fuga de información.</t>
  </si>
  <si>
    <t>https://005d4602.pphosted.com:10001/_x000D_
https://005d4602.pphosted.com:10000/admin</t>
  </si>
  <si>
    <t>Protección de datos personales - OneTrust</t>
  </si>
  <si>
    <t>DAT0014</t>
  </si>
  <si>
    <t>Aplicación para gestión del consentimiento, para el uso de datos personales en clientes personas naturales</t>
  </si>
  <si>
    <t>MARIANA ELIZABETH ANZULES DELGADO</t>
  </si>
  <si>
    <t>EDISON FERNANDO PANCHI HERRERA</t>
  </si>
  <si>
    <t>ANZULES DELGADO MARIANA ELIZABETH</t>
  </si>
  <si>
    <t>https://bancopichincha.my.onetrust.com/auth/login</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</si>
  <si>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</si>
  <si>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</si>
  <si>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</si>
  <si>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PROTECCION MARCA</t>
  </si>
  <si>
    <t>TANDAZO GALLEGOS LAURA VALERIA</t>
  </si>
  <si>
    <t>https://portal.easysol.net/</t>
  </si>
  <si>
    <t>ProtegeGX</t>
  </si>
  <si>
    <t>SEC0075</t>
  </si>
  <si>
    <t>Sistema de control de accesos</t>
  </si>
  <si>
    <t>ALVAREZ GARCIA LUIS ENRIQUE</t>
  </si>
  <si>
    <t>Server: PRECWWA026_x000D_
Ejecutar aplicativo</t>
  </si>
  <si>
    <t>Qualtrics</t>
  </si>
  <si>
    <t>CUS0017</t>
  </si>
  <si>
    <t>Aplicación que permite realizar encuestas UX para evaluar satisfacción al cliente por oferta de valor</t>
  </si>
  <si>
    <t>LEONARDO BERMUDEZ CORREA</t>
  </si>
  <si>
    <t>Reclamos y Requerimientos</t>
  </si>
  <si>
    <t>CUS0015</t>
  </si>
  <si>
    <t>Aplicación que permite el registro, solución y comunicación de reclamos y requerimientos de clientes del banco. Usada por Balcón de Servicios y por Call Center.</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</si>
  <si>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</si>
  <si>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</si>
  <si>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</si>
  <si>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</si>
  <si>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</si>
  <si>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</si>
  <si>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</si>
  <si>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</si>
  <si>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</si>
  <si>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</si>
  <si>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ADMINISTRACION SOLO DE USUARIOS LOCALES, PERSONALIZADOS POR MY ACCESS IDENTIDADES NO LO GESTIONA</t>
  </si>
  <si>
    <t>BARREIRO PEREZ CHRISTIAN VINICIO</t>
  </si>
  <si>
    <t>Producción DCP: https://console-openshift-console.apps.ocpdcp.bpichincha.com_x000D_
Producción DCA: https://console-openshift-console.apps.ocpdca.bpichincha.com_x000D_
Pantalla de</t>
  </si>
  <si>
    <t>Red Hat Satellite</t>
  </si>
  <si>
    <t>ITM0049</t>
  </si>
  <si>
    <t>Gestiona infraestructura Red Hat</t>
  </si>
  <si>
    <t>Redmine</t>
  </si>
  <si>
    <t>SUP0062</t>
  </si>
  <si>
    <t>Redmine es una aplicación para la gestión de proyectos que permite a los usuarios registrar, realizar el seguimiento y organización de los mismos.</t>
  </si>
  <si>
    <t>ALEJANDRO SEBASTIAN MORENO ESCOBAR</t>
  </si>
  <si>
    <t>Remesas</t>
  </si>
  <si>
    <t>PAY0023</t>
  </si>
  <si>
    <t>Flujo transaccional para la recepción y pago de remesas.</t>
  </si>
  <si>
    <t>REN</t>
  </si>
  <si>
    <t>PAY0025</t>
  </si>
  <si>
    <t>Nueva plataforma para la emisión y procesamiento de tarjetas de débito y prepago</t>
  </si>
  <si>
    <t>JORGE LUIS ALVAREZ ALVAREZ</t>
  </si>
  <si>
    <t>https://pichincha-renui.eeft.com/renaissance-portal/#/</t>
  </si>
  <si>
    <t>ReporteBuroCredito</t>
  </si>
  <si>
    <t>RIS0010</t>
  </si>
  <si>
    <t>Reporte de Información Crediticia, el cual podrá ser utilizado a través del Portal Empresarial. Este nuevo reporte reemplazará al actual reporte de información crediticia, el cual es provisto por Banred/Equifax.</t>
  </si>
  <si>
    <t>Detalle del criterio de recepción:_x000D_
_x000D_
o En base al documento ¿BPECU-SEG-044-STD - Estándar de Recepción de Módulos de Gestión de Accesos y Perfiles V 2.1-¿; donde se definen los criterios de recepción, se establece que la aplicación debe contar con un módulo de gestión de accesos y perfiles.  _x000D_
 _x000D_
Sin embargo, luego de la reunión con el equipo proveedor administrador del aplicativo, este indica que la aplicación no cuenta con un módulo para la gestión de accesos.  _x000D_
 _x000D_
Como un detalle adicional: Camilo Flechas Báez - Dueño de Producto Sr posterior a la reunión mantenida y mediante correo del 01/marzo/2026 menciona: ¿La nueva aplicación de reporte buró no cuenta con un módulo de administración de usuarios. El acceso se les otorgará a los usuarios a través de una solicitud en MyAccess, la cual será aprobada por el PO a cargo de la aplicación. El acceso de los usuarios será utilizando las credenciales de acceso del banco¿.</t>
  </si>
  <si>
    <t>AUTORIZACIÓN POR GRUPO DE AD (AL INGRESAR POR LOGIN CENTRAL): GA_LOGINC_REPORTE BURO_x000D_
_x000D_
AUTORIZACION POR GRUPO ENTRAID (AL INGRESAR POR EL LINK PROPIO): GSC_BP-ReporteBuroCredito-PROD_AnalistaCredito</t>
  </si>
  <si>
    <t>https://logincentral.bp.bpichincha.com/_x000D_
https://flujos-admision.pichincha.com/credit-report</t>
  </si>
  <si>
    <t>ReportesGaf</t>
  </si>
  <si>
    <t>TIE0017</t>
  </si>
  <si>
    <t>Aplicación que permite la generación de los documentos habilitantes para los préstamos de clientes y reportes.</t>
  </si>
  <si>
    <t>GUERRA ANDRADE PABLO DAVID</t>
  </si>
  <si>
    <t>ASIGNACION DE USUARIOS DE ACTIVE DIRECTORY</t>
  </si>
  <si>
    <t>http://reportesgaf.bpichincha.com/reportesgaf/default.asp</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</si>
  <si>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</si>
  <si>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</si>
  <si>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</si>
  <si>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AUTORIZACIÓN: PERFIL SIGLO21_x000D_
ASIGNAR GRUPO DE AD: GA_LOGINC_MONITOR DE CAJEROS</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</si>
  <si>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</si>
  <si>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</si>
  <si>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</si>
  <si>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MonitoreoEfectivo</t>
  </si>
  <si>
    <t>CHL0002</t>
  </si>
  <si>
    <t>Aplicación que permite realizar consultas de los diferentes rubros de efectivo que ingresan y salen de las agencias y ATM¿s del Banco Pichincha.</t>
  </si>
  <si>
    <t>Motor de Ofertas</t>
  </si>
  <si>
    <t>CUS0011</t>
  </si>
  <si>
    <t>El Motor de Ofertas genera de forma inteligente las mejores ofertas posibles de activos y pasivos para los clientes del Banco, utilizando sus capacidades de big data y analítica avanzada en la nube complementadas con procesos on-premise, y disponibilizando estas ofertas al CRM para que este pueda ponerlo a disposición de los diferentes canales.</t>
  </si>
  <si>
    <t>DIEGO ARMANDO AYALA MARTINEZ</t>
  </si>
  <si>
    <t>Motor de pagos PTS</t>
  </si>
  <si>
    <t>SEC0062</t>
  </si>
  <si>
    <t>Gateway de pagos utilizado por Deuna para realizar los pagos internos y externos</t>
  </si>
  <si>
    <t>Motor de Tarjetas Transporte</t>
  </si>
  <si>
    <t>PAY0026</t>
  </si>
  <si>
    <t>Sistema de gestión Y procesamiento de tarjetas transporte (TCMS)</t>
  </si>
  <si>
    <t>DAVID RICARDO CHARRY DELGADILLO</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</si>
  <si>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</si>
  <si>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</si>
  <si>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</si>
  <si>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Reporte de perfiles y opciones con Play book solicitar a base de datos.</t>
  </si>
  <si>
    <t>https://motortransferencias.apps.ocp.bpichincha.com/</t>
  </si>
  <si>
    <t>Móvil Vendor</t>
  </si>
  <si>
    <t>PRD0023</t>
  </si>
  <si>
    <t>Está aplicación permite la recaudación de valores en cheque, efectivo y débito de cuenta, de las empresas afiliadas al producto de Microcobros, por los diferentes canales del Banco</t>
  </si>
  <si>
    <t>MQ Gateway (BUS Omnicanal)</t>
  </si>
  <si>
    <t>INT0010</t>
  </si>
  <si>
    <t>Gateway del BUS Omnicanal</t>
  </si>
  <si>
    <t>MQ Gateway (BUS Soporte)</t>
  </si>
  <si>
    <t>INT0011</t>
  </si>
  <si>
    <t>Aplicación para control de Colas Integration Bus</t>
  </si>
  <si>
    <t>Murex</t>
  </si>
  <si>
    <t>SUP0014</t>
  </si>
  <si>
    <t>Sistema de Tesorería para gestión de divisas y portafolio de inversión. / El sistema Murex es el encargado de manejar la mesa de dinero de renta fija y renta variable de Tesoreria del Banco</t>
  </si>
  <si>
    <t>Descargar reporte de la aplicacion para cargar en ETL</t>
  </si>
  <si>
    <t>AYALA HIDALGO MARIA ISABEL</t>
  </si>
  <si>
    <t>GESTIONAR EN LA APLICACION USUARIOS Y ROLES_x000D_
Usuarios con acceso: Dayanara Teran - Jhonatan Flores</t>
  </si>
  <si>
    <t>Entornos de respaldos y restauraciones</t>
  </si>
  <si>
    <t>ITM0041</t>
  </si>
  <si>
    <t>Software de respaldo empresarial. / Hereramienta utilizada para la administración de respaldos</t>
  </si>
  <si>
    <t>NETBACKUP</t>
  </si>
  <si>
    <t>CAICEDO ARELLANO PABLO RAUL</t>
  </si>
  <si>
    <t>Netskope</t>
  </si>
  <si>
    <t>SEC0030</t>
  </si>
  <si>
    <t>Solución de seguridad informática para control de navegación por Proxy y  protección de acceso a nube pública (CASB) en todos los equipos de Banco Pichincha y sus filiales</t>
  </si>
  <si>
    <t>Generar un ticket en el siguiente flujo: "Gestión de Seguridad de Datos", Tipo de Solicitud: "Generación de documentación DLP" para que el equipo de @TEUNO_DLP lo pueda atender.</t>
  </si>
  <si>
    <t>https://bancopichincha-ec.goskope.com/_x000D_
https://bancopichincha-ec.goskope.com/locallogin</t>
  </si>
  <si>
    <t>Nexo-Pin Tarjeta</t>
  </si>
  <si>
    <t>PAY0012</t>
  </si>
  <si>
    <t>Normalización de cartera</t>
  </si>
  <si>
    <t>PRD0048</t>
  </si>
  <si>
    <t>Esta página web permite a los clientes puedan registrar la solicitud de aplazamiento de sus creditos reduciendo el valor de sus cuotas</t>
  </si>
  <si>
    <t>Notificaciones SMS Anyway</t>
  </si>
  <si>
    <t>OMN0005</t>
  </si>
  <si>
    <t>EL REPORTE DE USUARIOS ES AUTOMATICO, ENVIAN MEDIANTE CORREO CADA INICIO DE MES A GI_BP</t>
  </si>
  <si>
    <t>SE ENVIA UN CORREO AL RESPONSABLE DE LA APLICACION PARA LA GENERACION DE USUARIOS Y REPORTERIA.</t>
  </si>
  <si>
    <t>GENERACION TICKET PARA EL GRUPO RESOLUTORIO TEAMSOURCING</t>
  </si>
  <si>
    <t>Switch TOTEM</t>
  </si>
  <si>
    <t>CHL0029</t>
  </si>
  <si>
    <t>Aplicación que administra la generación de tarjetas y PIN de la tarjeta. Realiza la carga, envío, transferencias, cambio de estado de KITs de cuenta experta, actualiza el estado de la tarjeta asociada al KIT. Administra los cajeros que son depositarios, recicladores y rutea las transacciones de otros bancos y BGR hacia Banred.</t>
  </si>
  <si>
    <t>Switch-SwitchV</t>
  </si>
  <si>
    <t>PRD0032</t>
  </si>
  <si>
    <t>Servidor RMI que recibe solicitudes de SwCell, se encarga de enviar a Bancs por medio del Middleware el débito a la cuenta del Cliente por transacciones de compra de minutos.</t>
  </si>
  <si>
    <t>Symantec Endpoint Protection Manager</t>
  </si>
  <si>
    <t>SEC0039</t>
  </si>
  <si>
    <t>Herramienta de Antivirus para servidores Windows</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</si>
  <si>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</si>
  <si>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</si>
  <si>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</si>
  <si>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</si>
  <si>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</si>
  <si>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</si>
  <si>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System Network Arquitecture</t>
  </si>
  <si>
    <t>ITM0056</t>
  </si>
  <si>
    <t>Tablero Comex (TABLERO COMEX 2.0)</t>
  </si>
  <si>
    <t>PRD0033</t>
  </si>
  <si>
    <t>Aplicación WS y VSTO utilizada por TCS para administrar las operaciones de Comercio Exterior y contingentes (e.g. garantías bancarias) del Banco contratadas por los clientes</t>
  </si>
  <si>
    <t>Tango</t>
  </si>
  <si>
    <t>CHL0043</t>
  </si>
  <si>
    <t>JUAN CARLOS ORELLANA LOPEZ</t>
  </si>
  <si>
    <t>Tarjeta de crédito adicional</t>
  </si>
  <si>
    <t>PAY0019</t>
  </si>
  <si>
    <t>TarjetasPichinchaBox</t>
  </si>
  <si>
    <t>CUS0014</t>
  </si>
  <si>
    <t>Casilla virtual en USA sin costo que ofrece Banco Pichincha a sus clientes, para realizar compras online y enviarlo a Ecuador y te los entrega en tu hogar u oficina.</t>
  </si>
  <si>
    <t>Tcs.Checklist (Digital Check)</t>
  </si>
  <si>
    <t>TIE0014</t>
  </si>
  <si>
    <t>Aplicación que permite la generación del checklist de trámites y la generación de carátulas para escanear documentos que entrega el cliente.</t>
  </si>
  <si>
    <t>Tenable</t>
  </si>
  <si>
    <t>SEC0069</t>
  </si>
  <si>
    <t>Escáner de vulnerabilidades que realiza pruebas para encontrar fallos de seguridad.</t>
  </si>
  <si>
    <t>https://www.microsoft365.com/apps/?auth=2&amp;home=1_x000D_
https://cloud.tenable.com/tio/app.html#/myapps</t>
  </si>
  <si>
    <t>TotemCCE</t>
  </si>
  <si>
    <t>PAY0021</t>
  </si>
  <si>
    <t>Componente que controla la emisión de tarjetas no personalizadas, la relación entra las tarjetas /número de kit que se empaca como el KIT de cuenta XPERTA.</t>
  </si>
  <si>
    <t>DESKTOP</t>
  </si>
  <si>
    <t>Trend Micro Control Manager</t>
  </si>
  <si>
    <t>SEC0040</t>
  </si>
  <si>
    <t>Correlacionador de eventos para las herramientas Deep Discovery y Deep Security</t>
  </si>
  <si>
    <t>Turno Digital</t>
  </si>
  <si>
    <t>CHL0042</t>
  </si>
  <si>
    <t>Aplicaciòn que permite gestionar los turnos de los clientes en la Red de Agencias, asi tambien permite la gestion de los ejecutivos en las agencias.</t>
  </si>
  <si>
    <t>ZEROQ</t>
  </si>
  <si>
    <t>https://bp.zeroq.cl/zeroq-sso/</t>
  </si>
  <si>
    <t>Plataforma que proporciona herramientas de comunicación programables para llamadas, mensajes de texto, etc.</t>
  </si>
  <si>
    <t>UCMDB</t>
  </si>
  <si>
    <t>ITM0058</t>
  </si>
  <si>
    <t>Herramienta de Gestión de Configuración que contiene la información de la CMDB de la Banco Pichincha</t>
  </si>
  <si>
    <t>Uxcam</t>
  </si>
  <si>
    <t>EDC0008</t>
  </si>
  <si>
    <t>Herramienta de analiticas de lujos para app y grabaciones.</t>
  </si>
  <si>
    <t>Validación de identidades (Facephi)</t>
  </si>
  <si>
    <t>SEC0073</t>
  </si>
  <si>
    <t>Plataforma de uso exclusivo en Deuna para realizar la validacion de identidad con el registro civil de ecuador</t>
  </si>
  <si>
    <t>BLSS</t>
  </si>
  <si>
    <t>ITM0070</t>
  </si>
  <si>
    <t>Monitoreo, Gestión y Digitalización de la Sala TI de los centros de datos</t>
  </si>
  <si>
    <t>Ventana Marco</t>
  </si>
  <si>
    <t>ITM0062</t>
  </si>
  <si>
    <t>Aplicación utilizada para parametrización de perfiles y recursos en las tablas de seguridad.</t>
  </si>
  <si>
    <t>Edgar Felipe Ruales Zambrano</t>
  </si>
  <si>
    <t>SIGLO21_x000D_
RATIFICAR USO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</si>
  <si>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</si>
  <si>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</si>
  <si>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</si>
  <si>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Visa Risk Manager</t>
  </si>
  <si>
    <t>GOB0008</t>
  </si>
  <si>
    <t>ALVARO FABIAN VILLACRES BARRERA</t>
  </si>
  <si>
    <t>RICARDO ALBERTO VINUEZA MOLINA</t>
  </si>
  <si>
    <t>WAS Filenet</t>
  </si>
  <si>
    <t>TIE0015</t>
  </si>
  <si>
    <t>Componente que representa al servidor de aplicaciones donde se despliegan servicios web de la aplicación IBM Filenet.</t>
  </si>
  <si>
    <t>WAS Notificador</t>
  </si>
  <si>
    <t>OMN0006</t>
  </si>
  <si>
    <t>Delay, mensajes correo y OTP</t>
  </si>
  <si>
    <t>CAMACHO CASTILLO SIGIFREDO PATRICIO</t>
  </si>
  <si>
    <t>DMGR WAS NOTIFICADOR	https://10.151.137.36:9043/ibm/console	Producción	AD</t>
  </si>
  <si>
    <t>WAS Omnicanalidad</t>
  </si>
  <si>
    <t>INT0012</t>
  </si>
  <si>
    <t>Banca Movil</t>
  </si>
  <si>
    <t>PROD: https://10.70.128.74:9043/ibm/console_x000D_
TEST: https://10.60.128.57:9043/ibm/console/logon.jsp_x000D_
DEV: WAS Omnicanal Pagos	https://10.50.8.46:9043/ibm/console</t>
  </si>
  <si>
    <t>WAS Omnicanalidad BATCH</t>
  </si>
  <si>
    <t>INT0013</t>
  </si>
  <si>
    <t>Agrupación de componentes de capa media como Switches, Gateways, Integration Bus, WAS y DataPower.</t>
  </si>
  <si>
    <t>PROD: https://10.70.128.121:9043/ibm/console/logon.jsp_x000D_
TEST: https://10.60.128.116:9043/ibm/console/logon.jsp_x000D_
DEV:https://10.60.128.116:9043/ibm/console/logon.jsp</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</si>
  <si>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</si>
  <si>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</si>
  <si>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</si>
  <si>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RATIFICACION SIGLO_x000D_
APLICACION WEBGAF_x000D_
Adicional el grupo de FW: es GF_FW_GAF y de VPN GF_FW_VPN_GAF</t>
  </si>
  <si>
    <t>https://gafwebbp.uio.bpichincha.com:15080/profoundui/genie?skin=bp_gafweb</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</si>
  <si>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</si>
  <si>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</si>
  <si>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</si>
  <si>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</si>
  <si>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</si>
  <si>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</si>
  <si>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</si>
  <si>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</si>
  <si>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</si>
  <si>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Webdox</t>
  </si>
  <si>
    <t>SUP0035</t>
  </si>
  <si>
    <t>La herramienta WEBDOX es un CLM para la gestión del ciclo de vida del contrato es la gestión proactiva y metódica de un contrato desde su inicio hasta su adjudicación, cumplimiento y renovación</t>
  </si>
  <si>
    <t>https://app.webdoxclm.com/setup/users</t>
  </si>
  <si>
    <t>WebSecurityOfficeSystem</t>
  </si>
  <si>
    <t>SEC0041</t>
  </si>
  <si>
    <t>Administración de acceso a aplicativos, genera usuarios para diferentes aplicativos por parte de administración de claves según políticas establecidas por el área.</t>
  </si>
  <si>
    <t>http://websecurityofficesys.uio.bpichincha.com/WebSecurityOfficeSystem/Entorno/LogIn.aspx</t>
  </si>
  <si>
    <t>Workplace</t>
  </si>
  <si>
    <t>SUP0017</t>
  </si>
  <si>
    <t>Aplicación que provee de una red social corporativa para Banco Pichincha.</t>
  </si>
  <si>
    <t>WSO2 Identity Server Externo</t>
  </si>
  <si>
    <t>SEC0042</t>
  </si>
  <si>
    <t>WSO2 Identity Server es una plataforma de autenticación y autorización soportando protocolos como SAML, OUATH, OPENID, tiene la posibilidad de soportar múltiples aplicaciones además de poder federarlas en un solo portal.</t>
  </si>
  <si>
    <t>XACTClearstream</t>
  </si>
  <si>
    <t>SUP0018</t>
  </si>
  <si>
    <t>Sistema del exterior de negociación de bonos utilizada por el área de tesorería</t>
  </si>
  <si>
    <t>Zabbix</t>
  </si>
  <si>
    <t>ITM0074</t>
  </si>
  <si>
    <t>Aplicación para el monitoreo de componentes de red y seguridad.</t>
  </si>
  <si>
    <t>Respecto a la descripcón validar si debe permancer como utilitario</t>
  </si>
  <si>
    <t>Zendesk, es una aplicación SaaS, hosteada en AWS, entra a reemplazar la herramienta actual de R&amp;R y con el objetivo de ser un CRM de servicios para el banco.</t>
  </si>
  <si>
    <t>Zookeeper</t>
  </si>
  <si>
    <t>OMN0007</t>
  </si>
  <si>
    <t>Gestionar  los Brokers de Kafka</t>
  </si>
  <si>
    <t>Qlik Negocio Automotriz</t>
  </si>
  <si>
    <t>PRD0070</t>
  </si>
  <si>
    <t>KARINA ALEXANDRA FLORES VELASQUEZ</t>
  </si>
  <si>
    <t>QLIK_CLOUD</t>
  </si>
  <si>
    <t>https://bpac.us.qlikcloud.com/analytics/home</t>
  </si>
  <si>
    <t>LogiTRX</t>
  </si>
  <si>
    <t>RIS0006</t>
  </si>
  <si>
    <t>Sistema de calificación de cartera del productos del activo de banco.</t>
  </si>
  <si>
    <t>APLICACION EN ESTADO OPERATIVO</t>
  </si>
  <si>
    <t>MENA CEVALLOS CARLOS ARTURO</t>
  </si>
  <si>
    <t>DESKTOP-AS400</t>
  </si>
  <si>
    <t>VMware vSphere Replication</t>
  </si>
  <si>
    <t>ITM0080</t>
  </si>
  <si>
    <t>Plataforma VMware vSphere Replication replica la data de los servidores hacia el sitio de recuperación de la plataforma VMware, versión 8.7.0 16345</t>
  </si>
  <si>
    <t>RUBEN FERNANDO SARANSIG TIXICURO</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</si>
  <si>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</si>
  <si>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</si>
  <si>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</si>
  <si>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</si>
  <si>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</si>
  <si>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DETALLE DEL CRITERIO DE NEGATIVA DE RECEPCIÓN: _x000D_
_x000D_
Descripción del aplicativo:_x000D_
_x000D_
o En base al documento ¿BPECU-SEG-044-STD - Estándar de Recepción de Módulos de _x000D_
Gestión de Accesos y Perfiles V 2.1-¿; donde se definen uno de los criterios para recepción _x000D_
es contar con un módulo de gestión de accesos y perfiles._x000D_
o En la reunión mantenida el martes 24 de marzo de 2026 en conjunto con el equipo _x000D_
administrador del aplicativo, se concluyó que: que la aplicación no cuenta con un módulo _x000D_
para la gestión de accesos. Adicional se tuvieron las siguientes consideraciones:_x000D_
o Verónica Mishell Landi Enriquez - PLATFORM ENGINEERING, mediante correo _x000D_
electrónico enviado el 25 de marzo de 2026, menciona que: ¿El aplicativo BANKDEVX no _x000D_
cuenta con un módulo interno de gestión de accesos, ya que la autenticación de usuarios _x000D_
se realiza centralmente a través de Entra ID. La gestión de solicitudes y autorizaciones de _x000D_
acceso se lleva a cabo mediante la plataforma MyAccess, de acuerdo con el rol asignado. _x000D_
El proceso de autorización se gestiona en función del rol asignado. Para obtener acceso, _x000D_
el usuario deberá solicitar la habilitación correspondiente al paquete requerido a través _x000D_
de la plataforma MyAccess¿._x000D_
o De manera adicional, en la reunión sostenida se evidencia que el aplicativo dispone de _x000D_
una sección User y de un botón Create, para lo cual el administrador del aplicativo, ratifica _x000D_
mediante correo electrónico: ¿Si bien el aplicativo dispone de un botón denominado _x000D_
¿Crear¿, este no permite la creación ni administración de usuarios o grupos. Tal como se _x000D_
revisó durante la sesión, dicha funcionalidad es utilizada exclusivamente para la creación _x000D_
y gestión de templates dentro del aplicativo, sin impacto alguno en la gestión de accesos _x000D_
o identidades".</t>
  </si>
  <si>
    <t>LANDI ENRIQUEZ VERONICA MISHELL</t>
  </si>
  <si>
    <t>https://myplatform.pichincha.com/</t>
  </si>
  <si>
    <t>Mentor</t>
  </si>
  <si>
    <t>PRD0073</t>
  </si>
  <si>
    <t>MANUEL JOSE PRIETO SOUS</t>
  </si>
  <si>
    <t>ZAMORA VILLAVICENCIO TATIANA ISABEL</t>
  </si>
  <si>
    <t>https://www.mentorbp.com</t>
  </si>
  <si>
    <t>Optimizador de Eventos SOC (ORXLog)</t>
  </si>
  <si>
    <t>SEC0085</t>
  </si>
  <si>
    <t>ORXLOG es una aplicación parte de una iniciativa que permite el monitoreo de eventos en el SOC.</t>
  </si>
  <si>
    <t>Detalle del criterio de recepción:  _x000D_
o En base al documento ¿BPECU-SEG-044-STD - Estándar de Recepción de Módulos de Gestión de Accesos y Perfiles V 2.1-¿; donde se definen uno de los criterios para recepción es contar con un módulo de gestión de accesos y perfiles. _x000D_
o Mediante correo remitido por Osejo Domínguez Francisco Miguel - ESPECIALISTA PROYECTOS SI - CS con fecha 19 de agosto del 2025 indica que: _x000D_
¿ La plataforma maneja dos métodos de autenticación de usuarios, uno manual y otro a través de la integración con EntraID. Este último método de autenticación quita la posibilidad de administrar el CRUD de usuarios desde la plataforma y se lo gestiona directamente desde el AD del cliente. _x000D_
¿ La plataforma no permite la administración de usuarios y roles con ambos métodos activos. _x000D_
¿ La iniciativa tiene activo el método de integración con EntraID. _x000D_
¿ No está activo el método manual ¿Users Management¿.</t>
  </si>
  <si>
    <t>OSEJO DOMINGUEZ FRANCISCO MIGUEL</t>
  </si>
  <si>
    <t>En caso de requerir acceso, se debe generar un requerimiento a través del flujo: Inicio ¿ Seguridad ¿ Usuarios y Accesos ¿ Requerimientos Cloud ¿ Usuarios y Accesos Cloud. El usuario solicitante deberá adjuntar la autorización emitida por su Línea de Supervisión, en la cual se apruebe el grupo o rol requerido.</t>
  </si>
  <si>
    <t>Solución de Gestión de Incidentes de Ciberseguridad</t>
  </si>
  <si>
    <t>SEC0087</t>
  </si>
  <si>
    <t>SANTIAGO DAVID SILVA PROANO</t>
  </si>
  <si>
    <t>SANDRA PATRICIA GOMEZ PRADO</t>
  </si>
  <si>
    <t>CloudGuard Appsec WAF</t>
  </si>
  <si>
    <t>SEC0080</t>
  </si>
  <si>
    <t>APLICACION DE BAJA: 13 JULIO 2026</t>
  </si>
  <si>
    <t>PENAHERRERA PLUA MARIA DEL CARMEN</t>
  </si>
  <si>
    <t>GI0034</t>
  </si>
  <si>
    <t>Security Scorecard</t>
  </si>
  <si>
    <t>SEC0078</t>
  </si>
  <si>
    <t>GESTIONAR EN LA APLICACION USUARIOS Y ROLES_x000D_
ACCESO IDENTIDADES BP - BRYAN UYANA</t>
  </si>
  <si>
    <t>https://platform.securityscorecard.io/#/home</t>
  </si>
  <si>
    <t>Sistema Custodia</t>
  </si>
  <si>
    <t>GI0015</t>
  </si>
  <si>
    <t>BPM - Bizagi</t>
  </si>
  <si>
    <t>SUP0063</t>
  </si>
  <si>
    <t>REPORTE POR EJECUCION MANUAL DE PIPELINE</t>
  </si>
  <si>
    <t>MEDIANTE ASIGNACION GRUPO AD</t>
  </si>
  <si>
    <t>https://bizagiprodazure.uio.bpichincha.com/</t>
  </si>
  <si>
    <t>Delivery Servicios a Domiciliio</t>
  </si>
  <si>
    <t>GI0029</t>
  </si>
  <si>
    <t>DOCKCERO</t>
  </si>
  <si>
    <t>GI0030</t>
  </si>
  <si>
    <t>Garantias</t>
  </si>
  <si>
    <t>GI0031</t>
  </si>
  <si>
    <t>Gestión de Liquidez</t>
  </si>
  <si>
    <t>SUP0008</t>
  </si>
  <si>
    <t>CHRISTIAN JAVIER HERRERA NARVAEZ</t>
  </si>
  <si>
    <t>SIGLO21_x000D_
Proceso de ratificación del aplicativo</t>
  </si>
  <si>
    <t>Gestor Tributario Credife</t>
  </si>
  <si>
    <t>GI0032</t>
  </si>
  <si>
    <t>Lista Observados</t>
  </si>
  <si>
    <t>GI0033</t>
  </si>
  <si>
    <t>MALLA FILIALES</t>
  </si>
  <si>
    <t>GI0035</t>
  </si>
  <si>
    <t>SILGO21</t>
  </si>
  <si>
    <t>Modelo PES</t>
  </si>
  <si>
    <t>GI0036</t>
  </si>
  <si>
    <t>SIO</t>
  </si>
  <si>
    <t>PRD0068</t>
  </si>
  <si>
    <t>https://sio.automotriz-gps.hps.pichincha.com/app</t>
  </si>
  <si>
    <t>Sistema de Providencias Judiciales</t>
  </si>
  <si>
    <t>SUP0065</t>
  </si>
  <si>
    <t>Sylvia Katherine Vega Paillacho</t>
  </si>
  <si>
    <t>ROLDAN CORREA FERNANDO JOSE</t>
  </si>
  <si>
    <t>https://providenciasjudiciales.aan.cloud.bpichincha.com</t>
  </si>
  <si>
    <t>Snyk</t>
  </si>
  <si>
    <t>SEC0059</t>
  </si>
  <si>
    <t>MORANTES MORENO FREDY OMAR</t>
  </si>
  <si>
    <t>https://app.snyk.io/login/sso</t>
  </si>
  <si>
    <t>Tarjetas de CreditoCOM</t>
  </si>
  <si>
    <t>PAY0020</t>
  </si>
  <si>
    <t>No operativo</t>
  </si>
  <si>
    <t>Transaccion Motivo</t>
  </si>
  <si>
    <t>GI0016</t>
  </si>
  <si>
    <t>VMware vCenter</t>
  </si>
  <si>
    <t>ITM0060</t>
  </si>
  <si>
    <t>CREAR TICKET EN EL FLUJO: "Wintel"</t>
  </si>
  <si>
    <t>CREAR TICKET SOPORTE ESPECIALIZADO WINTEL PARA GESTION, REPORTERIA</t>
  </si>
  <si>
    <t>CYBERARK:_x000D_
VSPHERE Servidor 8 --&gt; ecbpprvc8_x000D_
VSPHERE Servidor 9 --&gt; 10.151.80.50_x000D_
VSPHERE Servidor 10 --&gt; ecbpprvc10</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</si>
  <si>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</si>
  <si>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</si>
  <si>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</si>
  <si>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NOMBRE SIMILAR: CITIDIRECT_x000D_
Usuarios con acceso: Mischel Espinoiza, Jorge Alvarado, Franklin Gaibor, Vinicio Vásconez</t>
  </si>
  <si>
    <t>GESTIONAR EN LA APLICACIÓN USUARIOS- ROLES Y FUNCIONA CON APP DE MFA</t>
  </si>
  <si>
    <t>https://www.citidirect.com/signin/</t>
  </si>
  <si>
    <t>TeamMatePlus (Auditoría Interna)</t>
  </si>
  <si>
    <t>RIS0019</t>
  </si>
  <si>
    <t>COBO VALLE FRANCISCO JAVIER</t>
  </si>
  <si>
    <t>https://bpe.teammatehosting.com/TeamMate</t>
  </si>
  <si>
    <t>GPOADmin</t>
  </si>
  <si>
    <t>ITM0114</t>
  </si>
  <si>
    <t>Plataforma para gestionar de forma centralizada las políticas de grupo en el directorio activo, control de versionamiento de políticas, supervisión de políticas, flujos de aprobaciónes para desplegar políticas.</t>
  </si>
  <si>
    <t>MIGUEL ANGEL LOZANO CARRIEL</t>
  </si>
  <si>
    <t>Detalle del criterio de recepción:_x000D_
_x000D_
o En base al documento ¿BPECU-SEG-044-STD - Estándar de Recepción de Módulos de Gestión de Accesos y Perfiles V 2.1-¿; donde se definen uno de los criterios para recepción es contar con un módulo de gestión de accesos y perfiles.  _x000D_
 _x000D_
o Sin embargo: luego de la reunión con el equipo administrador del aplicativo el jueves, 27 de noviembre de 2025 se evidenció que el aplicativo no cuenta con un módulo para la gestión de accesos.</t>
  </si>
  <si>
    <t>MERA MIRANDA RENNE PATRICIO</t>
  </si>
  <si>
    <t>Actualmente, la gestión de usuarios en el aplicativo se realiza mediante la generación de _x000D_
un requerimiento a través del flujo: Inicio ¿ Seguridad ¿ Usuarios y Accesos ¿ _x000D_
Modificación de Atributos de Seguridad. El usuario solicitante deberá adjuntar la _x000D_
autorización emitida por su Línea de Supervisión, en la cual se apruebe el grupo o rol _x000D_
requerido.</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</si>
  <si>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</si>
  <si>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</si>
  <si>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</si>
  <si>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Detalle del criterio de recepción: _x000D_
o En base al documento ¿BPECU-SEG-044-STD - Estándar de Recepción de Módulos de Gestión de Accesos y Perfiles V 2.1-¿; donde se definen uno de los criterios para recepción es contar con un módulo de gestión de accesos y perfiles._x000D_
o En la reunión mantenida el jueves 19 de marzo de 2026 en conjunto con el equipo administrador del aplicativo, se concluyó que: que la aplicación no cuenta con un módulo para la gestión de accesos. Adicional se tuvieron las siguientes observaciones: _x000D_
o David Joel Revelo Borja - TECHNICAL OWNER, mediante correo electrónico enviado el 20 de marzo de 2026, menciona: ¿La aplicación Portal Automotriz tiene como objetivo principal automatizar la distribución de cargas de trabajo para los módulos de Análisis de Crédito, Operaciones y Previsado. Dentro de esta aplicación se gestionan y calendarizan los triggers responsables de la distribución de las cargas de trabajo provenientes de la aplicación SIO. La asignación de estas cargas es realizada por el supervisor, quien debe tener acceso a los grupos de Azure AD con el fin de configurar la distribución y parametrización de usuarios conforme a su operación y responsabilidades. Es importante recalcar que los usuarios configurados para las cargas de trabajo no tienen acceso al Portal Automotriz, únicamente son parametrizados para recibir asignaciones de carga y gestionar en la herramienta SIO. _x000D_
o Adicionalmente, la aplicación cuenta con un módulo de postventa, donde los supervisores _x000D_
pueden visualizar dashboards con las transacciones efectuadas en AMERAFIN¿.</t>
  </si>
  <si>
    <t>REVELO BORJA DAVID JOEL</t>
  </si>
  <si>
    <t>Cabe mencionar que el acceso a la aplicación se gestiona mediante la asignación de usuarios a grupos de EntraID, este proceso de asignación de usuario es ejecutado por Gestión de Identidades.</t>
  </si>
  <si>
    <t>Abonos Anticipados</t>
  </si>
  <si>
    <t>GI0009</t>
  </si>
  <si>
    <t>Administracion de cupos y lineas de credito</t>
  </si>
  <si>
    <t>GI0012</t>
  </si>
  <si>
    <t>Administrador ATMS</t>
  </si>
  <si>
    <t>GI0014</t>
  </si>
  <si>
    <t>AM-Menu Accionistas</t>
  </si>
  <si>
    <t>GI0022</t>
  </si>
  <si>
    <t>Aplicativo Captura de Firmas</t>
  </si>
  <si>
    <t>GI0023</t>
  </si>
  <si>
    <t>Aplicativo de Remesas</t>
  </si>
  <si>
    <t>GI0024</t>
  </si>
  <si>
    <t>ATM CAjeros Automaticos</t>
  </si>
  <si>
    <t>GI0025</t>
  </si>
  <si>
    <t>Calculadora de Cupos para Creditos</t>
  </si>
  <si>
    <t>GI0026</t>
  </si>
  <si>
    <t>Clientes Juridicos</t>
  </si>
  <si>
    <t>GI0027</t>
  </si>
  <si>
    <t>Constructores.com</t>
  </si>
  <si>
    <t>GI0028</t>
  </si>
  <si>
    <t>MTS</t>
  </si>
  <si>
    <t>GI0037</t>
  </si>
  <si>
    <t>Notificaciones</t>
  </si>
  <si>
    <t>GI0038</t>
  </si>
  <si>
    <t>OPERACIONES.COM</t>
  </si>
  <si>
    <t>GI0039</t>
  </si>
  <si>
    <t>Organismo de Control</t>
  </si>
  <si>
    <t>GI0040</t>
  </si>
  <si>
    <t>Pague Ya</t>
  </si>
  <si>
    <t>GI0041</t>
  </si>
  <si>
    <t>Preevaluacion</t>
  </si>
  <si>
    <t>RIS0009</t>
  </si>
  <si>
    <t>Javier Patricio Molina Asmal</t>
  </si>
  <si>
    <t>ApisProveedor</t>
  </si>
  <si>
    <t>ITM0141</t>
  </si>
  <si>
    <t>Clientes y Segmentos</t>
  </si>
  <si>
    <t>CAROLINA ROCIO CAMPUZANO PAEZ</t>
  </si>
  <si>
    <t>EDWIN XAVIER VEGA LOPEZ</t>
  </si>
  <si>
    <t>HP SAN Network Advisor</t>
  </si>
  <si>
    <t>ITM0029</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</si>
  <si>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</si>
  <si>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</si>
  <si>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</si>
  <si>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</si>
  <si>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GESTION MEDIANTE GRUPOS DE AD</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</si>
  <si>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</si>
  <si>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</si>
  <si>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</si>
  <si>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DataPower Interno funciona dentro del dominio del banco</t>
  </si>
  <si>
    <t>Ingresar al nodo y crear al usuario manualmente con una contraseña personalizada</t>
  </si>
  <si>
    <t>Ingresar por Cyberark utilizando el genérico usrpclck al nodo correspondiente:_x000D_
_x000D_
ECBPDPP1	10.40.8.24	Datapower Nodo 1	Interno DCP_x000D_
ECBPDPP2	10.40.8.26	Datapower Nodo 2	Interno DCP_x000D_
DRECBPDPP1	10.40.8.48	Datapower Nodo 1	Interno DCA_x000D_
DRECBPDPP2	10.40.8.49	Datapower Nodo 2	Interno DCA</t>
  </si>
  <si>
    <t>Integration Bus Omnicanal</t>
  </si>
  <si>
    <t>INT0008</t>
  </si>
  <si>
    <t>Ingresar al nodo (servidor Unix) correspondiente utilizando el usuario root y ejecutar los comandos detallados en el instructivo para administrar usuarios</t>
  </si>
  <si>
    <t>Integration Bus Omnicanal Web Services Nodo 1	PRECBPIB05	10.70.128.112_x000D_
Integration Bus Omnicanal Web Services Nodo 2	PRECBPIB06	10.70.128.113_x000D_
Integration Bus Omnicanal Orquestacion Nodo 1	PRECBPIB12	10.70.144.154_x000D_
Integration Bus Omnicanal Orquestacion Nodo 2	PRECBPIB13	10.70.128.156</t>
  </si>
  <si>
    <t>BPCompliance</t>
  </si>
  <si>
    <t>ITM0126</t>
  </si>
  <si>
    <t>ITM0130</t>
  </si>
  <si>
    <t>CHRISTIAN PAUL FLORES TERREROS</t>
  </si>
  <si>
    <t>Nutanix File Server</t>
  </si>
  <si>
    <t>ITM0107</t>
  </si>
  <si>
    <t xml:space="preserve">Staffing </t>
  </si>
  <si>
    <t>ITM0105</t>
  </si>
  <si>
    <t>Capital Credife</t>
  </si>
  <si>
    <t>PRD0051</t>
  </si>
  <si>
    <t>Aplicación dado de baja</t>
  </si>
  <si>
    <t>Componentes de Infraestructura - BDD</t>
  </si>
  <si>
    <t>ITM0106</t>
  </si>
  <si>
    <t>Sistema de Gestión de Video DSS</t>
  </si>
  <si>
    <t>SEC0096</t>
  </si>
  <si>
    <t>CHRISTIAN ROBERTO CAJAMARCA LLIVE</t>
  </si>
  <si>
    <t>SANTIAGO FERNANDO RODRIGUEZ VENEGAS</t>
  </si>
  <si>
    <t>HP Servicios Gestionados</t>
  </si>
  <si>
    <t>ITM0087</t>
  </si>
  <si>
    <t>Feature Flags Transversal</t>
  </si>
  <si>
    <t>ITM0111</t>
  </si>
  <si>
    <t>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</si>
  <si>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Gestión de Identidades NTTDATA administrará el ABM (alta, baja y modificación) de los usuarios a través de la asignación de grupos en EntraID y Active Directory asociados a la aplicación</t>
  </si>
  <si>
    <t>MORALES VARGAS ANTHONY ALEJANDRO</t>
  </si>
  <si>
    <t>Producción: https://appc-featureflag-shdev-01.azconfig.io_x000D_
           Desarrollo: https://appc-featureflag-shdev-01.azconfig.io_x000D_
           Test: https://appc-featureflag-shtest-01.azconfig.io</t>
  </si>
  <si>
    <t>HARDWARE SECURITY MODULE - HSM</t>
  </si>
  <si>
    <t>GA0020</t>
  </si>
  <si>
    <t>HSM (Hardware Security Module): Plataforma de seguridad utilizada para generar,  custodiar y administrar claves criptográficas de forma segura, asegurando la confidencialidad, integridad y protección de la información y de las transacciones que dependen de dichas claves.</t>
  </si>
  <si>
    <t>VEGA GUZMAN JULIO CESAR</t>
  </si>
  <si>
    <t>ANGOS QUILACHAMIN FREDY VINICIO</t>
  </si>
  <si>
    <t>Pra soporte en la herramienta:_x000D_
DAUTANT COTUA JESUS EDUARDO - ARQUITECTO CLOUD - 0963303088 - jedautan@pichincha.com  _x000D_
PINTO PRIETO JUAN JOSE -INGENIERO  PLATAFORMA CLOUD -0984888292 - jjpinto@pichincha.com  _x000D_
 _x000D_
¿ De ser necesario se deberá escalar el caso mediante la creación de un ticket de  soporte a Microsoft desde el portal de Azure, en la opción Support + troubleshooting, por parte de Gestión de Identidades.</t>
  </si>
  <si>
    <t>PINTO PRIETO JUAN JOSE</t>
  </si>
  <si>
    <t>GESTIONAR EN LA APLICACIÓN USUARIOS Y ROLES</t>
  </si>
  <si>
    <t>Acceso a través de la Máquina virtual (vm-hsm-prod-01)  &gt; Connect via Bastion &gt;</t>
  </si>
  <si>
    <t>Redis Enterprise</t>
  </si>
  <si>
    <t>ITM0142</t>
  </si>
  <si>
    <t>JHONNY LENIN GUAMAN RIVERA</t>
  </si>
  <si>
    <t>Sistema Nacional de Pagos</t>
  </si>
  <si>
    <t>PRD0028</t>
  </si>
  <si>
    <t>Onboarding</t>
  </si>
  <si>
    <t>CUS0021</t>
  </si>
  <si>
    <t>SDWAN CISCO</t>
  </si>
  <si>
    <t>ITM0090</t>
  </si>
  <si>
    <t>MSAL Seguridad de Aplicaciones Legadas</t>
  </si>
  <si>
    <t>ITM0145</t>
  </si>
  <si>
    <t>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</si>
  <si>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Se entrega el aplicativo en ambientes de Test y Desarrollo._x000D_
Gestión de Identidades NTTDATA administrará el ABM (alta, baja y modificación) de los usuarios mediante la asignación o retiro de usuarios dentro de los grupos de EntradaID asociados al aplicativo en ambientes Test y Desarrollo._x000D_
Respecto a la gestión de grupos de EntraID: Gestión de Identidades NTTDATA administrará el ABM (alta, baja y modificación) de los grupos asociados al aplicativo en ambientes Test y Desarrollo._x000D_
* Grupo ambiente Test: GSC_BP-ModuloSeguridadAplicacionesLegadas-Test_Users_x000D_
* Grupo ambiente desarrollo: GSC_BP-ModuloSeguridadAplicacionesLegadas-Dev_Users</t>
  </si>
  <si>
    <t>ACUNA GARCIA EDITH SUSANA</t>
  </si>
  <si>
    <t>El acceso a la aplicación es mediante los las urls: _x000D_
Test: https://spf-shell-msal-enp.apps.ocptest.uiotest.bpichinchatest.test/_x000D_
Desarrollo: https://spf-shell-msal-enp.apps.ocpdev.uiotest.bpichinchatest.test/</t>
  </si>
  <si>
    <t>ZDLRA</t>
  </si>
  <si>
    <t>ITM0067</t>
  </si>
  <si>
    <t>BMC Helix</t>
  </si>
  <si>
    <t>ITM0139</t>
  </si>
  <si>
    <t>IBM Guardium Key Lifecycle Manager</t>
  </si>
  <si>
    <t>ITM0116</t>
  </si>
  <si>
    <t>Diego Hernan Villegas Tocache</t>
  </si>
  <si>
    <t>Stratio Rocket</t>
  </si>
  <si>
    <t>DAT0011</t>
  </si>
  <si>
    <t>Servicenow ITSM</t>
  </si>
  <si>
    <t>ITM0101</t>
  </si>
  <si>
    <t>Modelo Credito Pequeñas Empresas(MEC)</t>
  </si>
  <si>
    <t>RIS0016</t>
  </si>
  <si>
    <t>Datawarehouse</t>
  </si>
  <si>
    <t>DAT0003</t>
  </si>
  <si>
    <t>Nessus Professional</t>
  </si>
  <si>
    <t>SEC0029</t>
  </si>
  <si>
    <t>Servicios Tarjeta de Crédito (OTPs TDD)</t>
  </si>
  <si>
    <t>PAY0014</t>
  </si>
  <si>
    <t>Qlik Sense</t>
  </si>
  <si>
    <t>DAT0008</t>
  </si>
  <si>
    <t>Switch de Servicios ATMs</t>
  </si>
  <si>
    <t>CHL0027</t>
  </si>
  <si>
    <t>Afiliacion_Pichincha_Empresas</t>
  </si>
  <si>
    <t>PRD0002</t>
  </si>
  <si>
    <t>Automatizaciones BDD</t>
  </si>
  <si>
    <t>ITM0091</t>
  </si>
  <si>
    <t>Teams</t>
  </si>
  <si>
    <t>ITM0057</t>
  </si>
  <si>
    <t>VMware Site Recovery Manager</t>
  </si>
  <si>
    <t>ITM0079</t>
  </si>
  <si>
    <t>VMware Skyline</t>
  </si>
  <si>
    <t>ITM0081</t>
  </si>
  <si>
    <t>Contact Center Plus</t>
  </si>
  <si>
    <t>CHL0013</t>
  </si>
  <si>
    <t>HP Monitoreo Insight Manager</t>
  </si>
  <si>
    <t>ITM0077</t>
  </si>
  <si>
    <t>Acunetix</t>
  </si>
  <si>
    <t>SEC0001</t>
  </si>
  <si>
    <t>AUTODESK</t>
  </si>
  <si>
    <t>ITM0002</t>
  </si>
  <si>
    <t>Futuro Seguro</t>
  </si>
  <si>
    <t>SUP0019</t>
  </si>
  <si>
    <t>Visa Direct Portal</t>
  </si>
  <si>
    <t>ITM0140</t>
  </si>
  <si>
    <t>MAURICIO XAVIER FLORES GAVELA</t>
  </si>
  <si>
    <t>IPAM AWS</t>
  </si>
  <si>
    <t>ITM0128</t>
  </si>
  <si>
    <t>JESUS EDUARDO DAUTANT COTUA</t>
  </si>
  <si>
    <t>CIS CAT Pro</t>
  </si>
  <si>
    <t>ITM0119</t>
  </si>
  <si>
    <t>DIEGO MIGUEL VASCONEZ PALIZ</t>
  </si>
  <si>
    <t>Slack</t>
  </si>
  <si>
    <t>ITM0052</t>
  </si>
  <si>
    <t>Banred Switch BASE 24 CLASICO</t>
  </si>
  <si>
    <t>CHL0005</t>
  </si>
  <si>
    <t>Notificador Transversal</t>
  </si>
  <si>
    <t>TIE0023</t>
  </si>
  <si>
    <t>DANNY GABRIEL QUISHPE PALOMEQUE</t>
  </si>
  <si>
    <t>IVR GVP</t>
  </si>
  <si>
    <t>CHL0018</t>
  </si>
  <si>
    <t>Kaspersky</t>
  </si>
  <si>
    <t>SEC0027</t>
  </si>
  <si>
    <t>Swift Inquiry</t>
  </si>
  <si>
    <t>PRD0042</t>
  </si>
  <si>
    <t>Componentes de Networking</t>
  </si>
  <si>
    <t>ITM0094</t>
  </si>
  <si>
    <t>DIEGO ALEXANDER AYALA GARCIA</t>
  </si>
  <si>
    <t>ITM0138</t>
  </si>
  <si>
    <t>Componentes IST</t>
  </si>
  <si>
    <t>ITM0086</t>
  </si>
  <si>
    <t>LUIS ALEJANDRO PATACHE TIGSI</t>
  </si>
  <si>
    <t>Gestión de Litigios</t>
  </si>
  <si>
    <t>ITM0144</t>
  </si>
  <si>
    <t>ALEXANDRA ISABEL VELOZ VELASTEGUI</t>
  </si>
  <si>
    <t>Switch Interfiliales</t>
  </si>
  <si>
    <t>PRD0043</t>
  </si>
  <si>
    <t>Ducats Data Director (3D)</t>
  </si>
  <si>
    <t>PRD0017</t>
  </si>
  <si>
    <t>Logicorba</t>
  </si>
  <si>
    <t>RIS0015</t>
  </si>
  <si>
    <t>Host to Host</t>
  </si>
  <si>
    <t>PRD0020</t>
  </si>
  <si>
    <t>AgenciaVirtual</t>
  </si>
  <si>
    <t>CHL0004</t>
  </si>
  <si>
    <t>Middleware Fuentes Públicas</t>
  </si>
  <si>
    <t>CUS0024</t>
  </si>
  <si>
    <t>ENRIQUE DANA MARQUEZ VILLAVICENCIO</t>
  </si>
  <si>
    <t>IBM Deployment Manager (Dmgr_Portal)</t>
  </si>
  <si>
    <t>ITM0032</t>
  </si>
  <si>
    <t>Appdome</t>
  </si>
  <si>
    <t>ITM0146</t>
  </si>
  <si>
    <t>Parametrizador Legados</t>
  </si>
  <si>
    <t>ITM0110</t>
  </si>
  <si>
    <t>PEDRO ANDRES GUERRERO POZO</t>
  </si>
  <si>
    <t>Fraud rules Manager</t>
  </si>
  <si>
    <t>GOB0004</t>
  </si>
  <si>
    <t>Certes</t>
  </si>
  <si>
    <t>SEC0007</t>
  </si>
  <si>
    <t>Onboarding Vinculación</t>
  </si>
  <si>
    <t>CHL0035</t>
  </si>
  <si>
    <t>Exchange Server 2010</t>
  </si>
  <si>
    <t>ITM0016</t>
  </si>
  <si>
    <t>IBM Rational Perfomance Tester</t>
  </si>
  <si>
    <t>ITM0103</t>
  </si>
  <si>
    <t>JUAN IGNACIO ORTIZ GONZALEZ</t>
  </si>
  <si>
    <t>Tokenización de Tarjetas</t>
  </si>
  <si>
    <t>ITM0149</t>
  </si>
  <si>
    <t>HECTOR ANDRES FLORES CERVANTES</t>
  </si>
  <si>
    <t>Urban Code Deploy</t>
  </si>
  <si>
    <t>ITM0059</t>
  </si>
  <si>
    <t>Componente MKT Cloud SMS</t>
  </si>
  <si>
    <t>CUS0006</t>
  </si>
  <si>
    <t>Estados de Cuenta</t>
  </si>
  <si>
    <t>PRD0066</t>
  </si>
  <si>
    <t>JESSICA PAOLA ERAZO JACOME</t>
  </si>
  <si>
    <t>Switch Yanbal</t>
  </si>
  <si>
    <t>PRD0030</t>
  </si>
  <si>
    <t>Stratio Discovery</t>
  </si>
  <si>
    <t>DAT0010</t>
  </si>
  <si>
    <t>PagerDuty</t>
  </si>
  <si>
    <t>ITM0150</t>
  </si>
  <si>
    <t>Nuevo Cash</t>
  </si>
  <si>
    <t>PRD0024</t>
  </si>
  <si>
    <t>LUIS FERNANDO BORJA ROJAS</t>
  </si>
  <si>
    <t>Componente MKT Cloud Push</t>
  </si>
  <si>
    <t>CUS0005</t>
  </si>
  <si>
    <t>UnificaTP</t>
  </si>
  <si>
    <t>SUP0022</t>
  </si>
  <si>
    <t>Elastic Kubernetes Services</t>
  </si>
  <si>
    <t>ITM0124</t>
  </si>
  <si>
    <t>Sharepoint 2013</t>
  </si>
  <si>
    <t>ITM0051</t>
  </si>
  <si>
    <t>Segmentación de Clientes</t>
  </si>
  <si>
    <t>CUS0023</t>
  </si>
  <si>
    <t>DANIEL ALEXANDER GARZON CASTILLO</t>
  </si>
  <si>
    <t>Citrix Metaframe</t>
  </si>
  <si>
    <t>ITM0005</t>
  </si>
  <si>
    <t>Componentes de infraestructura</t>
  </si>
  <si>
    <t>ITM0100</t>
  </si>
  <si>
    <t>FREDDY HUGO VITERI FARIAS</t>
  </si>
  <si>
    <t>Baccambios</t>
  </si>
  <si>
    <t>SUP0024</t>
  </si>
  <si>
    <t>Stratio</t>
  </si>
  <si>
    <t>DAT0013</t>
  </si>
  <si>
    <t>WILLIAM PATRICIO ESPINOSA ORTUNO</t>
  </si>
  <si>
    <t>MAC-Logiflow</t>
  </si>
  <si>
    <t>PRD0059</t>
  </si>
  <si>
    <t>EDCManager</t>
  </si>
  <si>
    <t>CHL0016</t>
  </si>
  <si>
    <t>Steadybit</t>
  </si>
  <si>
    <t>ITM0117</t>
  </si>
  <si>
    <t>SAS Customer Analytics</t>
  </si>
  <si>
    <t>DAT0009</t>
  </si>
  <si>
    <t>SHORI</t>
  </si>
  <si>
    <t>SUP0070</t>
  </si>
  <si>
    <t>Componentes Cloud</t>
  </si>
  <si>
    <t>ITM0097</t>
  </si>
  <si>
    <t>Sistema de Evaluación Crediticia</t>
  </si>
  <si>
    <t>PRD0057</t>
  </si>
  <si>
    <t>Guia de visitas</t>
  </si>
  <si>
    <t>PRD0019</t>
  </si>
  <si>
    <t>Archivo Digital</t>
  </si>
  <si>
    <t>TIE0001</t>
  </si>
  <si>
    <t>Nutanix File Analytics</t>
  </si>
  <si>
    <t>ITM0085</t>
  </si>
  <si>
    <t>Nuevo Crédito Distribuidor</t>
  </si>
  <si>
    <t>PRD0025</t>
  </si>
  <si>
    <t>JOSE ALEJANDRO DE SOUZA JARAMILLO</t>
  </si>
  <si>
    <t>Uanataca</t>
  </si>
  <si>
    <t>ITM0121</t>
  </si>
  <si>
    <t>Azure Container Registry</t>
  </si>
  <si>
    <t>ITM0137</t>
  </si>
  <si>
    <t>Tabla de Amortización Diferidos</t>
  </si>
  <si>
    <t>PRD0050</t>
  </si>
  <si>
    <t>INT0018</t>
  </si>
  <si>
    <t>CHRISTIAN FABIAN VILLACRES BOTTA</t>
  </si>
  <si>
    <t>Sistema de Cuadres y Conciliaciones (SCC)</t>
  </si>
  <si>
    <t>SUP0037</t>
  </si>
  <si>
    <t>EVELYN PAMELA ESPINOZA CHINCHIN</t>
  </si>
  <si>
    <t>TDM</t>
  </si>
  <si>
    <t>DAT0016</t>
  </si>
  <si>
    <t>Financiamiento Empresas</t>
  </si>
  <si>
    <t>PRD0072</t>
  </si>
  <si>
    <t>CUADRE RECAUDACION</t>
  </si>
  <si>
    <t>SUP0026</t>
  </si>
  <si>
    <t>CIC</t>
  </si>
  <si>
    <t>CHL0011</t>
  </si>
  <si>
    <t>ANA MARIA RUBIO GARCIA</t>
  </si>
  <si>
    <t>Hub Seguros</t>
  </si>
  <si>
    <t>PRD0067</t>
  </si>
  <si>
    <t>XAVIER SANTIAGO CABRERA RIVADENEIRA</t>
  </si>
  <si>
    <t>IrusRisk</t>
  </si>
  <si>
    <t>ITM0147</t>
  </si>
  <si>
    <t>MARCELO VINICIO BURGOS SHUGULI</t>
  </si>
  <si>
    <t>WARiesgos</t>
  </si>
  <si>
    <t>RIS0014</t>
  </si>
  <si>
    <t>Educación Financiera</t>
  </si>
  <si>
    <t>CUS0022</t>
  </si>
  <si>
    <t>PAULA QUINONES GOMEZ DE LA TORRE</t>
  </si>
  <si>
    <t>CloudGuard WAF</t>
  </si>
  <si>
    <t>SEC0084</t>
  </si>
  <si>
    <t>TurboSwift</t>
  </si>
  <si>
    <t>PRD0044</t>
  </si>
  <si>
    <t>Crédito empleado</t>
  </si>
  <si>
    <t>SUP0005</t>
  </si>
  <si>
    <t>IBM Datacap</t>
  </si>
  <si>
    <t>TIE0007</t>
  </si>
  <si>
    <t>Sophos</t>
  </si>
  <si>
    <t>SEC0037</t>
  </si>
  <si>
    <t>Componentes de Automatización</t>
  </si>
  <si>
    <t>SEC0082</t>
  </si>
  <si>
    <t>OBR</t>
  </si>
  <si>
    <t>ITM0043</t>
  </si>
  <si>
    <t>Software de Gestión de Vulnerabilidades basado en el riesgo</t>
  </si>
  <si>
    <t>SEC0089</t>
  </si>
  <si>
    <t>VICTOR ULISES ORTIZ GUTIERREZ</t>
  </si>
  <si>
    <t>HP Infosight</t>
  </si>
  <si>
    <t>ITM0083</t>
  </si>
  <si>
    <t>COMPONENTE DE GENERADOR</t>
  </si>
  <si>
    <t>ITM0148</t>
  </si>
  <si>
    <t>JUAN CARLOS FUENTES QUINTANA</t>
  </si>
  <si>
    <t>DANIELA PAOLA VILLAGRAN PALACIO</t>
  </si>
  <si>
    <t>KLEBER VINICIO ITAZ ALCUACER</t>
  </si>
  <si>
    <t>RPA Blue Prism</t>
  </si>
  <si>
    <t>TIE0012</t>
  </si>
  <si>
    <t>JUAN CARLOS GONZALEZ GUSEV</t>
  </si>
  <si>
    <t>Google Cloud</t>
  </si>
  <si>
    <t>ITM0022</t>
  </si>
  <si>
    <t>KARLA ANDREA ORTIZ ADAME</t>
  </si>
  <si>
    <t>Canje</t>
  </si>
  <si>
    <t>PAY0001</t>
  </si>
  <si>
    <t>Amazon Web Services</t>
  </si>
  <si>
    <t>ITM0113</t>
  </si>
  <si>
    <t>PIA Agente Virtual</t>
  </si>
  <si>
    <t>DAT0018</t>
  </si>
  <si>
    <t>ANDRES BURBANO DE LARA BARRERA</t>
  </si>
  <si>
    <t>YOLANDA XIMENA RUBIO TAIPE</t>
  </si>
  <si>
    <t>BITBUCKET</t>
  </si>
  <si>
    <t>MaaS</t>
  </si>
  <si>
    <t>PGP</t>
  </si>
  <si>
    <t>Switch Interbancarios</t>
  </si>
  <si>
    <t>CXP Manager</t>
  </si>
  <si>
    <t>Desarrollo de Competencias</t>
  </si>
  <si>
    <t>WebMTS</t>
  </si>
  <si>
    <t>Pipeline</t>
  </si>
  <si>
    <t>Rol de Pagos</t>
  </si>
  <si>
    <t>Encuestas - RRHH</t>
  </si>
  <si>
    <t>Descripción de Funciones</t>
  </si>
  <si>
    <t>AYUDA VENTAS</t>
  </si>
  <si>
    <t>Mesa de Servicios</t>
  </si>
  <si>
    <t>Pentaho Data Integration</t>
  </si>
  <si>
    <t>AMERAFIN</t>
  </si>
  <si>
    <t>IBM WebSphere Portal; Web Teller 3.0</t>
  </si>
  <si>
    <t>Elastic (ELK) Stack; Grafana</t>
  </si>
  <si>
    <t>Cheqscan; Web Teller 3.0</t>
  </si>
  <si>
    <t>File server; Home Folder</t>
  </si>
  <si>
    <t>Cuadre Atms; SERVER PUEX</t>
  </si>
  <si>
    <t>LatamPass</t>
  </si>
  <si>
    <t>Microsoft Skype for Business</t>
  </si>
  <si>
    <t>Pichincha Celular</t>
  </si>
  <si>
    <t>Marketing Digital</t>
  </si>
  <si>
    <t>Identity BP</t>
  </si>
  <si>
    <t>ITM0152</t>
  </si>
  <si>
    <t>Windsurf</t>
  </si>
  <si>
    <t>ITM0134</t>
  </si>
  <si>
    <t>Hyperion</t>
  </si>
  <si>
    <t>SUP0028</t>
  </si>
  <si>
    <t>Elastic Container Registry</t>
  </si>
  <si>
    <t>ITM0136</t>
  </si>
  <si>
    <t>Portal autogestión UAC</t>
  </si>
  <si>
    <t>SUP0068</t>
  </si>
  <si>
    <t>Bloomberg</t>
  </si>
  <si>
    <t>ITM0129</t>
  </si>
  <si>
    <t>Editor Swift</t>
  </si>
  <si>
    <t>PRD0038</t>
  </si>
  <si>
    <t>Reportes Banktrade</t>
  </si>
  <si>
    <t>PRD0027</t>
  </si>
  <si>
    <t>CESAR AUGUSTO ALVAREZ COELLO</t>
  </si>
  <si>
    <t>WebATM</t>
  </si>
  <si>
    <t>CHL0031</t>
  </si>
  <si>
    <t>NNMI</t>
  </si>
  <si>
    <t>ITM0042</t>
  </si>
  <si>
    <t>PAUL ANDRES TORRES VASCONEZ</t>
  </si>
  <si>
    <t>Administración de Bienes y Servicios</t>
  </si>
  <si>
    <t>SUP0002</t>
  </si>
  <si>
    <t>Administración de Custodia</t>
  </si>
  <si>
    <t>SUP0003</t>
  </si>
  <si>
    <t>Solución de Gestión de Certificados Digitales</t>
  </si>
  <si>
    <t>SEC0097</t>
  </si>
  <si>
    <t>AutoGestionWeb</t>
  </si>
  <si>
    <t>PRD0045</t>
  </si>
  <si>
    <t>Almacenamiento NetApp - TieBreaker</t>
  </si>
  <si>
    <t>ITM0108</t>
  </si>
  <si>
    <t>Foglight</t>
  </si>
  <si>
    <t>ITM0020</t>
  </si>
  <si>
    <t>SONIA MARIA ROBLES RAMIREZ</t>
  </si>
  <si>
    <t>IBM RTC</t>
  </si>
  <si>
    <t>ITM0033</t>
  </si>
  <si>
    <t>Banktrade</t>
  </si>
  <si>
    <t>PRD0004</t>
  </si>
  <si>
    <t>Componentes Identidades</t>
  </si>
  <si>
    <t>SEC0095</t>
  </si>
  <si>
    <t>ANA MARIA VERGARA BUSTOS</t>
  </si>
  <si>
    <t>VMware Aria Operations</t>
  </si>
  <si>
    <t>ITM0082</t>
  </si>
  <si>
    <t>Twilio</t>
  </si>
  <si>
    <t>CUS0019</t>
  </si>
  <si>
    <t>Componentes Ciberdefensa</t>
  </si>
  <si>
    <t>SEC0091</t>
  </si>
  <si>
    <t>Engineering Metrics</t>
  </si>
  <si>
    <t>ITM0132</t>
  </si>
  <si>
    <t>EDWIN DANIEL JACOME AMORES</t>
  </si>
  <si>
    <t>EDUARDO DAMIAN ALBUJA TORRES</t>
  </si>
  <si>
    <t>CPM</t>
  </si>
  <si>
    <t>CARLOS ANDRES FLOR CEVALLOS</t>
  </si>
  <si>
    <t>Banred Switch BASE24 EPS</t>
  </si>
  <si>
    <t>CHL0006</t>
  </si>
  <si>
    <t>SEGUNDO SEBASTIAN ROBLES DELGADO</t>
  </si>
  <si>
    <t>On Rut</t>
  </si>
  <si>
    <t>PRD0071</t>
  </si>
  <si>
    <t>JULIO ALEJANDRO ARGUDO MURILLO</t>
  </si>
  <si>
    <t>Componentes de infraestructura - Unix</t>
  </si>
  <si>
    <t>ITM0088</t>
  </si>
  <si>
    <t>SIGIFREDO PATRICIO CAMACHO CASTILLO</t>
  </si>
  <si>
    <t>Microsoft Collector Assessment</t>
  </si>
  <si>
    <t>ITM0078</t>
  </si>
  <si>
    <t>Google Kubernetes Engine</t>
  </si>
  <si>
    <t>ITM0143</t>
  </si>
  <si>
    <t>Refinanciamiento crédito en línea</t>
  </si>
  <si>
    <t>PRD0049</t>
  </si>
  <si>
    <t>Switch-SwCell</t>
  </si>
  <si>
    <t>PRD0031</t>
  </si>
  <si>
    <t>IBM Watson</t>
  </si>
  <si>
    <t>DAT0004</t>
  </si>
  <si>
    <t>ANDRES VINICIO RIVADENEIRA ZAPATA</t>
  </si>
  <si>
    <t>Active Directory Cash</t>
  </si>
  <si>
    <t>SEC0045</t>
  </si>
  <si>
    <t>EUC Cloud</t>
  </si>
  <si>
    <t>ITM0115</t>
  </si>
  <si>
    <t>Singular</t>
  </si>
  <si>
    <t>CUS0025</t>
  </si>
  <si>
    <t>ENRIQUE JAVIER VELEZ BRAVO</t>
  </si>
  <si>
    <t>MonitorFiles</t>
  </si>
  <si>
    <t>TIE0009</t>
  </si>
  <si>
    <t>JHON WILFER ORREGO GUTIERREZ</t>
  </si>
  <si>
    <t>Oracle Far Sync</t>
  </si>
  <si>
    <t>ITM0092</t>
  </si>
  <si>
    <t>DLO</t>
  </si>
  <si>
    <t>SEC0016</t>
  </si>
  <si>
    <t>Cloudforms (Red Hat CloudForms)</t>
  </si>
  <si>
    <t>ITM0006</t>
  </si>
  <si>
    <t>Cotización de Credito</t>
  </si>
  <si>
    <t>PRD0064</t>
  </si>
  <si>
    <t>CHRISTIAN FERNANDO GRANJA CISNEROS</t>
  </si>
  <si>
    <t>Veeam</t>
  </si>
  <si>
    <t>ITM0061</t>
  </si>
  <si>
    <t>Componentes de Infraestructura - Wintel</t>
  </si>
  <si>
    <t>ITM0098</t>
  </si>
  <si>
    <t>CAPA_COMUN</t>
  </si>
  <si>
    <t>INT0017</t>
  </si>
  <si>
    <t>ANGEL ALEXI GUERRA MIKETTA</t>
  </si>
  <si>
    <t>Unidad Inteligencia Financiera</t>
  </si>
  <si>
    <t>GOB0003</t>
  </si>
  <si>
    <t>Midot</t>
  </si>
  <si>
    <t>SUP0072</t>
  </si>
  <si>
    <t>BOTON DE CREDITO</t>
  </si>
  <si>
    <t>PRD0009</t>
  </si>
  <si>
    <t>RSA Authentication Manager</t>
  </si>
  <si>
    <t>SEC0046</t>
  </si>
  <si>
    <t>MARIA BELEN SANCHEZ VALDIVIESO</t>
  </si>
  <si>
    <t>Wave</t>
  </si>
  <si>
    <t>SUP0016</t>
  </si>
  <si>
    <t>SonarCloud</t>
  </si>
  <si>
    <t>ITM0122</t>
  </si>
  <si>
    <t>JOSE MIGUEL GRANDA CASTRO</t>
  </si>
  <si>
    <t>CuadreMoneyGram</t>
  </si>
  <si>
    <t>SUP0027</t>
  </si>
  <si>
    <t>Medición Riesgo Operativo</t>
  </si>
  <si>
    <t>RIS0007</t>
  </si>
  <si>
    <t>SNM_BP</t>
  </si>
  <si>
    <t>CHL0026</t>
  </si>
  <si>
    <t>Azure Kubernetes Services Tribu Medios de Pago</t>
  </si>
  <si>
    <t>ITM0127</t>
  </si>
  <si>
    <t>Adycto</t>
  </si>
  <si>
    <t>ITM0109</t>
  </si>
  <si>
    <t>Anaconda Enterprise</t>
  </si>
  <si>
    <t>DAT0001</t>
  </si>
  <si>
    <t>Business Whatsapp Pymes Pichincha</t>
  </si>
  <si>
    <t>CHL0008</t>
  </si>
  <si>
    <t>JORGE EDUARDO ARCOS GARCIA</t>
  </si>
  <si>
    <t>Indicadores Institucionales</t>
  </si>
  <si>
    <t>SUP0020</t>
  </si>
  <si>
    <t>Reportes regulatorios y normativos</t>
  </si>
  <si>
    <t>ITM0151</t>
  </si>
  <si>
    <t>LogiForm</t>
  </si>
  <si>
    <t>TIE0020</t>
  </si>
  <si>
    <t>Autogestión de desembolso</t>
  </si>
  <si>
    <t>PRD0003</t>
  </si>
  <si>
    <t>Kudert</t>
  </si>
  <si>
    <t>SUP0071</t>
  </si>
  <si>
    <t>FTP</t>
  </si>
  <si>
    <t>ITM0021</t>
  </si>
  <si>
    <t>Azure Kubernetes Services</t>
  </si>
  <si>
    <t>ITM0125</t>
  </si>
  <si>
    <t>Gestión de Capacidad TI</t>
  </si>
  <si>
    <t>ITM0112</t>
  </si>
  <si>
    <t>ATM Agent Processor</t>
  </si>
  <si>
    <t>ITM0135</t>
  </si>
  <si>
    <t>ESTEBAN DAVID ROSERO PEREZ</t>
  </si>
  <si>
    <t>HPE Alletra</t>
  </si>
  <si>
    <t>ITM0123</t>
  </si>
  <si>
    <t>Gravity</t>
  </si>
  <si>
    <t>VECTR</t>
  </si>
  <si>
    <t>SEC0090</t>
  </si>
  <si>
    <t>CHRISTIAN ERNESTO ALVEAR PACHECO</t>
  </si>
  <si>
    <t>MDM</t>
  </si>
  <si>
    <t>DAT0005</t>
  </si>
  <si>
    <t>Criterio de inclusion</t>
  </si>
  <si>
    <t>Fase</t>
  </si>
  <si>
    <t>SI</t>
  </si>
  <si>
    <t>FASE 0</t>
  </si>
  <si>
    <t>NO</t>
  </si>
  <si>
    <t>COE_SEGURIDAD</t>
  </si>
  <si>
    <t>ELIANA ESTEFANIA CARRION ALVARADO</t>
  </si>
  <si>
    <t>Plataformas Ciberseguridad</t>
  </si>
  <si>
    <t>LAURA VALERIA TANDAZO GALLEGOS</t>
  </si>
  <si>
    <t>JORGE GREGORIO ZAPATA CALVOPINA</t>
  </si>
  <si>
    <t>PRICILA ALEXANDRA PARRA LEON</t>
  </si>
  <si>
    <t>https://servicioauro.uio.bpichincha.com:8443/shell/#/login</t>
  </si>
  <si>
    <t>Maria Belen Castillo Pineda</t>
  </si>
  <si>
    <t>YESSENIA STEFANIA INIGUEZ MEDINA</t>
  </si>
  <si>
    <t>MELISSA ESTEFANIA CARBALI CASTRO</t>
  </si>
  <si>
    <t>WILMER OSCAR LUGUANA TITUANA</t>
  </si>
  <si>
    <t>https://ecbpprw129:8091/login.aspx</t>
  </si>
  <si>
    <t>MATIAS JOSE CRUZ HOLGUIN</t>
  </si>
  <si>
    <t>Propio - GAF</t>
  </si>
  <si>
    <t>EVALUADO:_x000D_
o En base al documento ¿BPECU-SEG-044-STD - Estándar de Recepción de Módulos de _x000D_
Gestión de Accesos y Perfiles V 2.1-¿; donde se definen los criterios de recepción, se _x000D_
establece que la aplicación debe contar con un módulo de gestión de accesos y perfiles.  _x000D_
Sin embargo, luego de la reunión con el equipo proveedor administrador del aplicativo, _x000D_
este indica que la aplicación no cuenta con un módulo para la gestión de accesos.</t>
  </si>
  <si>
    <t>ROBERTH PATRICIO ALMEIDA SERRANO</t>
  </si>
  <si>
    <t>EL REPORTE DE USUARIOS ES AUTOMATICO MEDIANTE CORREO CADA INICIO DE MES A GI_BP</t>
  </si>
  <si>
    <t>GENERACION TICKET</t>
  </si>
  <si>
    <t>CAMILA VILLACRESES DONOSO</t>
  </si>
  <si>
    <t>CARLOS RODRIGO LOPEZ RUIZ</t>
  </si>
  <si>
    <t>RATIFICACION SIGLO_x000D_
APLICACION WEBGAF</t>
  </si>
  <si>
    <t>FUNCIONA CON APP DE MFA</t>
  </si>
  <si>
    <t>COMPONENTE</t>
  </si>
  <si>
    <t>DATOS</t>
  </si>
  <si>
    <t>FASE 1</t>
  </si>
  <si>
    <t>ANTHONY NELSON CALVA PACHECO</t>
  </si>
  <si>
    <t>BRYAN HUMBERTO UYANA PAUCAR</t>
  </si>
  <si>
    <t>D</t>
  </si>
  <si>
    <t>G</t>
  </si>
  <si>
    <t>Impresion DocumentosTIE0018</t>
  </si>
  <si>
    <t>informesCreditoPRD0021</t>
  </si>
  <si>
    <t>Integration Bus SoporteINT0009</t>
  </si>
  <si>
    <t>Interdin AS 400/ CAOPAY0010</t>
  </si>
  <si>
    <t>IPS Intrusion Prevention SystemSEC0025</t>
  </si>
  <si>
    <t>ISESEC0026</t>
  </si>
  <si>
    <t>LogiFlowTIE0019</t>
  </si>
  <si>
    <t>LoginCentralSEC0028</t>
  </si>
  <si>
    <t>Logística de EfectivoCHL0001</t>
  </si>
  <si>
    <t>CreditoDistribuidorPRD0014</t>
  </si>
  <si>
    <t>CreditosCOMPRD0015</t>
  </si>
  <si>
    <t>CRM (salesforce - Financial services)CUS0007</t>
  </si>
  <si>
    <t>CRM (salesforce - Marketing Cloud)CUS0008</t>
  </si>
  <si>
    <t>CrowdstrikeSEC0009</t>
  </si>
  <si>
    <t>Cuadre AtmsSUP0021</t>
  </si>
  <si>
    <t>DataPower ExternoINT0005</t>
  </si>
  <si>
    <t>Decisión CloudITM0001</t>
  </si>
  <si>
    <t>Deep SecuritySEC0014</t>
  </si>
  <si>
    <t>Detect IDSEC0015</t>
  </si>
  <si>
    <t>AntiDDoS RadwareSEC0052</t>
  </si>
  <si>
    <t>ApigeeINT0004</t>
  </si>
  <si>
    <t>APIMINT0016</t>
  </si>
  <si>
    <t>AthentoTIE0025</t>
  </si>
  <si>
    <t>AURO SUITECOR0003</t>
  </si>
  <si>
    <t>COBIS BANCA COMUNALPRD0052</t>
  </si>
  <si>
    <t>CompassSEC0076</t>
  </si>
  <si>
    <t>CompensacionSUP0025</t>
  </si>
  <si>
    <t>Configuración CentralizadaSEC0008</t>
  </si>
  <si>
    <t>Coren WEBSEC0071</t>
  </si>
  <si>
    <t>CreditLensRIS0004</t>
  </si>
  <si>
    <t>BancsLinkCOR0005</t>
  </si>
  <si>
    <t>BiocatchSEC0006</t>
  </si>
  <si>
    <t>Bridger Insight XG EnterpriseGOB0011</t>
  </si>
  <si>
    <t>CardHolderPAY0004</t>
  </si>
  <si>
    <t>CashManagementPRD0012</t>
  </si>
  <si>
    <t>CheqscanPAY0002</t>
  </si>
  <si>
    <t>Active DirectorySEC0047</t>
  </si>
  <si>
    <t>Administrador de CréditoRIS0001</t>
  </si>
  <si>
    <t>Administrador de Líneas de CréditoRIS0002</t>
  </si>
  <si>
    <t>Administrador OmnicanalCHL0003</t>
  </si>
  <si>
    <t>Administrador ReferenciasPRD0001</t>
  </si>
  <si>
    <t>Akamai WAFSEC0002</t>
  </si>
  <si>
    <t>FiremonSEC0021</t>
  </si>
  <si>
    <t>Forcepoint DLPSEC0022</t>
  </si>
  <si>
    <t>GAFCOR0007</t>
  </si>
  <si>
    <t>GEENERASUP0007</t>
  </si>
  <si>
    <t>Genesys CloudCHL0040</t>
  </si>
  <si>
    <t>Gestión de Liquidez 2.0SUP0009</t>
  </si>
  <si>
    <t>Gestión del EfectivoSUP0032</t>
  </si>
  <si>
    <t>Go Anywhere MFTINT0003</t>
  </si>
  <si>
    <t>IAM- Gestion de Gobierno de identidadesSEC0079</t>
  </si>
  <si>
    <t>IBM Business Process ManagerTIE0006</t>
  </si>
  <si>
    <t>IBM FileNetTIE0008</t>
  </si>
  <si>
    <t>IBM Operational Decision Manager (ODM)OMN0003</t>
  </si>
  <si>
    <t>ZendeskCUS0020</t>
  </si>
  <si>
    <t>Seguridad Perimetral Firewall OnpremiseSEC0081</t>
  </si>
  <si>
    <t>Swift Alliance Fullstack (ALLIANCE WEBPLATAFORM)GI0003</t>
  </si>
  <si>
    <t>Reporting Services Negocio AutomotrizGI00001</t>
  </si>
  <si>
    <t>Swift Alliance Fullstack (ALLIANCE GATEWAY)GI0002</t>
  </si>
  <si>
    <t>Seguridad Perimetral Firewall Onpremise (BPAC)GI0005</t>
  </si>
  <si>
    <t>Intune - MAMGI0006</t>
  </si>
  <si>
    <t>Microsoft PurviewGI0007</t>
  </si>
  <si>
    <t>Microsoft Defender AppsGI0008</t>
  </si>
  <si>
    <t>JP MorganGI0010</t>
  </si>
  <si>
    <t>LoginterGI0011</t>
  </si>
  <si>
    <t>Model Risk HubGI0013</t>
  </si>
  <si>
    <t>Swift O2MGI0019</t>
  </si>
  <si>
    <t>WELLSFARGOGI0021</t>
  </si>
  <si>
    <t>DLS5SEC0074</t>
  </si>
  <si>
    <t>Doka -ComexPRD0016</t>
  </si>
  <si>
    <t>Dynamic CodesSEC0070</t>
  </si>
  <si>
    <t>DynatraceITM0013</t>
  </si>
  <si>
    <t>EBSSUP0006</t>
  </si>
  <si>
    <t>EFT Enterprise SFTPITM0014</t>
  </si>
  <si>
    <t>TrellixSEC0019</t>
  </si>
  <si>
    <t>ExcepcionesRIS0005</t>
  </si>
  <si>
    <t>Exchange Server 2016ITM0017</t>
  </si>
  <si>
    <t>Facturación ElectrónicaGOB0012</t>
  </si>
  <si>
    <t>Colector de Eventos SOC (NXLog)SEC0050</t>
  </si>
  <si>
    <t>OCTOPUSSEC0072</t>
  </si>
  <si>
    <t>Oracle Fusion ERPSUP0064</t>
  </si>
  <si>
    <t>Seguridad Perimetral Firewall NubeSEC0049</t>
  </si>
  <si>
    <t>Payment ControlPAY0024</t>
  </si>
  <si>
    <t>PFTR (prevención de fraude en tiempo real)SEC0065</t>
  </si>
  <si>
    <t>RiesgoGlobalComRIS0011</t>
  </si>
  <si>
    <t>Harmony VPN externosSEC0063</t>
  </si>
  <si>
    <t>SAP Finanzas SAC - PamPMSUP0036</t>
  </si>
  <si>
    <t>Sentinel ComplianceGOB0015</t>
  </si>
  <si>
    <t>Sentinel PreventionGOB0018</t>
  </si>
  <si>
    <t>SERVER PUEXCHL0024</t>
  </si>
  <si>
    <t>Siglo21SEC0034</t>
  </si>
  <si>
    <t>SIMA_APPPRD0056</t>
  </si>
  <si>
    <t>SiroRIS0017</t>
  </si>
  <si>
    <t>Sistema de Gestión Gerencial (SGG)CHL0025</t>
  </si>
  <si>
    <t>Sistema Financiero IntegradoPRD0058</t>
  </si>
  <si>
    <t>SoftguardSEC0044</t>
  </si>
  <si>
    <t>SPARTANGOB0007</t>
  </si>
  <si>
    <t>Correlacionador de Eventos SOC (SPLUNK)SEC0068</t>
  </si>
  <si>
    <t>StackHawkSEC0058</t>
  </si>
  <si>
    <t>StealtwatchSEC0038</t>
  </si>
  <si>
    <t>Swift Alliance FullStackPRD0040</t>
  </si>
  <si>
    <t>Swift Alliance WareHousePRD0041</t>
  </si>
  <si>
    <t>Swift Transaction ScreeningGOB0019</t>
  </si>
  <si>
    <t>PinPadCHL0020</t>
  </si>
  <si>
    <t>POS_CNBCHL0023</t>
  </si>
  <si>
    <t>Nutanix Prism CentralITM0045</t>
  </si>
  <si>
    <t>Prisma CloudITM0046</t>
  </si>
  <si>
    <t>ProofpointSEC0060</t>
  </si>
  <si>
    <t>Protección de datos personales - OneTrustDAT0014</t>
  </si>
  <si>
    <t>360 Brand GuardianSEC0061</t>
  </si>
  <si>
    <t>ProtegeGXSEC0075</t>
  </si>
  <si>
    <t>Red Hat Directory ServerSEC0031</t>
  </si>
  <si>
    <t>Red Hat OpenShift Container PlatformITM0048</t>
  </si>
  <si>
    <t>RENPAY0025</t>
  </si>
  <si>
    <t>ReportesGafTIE0017</t>
  </si>
  <si>
    <t>MonitorCajerosCHL0038</t>
  </si>
  <si>
    <t>MonitoreoEfectivoCHL0002</t>
  </si>
  <si>
    <t>Motor de TransferenciasPRD0039</t>
  </si>
  <si>
    <t>MurexSUP0014</t>
  </si>
  <si>
    <t>Entornos de respaldos y restauracionesITM0041</t>
  </si>
  <si>
    <t>NetskopeSEC0030</t>
  </si>
  <si>
    <t>Notificaciones SMS AnywayOMN0005</t>
  </si>
  <si>
    <t>Tcs.Checklist (Digital Check)TIE0014</t>
  </si>
  <si>
    <t>TenableSEC0069</t>
  </si>
  <si>
    <t>TotemCCEPAY0021</t>
  </si>
  <si>
    <t>Turno DigitalCHL0042</t>
  </si>
  <si>
    <t>Ventana MarcoITM0062</t>
  </si>
  <si>
    <t>VinculacionIntegralCHL0030</t>
  </si>
  <si>
    <t>WAS NotificadorOMN0006</t>
  </si>
  <si>
    <t>WAS OmnicanalidadINT0012</t>
  </si>
  <si>
    <t>WAS Omnicanalidad BATCHINT0013</t>
  </si>
  <si>
    <t>Web GAFCOR0006</t>
  </si>
  <si>
    <t>Web Teller 3.0CHL0032</t>
  </si>
  <si>
    <t>WebdoxSUP0035</t>
  </si>
  <si>
    <t>WebSecurityOfficeSystemSEC0041</t>
  </si>
  <si>
    <t>XACTClearstreamSUP0018</t>
  </si>
  <si>
    <t>Qlik Negocio AutomotrizPRD0070</t>
  </si>
  <si>
    <t>LogiTRXRIS0006</t>
  </si>
  <si>
    <t>MentorPRD0073</t>
  </si>
  <si>
    <t>CloudGuard Appsec WAFSEC0080</t>
  </si>
  <si>
    <t>Mail Control SystemGI0034</t>
  </si>
  <si>
    <t>Security ScorecardSEC0078</t>
  </si>
  <si>
    <t>Sistema CustodiaGI0015</t>
  </si>
  <si>
    <t>Delivery Servicios a DomiciliioGI0029</t>
  </si>
  <si>
    <t>DOCKCEROGI0030</t>
  </si>
  <si>
    <t>GarantiasGI0031</t>
  </si>
  <si>
    <t>Gestión de LiquidezSUP0008</t>
  </si>
  <si>
    <t>Gestor Tributario CredifeGI0032</t>
  </si>
  <si>
    <t>Lista ObservadosGI0033</t>
  </si>
  <si>
    <t>MALLA FILIALESGI0035</t>
  </si>
  <si>
    <t>Modelo PESGI0036</t>
  </si>
  <si>
    <t>SIOPRD0068</t>
  </si>
  <si>
    <t>Sistema de Providencias JudicialesSUP0065</t>
  </si>
  <si>
    <t>SnykSEC0059</t>
  </si>
  <si>
    <t>Tarjetas de CreditoCOMPAY0020</t>
  </si>
  <si>
    <t>Transaccion MotivoGI0016</t>
  </si>
  <si>
    <t>VMware vCenterITM0060</t>
  </si>
  <si>
    <t>CitibankGI0017</t>
  </si>
  <si>
    <t>TeamMatePlus (Auditoría Interna)RIS0019</t>
  </si>
  <si>
    <t>Abonos AnticipadosGI0009</t>
  </si>
  <si>
    <t>Administracion de cupos y lineas de creditoGI0012</t>
  </si>
  <si>
    <t>Administrador ATMSGI0014</t>
  </si>
  <si>
    <t>AM-Menu AccionistasGI0022</t>
  </si>
  <si>
    <t>Aplicativo Captura de FirmasGI0023</t>
  </si>
  <si>
    <t>Aplicativo de RemesasGI0024</t>
  </si>
  <si>
    <t>ATM CAjeros AutomaticosGI0025</t>
  </si>
  <si>
    <t>Calculadora de Cupos para CreditosGI0026</t>
  </si>
  <si>
    <t>Clientes JuridicosGI0027</t>
  </si>
  <si>
    <t>Constructores.comGI0028</t>
  </si>
  <si>
    <t>MTSGI0037</t>
  </si>
  <si>
    <t>NotificacionesGI0038</t>
  </si>
  <si>
    <t>OPERACIONES.COMGI0039</t>
  </si>
  <si>
    <t>Organismo de ControlGI0040</t>
  </si>
  <si>
    <t>Pague YaGI0041</t>
  </si>
  <si>
    <t>PreevaluacionRIS0009</t>
  </si>
  <si>
    <t>PANORAMAGI0018</t>
  </si>
  <si>
    <t>DataPower InternoINT0006</t>
  </si>
  <si>
    <t>Integration Bus OmnicanalINT0008</t>
  </si>
  <si>
    <t>BPComplianceITM0126</t>
  </si>
  <si>
    <t>MSAL Seguridad de Aplicaciones LegadasITM0145</t>
  </si>
  <si>
    <t>Feature Flags TransversalITM0111</t>
  </si>
  <si>
    <t>BPM - BizagiSUP0063</t>
  </si>
  <si>
    <t>HARDWARE SECURITY MODULE - HSMGA0020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</si>
</sst>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A]dd/mm/yyyy"/>
  </numFmts>
  <fonts count="4">
    <font>
      <sz val="11"/>
      <color rgb="FF000000"/>
      <name val="Calibri"/>
    </font>
    <font>
      <b/>
      <sz val="10"/>
      <color rgb="FF040404"/>
      <name val="Helvetica"/>
    </font>
    <font>
      <sz val="10"/>
      <color rgb="FF0048FF"/>
      <name val="Helvetica"/>
    </font>
    <font>
      <sz val="8"/>
      <name val="Calibri"/>
      <family val="2"/>
    </font>
  </fonts>
  <fills count="4">
    <fill>
      <patternFill patternType="none"/>
    </fill>
    <fill>
      <patternFill patternType="gray125"/>
    </fill>
    <fill>
      <patternFill patternType="solid">
        <fgColor rgb="FFEEEEEE"/>
      </patternFill>
    </fill>
    <fill>
      <patternFill patternType="solid">
        <fgColor rgb="FFEEEEEE"/>
        <bgColor rgb="FF000000"/>
      </patternFill>
    </fill>
  </fills>
  <borders count="4">
    <border>
      <left/>
      <right/>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wrapText="1"/>
    </xf>
    <xf numFmtId="0" fontId="2" fillId="0" borderId="1" xfId="0" applyFont="1" applyBorder="1" applyAlignment="1">
      <alignment horizontal="left" wrapText="1"/>
    </xf>
    <xf numFmtId="164" fontId="2" fillId="0" borderId="1" xfId="0" applyNumberFormat="1" applyFont="1" applyBorder="1" applyAlignment="1">
      <alignment horizontal="left" wrapText="1"/>
    </xf>
    <xf numFmtId="0" fontId="1" fillId="3" borderId="1" xfId="0" applyFont="1" applyFill="1" applyBorder="1" applyAlignment="1">
      <alignment horizontal="left" wrapText="1"/>
    </xf>
    <xf numFmtId="0" fontId="2" fillId="0" borderId="2" xfId="0" applyFont="1" applyBorder="1" applyAlignment="1">
      <alignment horizontal="left" wrapText="1"/>
    </xf>
    <xf numFmtId="0" fontId="0" fillId="0" borderId="3" xfId="0" applyBorder="1" applyAlignment="1">
      <alignment horizontal="left" vertical="center" wrapText="1"/>
    </xf>
  </cellXfs>
  <cellStyles count="1">
    <cellStyle name="Normal" xfId="0" builtinId="0"/>
  </cellStyles>
  <dxfs count="7">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color rgb="FF9C0006"/>
      </font>
      <fill>
        <patternFill>
          <bgColor rgb="FFFFC7CE"/>
        </patternFill>
      </fill>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
      <font>
        <b val="0"/>
        <i val="0"/>
        <strike val="0"/>
        <condense val="0"/>
        <extend val="0"/>
        <outline val="0"/>
        <shadow val="0"/>
        <u val="none"/>
        <vertAlign val="baseline"/>
        <sz val="10"/>
        <color rgb="FF0048FF"/>
        <name val="Helvetica"/>
        <scheme val="none"/>
      </font>
      <numFmt numFmtId="0" formatCode="General"/>
      <alignment horizontal="left" vertical="bottom" textRotation="0" wrapText="1" indent="0" justifyLastLine="0" shrinkToFit="0" readingOrder="0"/>
      <border diagonalUp="0" diagonalDown="0">
        <left style="thin">
          <color rgb="FF666666"/>
        </left>
        <right style="thin">
          <color rgb="FF666666"/>
        </right>
        <top style="thin">
          <color rgb="FF666666"/>
        </top>
        <bottom style="thin">
          <color rgb="FF666666"/>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arella\Downloads\Aplicaciones%20-%20Identidades_30072026%20(1).xlsx" TargetMode="External"/><Relationship Id="rId1" Type="http://schemas.openxmlformats.org/officeDocument/2006/relationships/externalLinkPath" Target="Aplicaciones%20-%20Identidades_3007202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Hoja1"/>
    </sheetNames>
    <sheetDataSet>
      <sheetData sheetId="0"/>
      <sheetData sheetId="1">
        <row r="1">
          <cell r="A1" t="str">
            <v>CyberArk</v>
          </cell>
          <cell r="B1" t="str">
            <v>FASE 2</v>
          </cell>
        </row>
        <row r="2">
          <cell r="A2" t="str">
            <v>Visa Direct Portal</v>
          </cell>
          <cell r="B2" t="str">
            <v>FASE 2</v>
          </cell>
        </row>
        <row r="3">
          <cell r="A3" t="str">
            <v>Monitor Plus</v>
          </cell>
          <cell r="B3" t="str">
            <v>FASE 2</v>
          </cell>
        </row>
        <row r="4">
          <cell r="A4" t="str">
            <v>Portal de Negocio Automotriz</v>
          </cell>
          <cell r="B4" t="str">
            <v>FASE 2</v>
          </cell>
        </row>
        <row r="5">
          <cell r="A5" t="str">
            <v>Reporte Buro Credito</v>
          </cell>
          <cell r="B5" t="str">
            <v>FASE 2</v>
          </cell>
        </row>
        <row r="6">
          <cell r="A6" t="str">
            <v>Reporte GAF</v>
          </cell>
          <cell r="B6" t="str">
            <v>FASE 2</v>
          </cell>
        </row>
        <row r="7">
          <cell r="A7" t="str">
            <v>Servicenow ITSM SIR - Ciberseguridad</v>
          </cell>
          <cell r="B7" t="str">
            <v>FASE 0</v>
          </cell>
        </row>
        <row r="8">
          <cell r="A8" t="str">
            <v>OCTOPUS</v>
          </cell>
          <cell r="B8" t="str">
            <v>FASE 3</v>
          </cell>
        </row>
        <row r="9">
          <cell r="A9" t="str">
            <v>NetBackup</v>
          </cell>
          <cell r="B9" t="str">
            <v>FASE 2</v>
          </cell>
        </row>
        <row r="10">
          <cell r="A10" t="str">
            <v>Administrador de Reportes</v>
          </cell>
          <cell r="B10" t="str">
            <v>FASE 2</v>
          </cell>
        </row>
        <row r="11">
          <cell r="A11" t="str">
            <v>Bankdevx</v>
          </cell>
          <cell r="B11" t="str">
            <v>FASE 2</v>
          </cell>
        </row>
        <row r="12">
          <cell r="A12" t="str">
            <v>Azure AD</v>
          </cell>
          <cell r="B12" t="str">
            <v>FASE 0</v>
          </cell>
        </row>
        <row r="13">
          <cell r="A13" t="str">
            <v>Grafana</v>
          </cell>
          <cell r="B13" t="str">
            <v>FASE 2</v>
          </cell>
        </row>
        <row r="14">
          <cell r="A14" t="str">
            <v>Modulo de Seguridad Siglo21 nueva versión</v>
          </cell>
          <cell r="B14" t="str">
            <v>FASE 2</v>
          </cell>
        </row>
        <row r="15">
          <cell r="A15" t="str">
            <v>Compra de Cartera</v>
          </cell>
          <cell r="B15" t="str">
            <v>FASE 3</v>
          </cell>
        </row>
        <row r="16">
          <cell r="A16" t="str">
            <v>Confluent</v>
          </cell>
          <cell r="B16" t="str">
            <v>FASE 1</v>
          </cell>
        </row>
        <row r="17">
          <cell r="A17" t="str">
            <v>SAP SuccessFactors</v>
          </cell>
          <cell r="B17" t="str">
            <v>FASE 0</v>
          </cell>
        </row>
        <row r="18">
          <cell r="A18" t="str">
            <v> </v>
          </cell>
          <cell r="B18" t="str">
            <v>FASE 1</v>
          </cell>
        </row>
        <row r="19">
          <cell r="A19" t="str">
            <v>Switch Transaccional</v>
          </cell>
          <cell r="B19"/>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1" displayName="sheet1" ref="A1:AC649" totalsRowShown="0">
  <autoFilter ref="A1:AC649" xr:uid="{00000000-0009-0000-0100-000001000000}"/>
  <tableColumns count="29">
    <tableColumn id="1" xr3:uid="{00000000-0010-0000-0000-000001000000}" name="Nombre"/>
    <tableColumn id="2" xr3:uid="{00000000-0010-0000-0000-000002000000}" name="Bp Id"/>
    <tableColumn id="28" xr3:uid="{AD4BE4FF-3386-4CFE-BCFE-C09D2F7FFD04}" name="Columna1" dataDxfId="6">
      <calculatedColumnFormula>sheet1[[#This Row],[Nombre]]&amp;sheet1[[#This Row],[Bp Id]]</calculatedColumnFormula>
    </tableColumn>
    <tableColumn id="29" xr3:uid="{401A52AA-8F4A-47E8-B67D-B5FAEF07F8B2}" name="Columna2" dataDxfId="5">
      <calculatedColumnFormula>VLOOKUP(sheet1[[#This Row],[Columna1]],sheet13[[Columna1]:[Estado]],4,FALSE)</calculatedColumnFormula>
    </tableColumn>
    <tableColumn id="3" xr3:uid="{00000000-0010-0000-0000-000003000000}" name="Descripcion"/>
    <tableColumn id="4" xr3:uid="{00000000-0010-0000-0000-000004000000}" name="Estado"/>
    <tableColumn id="5" xr3:uid="{00000000-0010-0000-0000-000005000000}" name="Prioridad"/>
    <tableColumn id="6" xr3:uid="{00000000-0010-0000-0000-000006000000}" name="Ubicacion"/>
    <tableColumn id="7" xr3:uid="{00000000-0010-0000-0000-000007000000}" name="Equipo Administrado Por"/>
    <tableColumn id="8" xr3:uid="{00000000-0010-0000-0000-000008000000}" name="Dueno Aplicacion"/>
    <tableColumn id="9" xr3:uid="{00000000-0010-0000-0000-000009000000}" name="Dueno Negocio"/>
    <tableColumn id="10" xr3:uid="{00000000-0010-0000-0000-00000A000000}" name="Administrado Por"/>
    <tableColumn id="11" xr3:uid="{00000000-0010-0000-0000-00000B000000}" name="Categoria Identidades"/>
    <tableColumn id="12" xr3:uid="{00000000-0010-0000-0000-00000C000000}" name="Tipo Usuario"/>
    <tableColumn id="13" xr3:uid="{00000000-0010-0000-0000-00000D000000}" name="¿Existe módulo de gestión de accesos?"/>
    <tableColumn id="14" xr3:uid="{00000000-0010-0000-0000-00000E000000}" name="Metodo Autenticacion"/>
    <tableColumn id="15" xr3:uid="{00000000-0010-0000-0000-00000F000000}" name="Metodo Autorizacion"/>
    <tableColumn id="16" xr3:uid="{00000000-0010-0000-0000-000010000000}" name="¿Cumple criterios de recepción?"/>
    <tableColumn id="17" xr3:uid="{00000000-0010-0000-0000-000011000000}" name="Entregada Identidades"/>
    <tableColumn id="18" xr3:uid="{00000000-0010-0000-0000-000012000000}" name="Observacion"/>
    <tableColumn id="19" xr3:uid="{00000000-0010-0000-0000-000013000000}" name="Fecha Recepcion"/>
    <tableColumn id="20" xr3:uid="{00000000-0010-0000-0000-000014000000}" name="Administrador Aplicativo Externo"/>
    <tableColumn id="21" xr3:uid="{00000000-0010-0000-0000-000015000000}" name="Administrador Aplicativo Identidades Principal"/>
    <tableColumn id="22" xr3:uid="{00000000-0010-0000-0000-000016000000}" name="Administrador Aplicativo Identidades Backup"/>
    <tableColumn id="23" xr3:uid="{00000000-0010-0000-0000-000017000000}" name="Metodo Reporteria Usuarios"/>
    <tableColumn id="24" xr3:uid="{00000000-0010-0000-0000-000018000000}" name="Metodo Reporteria Perfiles Opciones"/>
    <tableColumn id="25" xr3:uid="{00000000-0010-0000-0000-000019000000}" name="Metodo Gestion"/>
    <tableColumn id="26" xr3:uid="{00000000-0010-0000-0000-00001A000000}" name="Metodo Baja Usuarios"/>
    <tableColumn id="27" xr3:uid="{00000000-0010-0000-0000-00001B000000}" name="Url Acceso"/>
  </tableColumns>
  <tableStyleInfo showFirstColumn="1" showLastColumn="1"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B7F07F-B8EF-41CA-AEEC-5980B56BBB31}" name="sheet13" displayName="sheet13" ref="A1:AE634" totalsRowShown="0">
  <autoFilter ref="A1:AE634" xr:uid="{D5B7F07F-B8EF-41CA-AEEC-5980B56BBB31}"/>
  <tableColumns count="31">
    <tableColumn id="1" xr3:uid="{C5C15E0D-6460-4E9E-A6C9-9BE583E57B4E}" name="Nombre"/>
    <tableColumn id="2" xr3:uid="{1CA7752D-F573-47CE-A6F4-E9EDF4B03BAB}" name="Bp Id"/>
    <tableColumn id="30" xr3:uid="{CE0B1992-0187-4D35-829C-D8D835CB117A}" name="Columna1" dataDxfId="3">
      <calculatedColumnFormula>sheet13[[#This Row],[Nombre]]&amp;sheet13[[#This Row],[Bp Id]]</calculatedColumnFormula>
    </tableColumn>
    <tableColumn id="31" xr3:uid="{55AD0DD8-A39F-44A3-A99B-ED09486B5723}" name="Columna2" dataDxfId="2">
      <calculatedColumnFormula>VLOOKUP(sheet13[[#This Row],[Columna1]],Sheet2!C:S,4,FALSE)</calculatedColumnFormula>
    </tableColumn>
    <tableColumn id="3" xr3:uid="{C6C2013F-34C9-4AF4-AC54-DB9EA74310B6}" name="Descripcion"/>
    <tableColumn id="4" xr3:uid="{A527CF83-01B3-4407-AA01-D24FFC08E063}" name="Estado"/>
    <tableColumn id="5" xr3:uid="{89CCE7C9-2E3C-4A80-975B-AEA5318CB34B}" name="Prioridad"/>
    <tableColumn id="6" xr3:uid="{B6464A55-CB16-4B2E-A45D-49770A352EDE}" name="Ubicacion"/>
    <tableColumn id="7" xr3:uid="{68E021A9-1C44-4EC3-AC68-2B793743F7EC}" name="Equipo Administrado Por"/>
    <tableColumn id="8" xr3:uid="{54E08E33-0706-4409-ACCE-0395497A3ADE}" name="Dueno Aplicacion"/>
    <tableColumn id="9" xr3:uid="{BE9BE85A-97AC-4051-A8E5-2910468FE507}" name="Dueno Negocio"/>
    <tableColumn id="10" xr3:uid="{3E5297BE-3FF5-451E-89D6-FDACECDD0EAB}" name="Administrado Por"/>
    <tableColumn id="11" xr3:uid="{6F17B9A7-E698-439A-9045-3781EAD36129}" name="Categoria Identidades"/>
    <tableColumn id="28" xr3:uid="{6C245253-1865-4AE6-9301-0B8F3A1BD278}" name="Criterio de inclusion" dataDxfId="1"/>
    <tableColumn id="12" xr3:uid="{48829AAD-BB99-449B-830B-89FC2DA91293}" name="Tipo Usuario"/>
    <tableColumn id="13" xr3:uid="{804F5111-44C5-4BAC-B649-865B618DC770}" name="¿Existe módulo de gestión de accesos?"/>
    <tableColumn id="14" xr3:uid="{F86B78CD-10A2-4E82-B53C-FE7B4B97D051}" name="Metodo Autenticacion"/>
    <tableColumn id="15" xr3:uid="{96E47749-548A-4539-B81E-BCBBB1398355}" name="Metodo Autorizacion"/>
    <tableColumn id="16" xr3:uid="{01F4F1BC-0536-4A89-A93D-F2F22FA0E8E9}" name="¿Cumple criterios de recepción?"/>
    <tableColumn id="29" xr3:uid="{3A8735BA-91EE-426E-9CEA-85B4C2B78E50}" name="Fase" dataDxfId="0">
      <calculatedColumnFormula>VLOOKUP(sheet13[[#This Row],[Nombre]],[1]Hoja1!A:B,2,FALSE)</calculatedColumnFormula>
    </tableColumn>
    <tableColumn id="17" xr3:uid="{BE46EBE9-5CDB-4C53-BFD5-DECFCCFA7CC2}" name="Entregada Identidades"/>
    <tableColumn id="18" xr3:uid="{7C2CB986-BF64-40D1-B7A2-88A906A003F6}" name="Observacion"/>
    <tableColumn id="19" xr3:uid="{0DFF3F55-AF02-4A7F-ACB8-AEC76D160C9A}" name="Fecha Recepcion"/>
    <tableColumn id="20" xr3:uid="{341DD6CD-745C-4596-84D3-0A9F68D9AC7B}" name="Administrador Aplicativo Externo"/>
    <tableColumn id="21" xr3:uid="{3C69D933-19CE-4521-92F2-A08421AD4501}" name="Administrador Aplicativo Identidades Principal"/>
    <tableColumn id="22" xr3:uid="{35C16DB2-D8D4-4842-9C59-60CB30A07E1F}" name="Administrador Aplicativo Identidades Backup"/>
    <tableColumn id="23" xr3:uid="{6CA4E6EB-5FB3-4853-8AA3-4732C3B1CE32}" name="Metodo Reporteria Usuarios"/>
    <tableColumn id="24" xr3:uid="{924ADBA0-F181-4121-875B-3F5560B8A9A0}" name="Metodo Reporteria Perfiles Opciones"/>
    <tableColumn id="25" xr3:uid="{7DEC8257-288E-493C-BB6C-6D38424EB108}" name="Metodo Gestion"/>
    <tableColumn id="26" xr3:uid="{04A602DC-7508-4319-B317-A14FED448D3F}" name="Metodo Baja Usuarios"/>
    <tableColumn id="27" xr3:uid="{310D6CE8-2EF8-480A-BFE3-F1242CE33FBD}" name="Url Acceso"/>
  </tableColumns>
  <tableStyleInfo showFirstColumn="1" showLastColumn="1"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49"/>
  <sheetViews>
    <sheetView topLeftCell="B1" zoomScale="66" zoomScaleNormal="25" workbookViewId="0">
      <pane ySplit="1" topLeftCell="A627" activePane="bottomLeft" state="frozen"/>
      <selection pane="bottomLeft"/>
    </sheetView>
  </sheetViews>
  <sheetFormatPr defaultColWidth="11.42578125" defaultRowHeight="14.45"/>
  <cols>
    <col min="1" max="1" width="75.140625" bestFit="1" customWidth="1"/>
    <col min="2" max="2" width="13.5703125" bestFit="1" customWidth="1"/>
    <col min="3" max="3" width="83" bestFit="1" customWidth="1"/>
    <col min="4" max="4" width="83" customWidth="1"/>
    <col min="5" max="5" width="19.5703125" bestFit="1" customWidth="1"/>
    <col min="6" max="6" width="47.85546875" bestFit="1" customWidth="1"/>
    <col min="7" max="7" width="17.140625" bestFit="1" customWidth="1"/>
    <col min="8" max="8" width="63.28515625" bestFit="1" customWidth="1"/>
    <col min="9" max="9" width="51.42578125" bestFit="1" customWidth="1"/>
    <col min="10" max="10" width="47.85546875" bestFit="1" customWidth="1"/>
    <col min="11" max="11" width="51.42578125" bestFit="1" customWidth="1"/>
    <col min="12" max="12" width="47.85546875" bestFit="1" customWidth="1"/>
    <col min="13" max="13" width="36.140625" bestFit="1" customWidth="1"/>
    <col min="14" max="14" width="49.140625" bestFit="1" customWidth="1"/>
    <col min="15" max="15" width="31.42578125" bestFit="1" customWidth="1"/>
    <col min="16" max="16" width="34.85546875" bestFit="1" customWidth="1"/>
    <col min="17" max="17" width="42" bestFit="1" customWidth="1"/>
    <col min="18" max="18" width="30.140625" bestFit="1" customWidth="1"/>
    <col min="19" max="19" width="83" bestFit="1" customWidth="1"/>
    <col min="20" max="20" width="30.140625" bestFit="1" customWidth="1"/>
    <col min="21" max="21" width="49.140625" bestFit="1" customWidth="1"/>
    <col min="22" max="22" width="59.7109375" bestFit="1" customWidth="1"/>
    <col min="23" max="23" width="56.140625" bestFit="1" customWidth="1"/>
    <col min="24" max="24" width="36.140625" bestFit="1" customWidth="1"/>
    <col min="25" max="25" width="46.7109375" bestFit="1" customWidth="1"/>
    <col min="26" max="26" width="83" bestFit="1" customWidth="1"/>
    <col min="27" max="27" width="29" bestFit="1" customWidth="1"/>
    <col min="28" max="28" width="83" bestFit="1" customWidth="1"/>
  </cols>
  <sheetData>
    <row r="1" spans="1:29"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87" customHeight="1">
      <c r="A2" s="2" t="s">
        <v>29</v>
      </c>
      <c r="B2" s="2" t="s">
        <v>30</v>
      </c>
      <c r="C2" s="2" t="str">
        <f>sheet1[[#This Row],[Nombre]]&amp;sheet1[[#This Row],[Bp Id]]</f>
        <v>IBM WebSphere PortalCHL0017</v>
      </c>
      <c r="D2" s="2" t="str">
        <f>VLOOKUP(sheet1[[#This Row],[Columna1]],sheet13[[Columna1]:[Estado]],4,FALSE)</f>
        <v>Operativo</v>
      </c>
      <c r="E2" s="2" t="s">
        <v>31</v>
      </c>
      <c r="F2" s="2" t="s">
        <v>32</v>
      </c>
      <c r="G2" s="2" t="s">
        <v>33</v>
      </c>
      <c r="H2" s="2" t="s">
        <v>34</v>
      </c>
      <c r="I2" s="2" t="s">
        <v>35</v>
      </c>
      <c r="J2" s="2" t="s">
        <v>36</v>
      </c>
      <c r="K2" s="2" t="s">
        <v>37</v>
      </c>
      <c r="L2" s="2" t="s">
        <v>38</v>
      </c>
      <c r="M2" s="2" t="s">
        <v>39</v>
      </c>
      <c r="N2" s="2" t="s">
        <v>40</v>
      </c>
      <c r="O2" s="2" t="s">
        <v>41</v>
      </c>
      <c r="P2" s="2" t="s">
        <v>42</v>
      </c>
      <c r="Q2" s="2" t="s">
        <v>42</v>
      </c>
      <c r="R2" s="2" t="s">
        <v>41</v>
      </c>
      <c r="S2" s="2" t="s">
        <v>43</v>
      </c>
      <c r="T2" s="2"/>
      <c r="U2" s="3"/>
      <c r="V2" s="2"/>
      <c r="W2" s="2"/>
      <c r="X2" s="2"/>
      <c r="Y2" s="2"/>
      <c r="Z2" s="2"/>
      <c r="AA2" s="2"/>
      <c r="AB2" s="2"/>
      <c r="AC2" s="2"/>
    </row>
    <row r="3" spans="1:29" ht="29.1" customHeight="1">
      <c r="A3" s="2" t="s">
        <v>44</v>
      </c>
      <c r="B3" s="2" t="s">
        <v>45</v>
      </c>
      <c r="C3" s="2" t="str">
        <f>sheet1[[#This Row],[Nombre]]&amp;sheet1[[#This Row],[Bp Id]]</f>
        <v>IBM WSRRINT0007</v>
      </c>
      <c r="D3" s="2" t="str">
        <f>VLOOKUP(sheet1[[#This Row],[Columna1]],sheet13[[Columna1]:[Estado]],4,FALSE)</f>
        <v>Retirado</v>
      </c>
      <c r="E3" s="2" t="s">
        <v>46</v>
      </c>
      <c r="F3" s="2" t="s">
        <v>47</v>
      </c>
      <c r="G3" s="2" t="s">
        <v>48</v>
      </c>
      <c r="H3" s="2" t="s">
        <v>34</v>
      </c>
      <c r="I3" s="2" t="s">
        <v>49</v>
      </c>
      <c r="J3" s="2" t="s">
        <v>50</v>
      </c>
      <c r="K3" s="2" t="s">
        <v>51</v>
      </c>
      <c r="L3" s="2" t="s">
        <v>51</v>
      </c>
      <c r="M3" s="2" t="s">
        <v>52</v>
      </c>
      <c r="N3" s="2" t="s">
        <v>40</v>
      </c>
      <c r="O3" s="2" t="s">
        <v>41</v>
      </c>
      <c r="P3" s="2" t="s">
        <v>53</v>
      </c>
      <c r="Q3" s="2" t="s">
        <v>53</v>
      </c>
      <c r="R3" s="2" t="s">
        <v>43</v>
      </c>
      <c r="S3" s="2" t="s">
        <v>43</v>
      </c>
      <c r="T3" s="2" t="s">
        <v>54</v>
      </c>
      <c r="U3" s="3"/>
      <c r="V3" s="2"/>
      <c r="W3" s="2"/>
      <c r="X3" s="2"/>
      <c r="Y3" s="2"/>
      <c r="Z3" s="2"/>
      <c r="AA3" s="2"/>
      <c r="AB3" s="2"/>
      <c r="AC3" s="2"/>
    </row>
    <row r="4" spans="1:29" ht="20.100000000000001" customHeight="1">
      <c r="A4" s="2" t="s">
        <v>55</v>
      </c>
      <c r="B4" s="2" t="s">
        <v>56</v>
      </c>
      <c r="C4" s="2" t="str">
        <f>sheet1[[#This Row],[Nombre]]&amp;sheet1[[#This Row],[Bp Id]]</f>
        <v>ICEPanelITM0068</v>
      </c>
      <c r="D4" s="2" t="str">
        <f>VLOOKUP(sheet1[[#This Row],[Columna1]],sheet13[[Columna1]:[Estado]],4,FALSE)</f>
        <v>Operativo</v>
      </c>
      <c r="E4" s="2" t="s">
        <v>57</v>
      </c>
      <c r="F4" s="2" t="s">
        <v>32</v>
      </c>
      <c r="G4" s="2" t="s">
        <v>58</v>
      </c>
      <c r="H4" s="2" t="s">
        <v>59</v>
      </c>
      <c r="I4" s="2" t="s">
        <v>60</v>
      </c>
      <c r="J4" s="2" t="s">
        <v>61</v>
      </c>
      <c r="K4" s="2" t="s">
        <v>62</v>
      </c>
      <c r="L4" s="2" t="s">
        <v>62</v>
      </c>
      <c r="M4" s="2" t="s">
        <v>63</v>
      </c>
      <c r="N4" s="2" t="s">
        <v>40</v>
      </c>
      <c r="O4" s="2" t="s">
        <v>41</v>
      </c>
      <c r="P4" s="2" t="s">
        <v>64</v>
      </c>
      <c r="Q4" s="2" t="s">
        <v>64</v>
      </c>
      <c r="R4" s="2" t="s">
        <v>43</v>
      </c>
      <c r="S4" s="2" t="s">
        <v>43</v>
      </c>
      <c r="T4" s="2" t="s">
        <v>54</v>
      </c>
      <c r="U4" s="3"/>
      <c r="V4" s="2"/>
      <c r="W4" s="2"/>
      <c r="X4" s="2"/>
      <c r="Y4" s="2"/>
      <c r="Z4" s="2"/>
      <c r="AA4" s="2"/>
      <c r="AB4" s="2"/>
      <c r="AC4" s="2"/>
    </row>
    <row r="5" spans="1:29" ht="29.1" customHeight="1">
      <c r="A5" s="2" t="s">
        <v>65</v>
      </c>
      <c r="B5" s="2" t="s">
        <v>66</v>
      </c>
      <c r="C5" s="2" t="str">
        <f>sheet1[[#This Row],[Nombre]]&amp;sheet1[[#This Row],[Bp Id]]</f>
        <v>IderaITM0035</v>
      </c>
      <c r="D5" s="2" t="str">
        <f>VLOOKUP(sheet1[[#This Row],[Columna1]],sheet13[[Columna1]:[Estado]],4,FALSE)</f>
        <v>Operativo</v>
      </c>
      <c r="E5" s="2" t="s">
        <v>67</v>
      </c>
      <c r="F5" s="2" t="s">
        <v>32</v>
      </c>
      <c r="G5" s="2" t="s">
        <v>58</v>
      </c>
      <c r="H5" s="2" t="s">
        <v>34</v>
      </c>
      <c r="I5" s="2" t="s">
        <v>68</v>
      </c>
      <c r="J5" s="2" t="s">
        <v>69</v>
      </c>
      <c r="K5" s="2" t="s">
        <v>70</v>
      </c>
      <c r="L5" s="2" t="s">
        <v>71</v>
      </c>
      <c r="M5" s="2" t="s">
        <v>52</v>
      </c>
      <c r="N5" s="2" t="s">
        <v>40</v>
      </c>
      <c r="O5" s="2" t="s">
        <v>41</v>
      </c>
      <c r="P5" s="2" t="s">
        <v>53</v>
      </c>
      <c r="Q5" s="2" t="s">
        <v>53</v>
      </c>
      <c r="R5" s="2" t="s">
        <v>41</v>
      </c>
      <c r="S5" s="2" t="s">
        <v>43</v>
      </c>
      <c r="T5" s="2"/>
      <c r="U5" s="3"/>
      <c r="V5" s="2"/>
      <c r="W5" s="2"/>
      <c r="X5" s="2"/>
      <c r="Y5" s="2"/>
      <c r="Z5" s="2"/>
      <c r="AA5" s="2"/>
      <c r="AB5" s="2"/>
      <c r="AC5" s="2" t="s">
        <v>72</v>
      </c>
    </row>
    <row r="6" spans="1:29" ht="20.100000000000001" customHeight="1">
      <c r="A6" s="2" t="s">
        <v>73</v>
      </c>
      <c r="B6" s="2" t="s">
        <v>74</v>
      </c>
      <c r="C6" s="2" t="str">
        <f>sheet1[[#This Row],[Nombre]]&amp;sheet1[[#This Row],[Bp Id]]</f>
        <v>IGNITIONITM0069</v>
      </c>
      <c r="D6" s="2" t="str">
        <f>VLOOKUP(sheet1[[#This Row],[Columna1]],sheet13[[Columna1]:[Estado]],4,FALSE)</f>
        <v>Operativo</v>
      </c>
      <c r="E6" s="2" t="s">
        <v>75</v>
      </c>
      <c r="F6" s="2" t="s">
        <v>32</v>
      </c>
      <c r="G6" s="2" t="s">
        <v>76</v>
      </c>
      <c r="H6" s="2" t="s">
        <v>34</v>
      </c>
      <c r="I6" s="2" t="s">
        <v>68</v>
      </c>
      <c r="J6" s="2" t="s">
        <v>69</v>
      </c>
      <c r="K6" s="2" t="s">
        <v>77</v>
      </c>
      <c r="L6" s="2" t="s">
        <v>78</v>
      </c>
      <c r="M6" s="2" t="s">
        <v>63</v>
      </c>
      <c r="N6" s="2" t="s">
        <v>40</v>
      </c>
      <c r="O6" s="2" t="s">
        <v>41</v>
      </c>
      <c r="P6" s="2" t="s">
        <v>53</v>
      </c>
      <c r="Q6" s="2" t="s">
        <v>53</v>
      </c>
      <c r="R6" s="2" t="s">
        <v>43</v>
      </c>
      <c r="S6" s="2" t="s">
        <v>43</v>
      </c>
      <c r="T6" s="2" t="s">
        <v>54</v>
      </c>
      <c r="U6" s="3"/>
      <c r="V6" s="2"/>
      <c r="W6" s="2"/>
      <c r="X6" s="2"/>
      <c r="Y6" s="2"/>
      <c r="Z6" s="2"/>
      <c r="AA6" s="2"/>
      <c r="AB6" s="2"/>
      <c r="AC6" s="2"/>
    </row>
    <row r="7" spans="1:29" ht="20.100000000000001" customHeight="1">
      <c r="A7" s="2" t="s">
        <v>79</v>
      </c>
      <c r="B7" s="2" t="s">
        <v>80</v>
      </c>
      <c r="C7" s="2" t="str">
        <f>sheet1[[#This Row],[Nombre]]&amp;sheet1[[#This Row],[Bp Id]]</f>
        <v>ILMTITM0036</v>
      </c>
      <c r="D7" s="2" t="str">
        <f>VLOOKUP(sheet1[[#This Row],[Columna1]],sheet13[[Columna1]:[Estado]],4,FALSE)</f>
        <v>Operativo</v>
      </c>
      <c r="E7" s="2" t="s">
        <v>81</v>
      </c>
      <c r="F7" s="2" t="s">
        <v>32</v>
      </c>
      <c r="G7" s="2" t="s">
        <v>48</v>
      </c>
      <c r="H7" s="2" t="s">
        <v>34</v>
      </c>
      <c r="I7" s="2" t="s">
        <v>68</v>
      </c>
      <c r="J7" s="2" t="s">
        <v>69</v>
      </c>
      <c r="K7" s="2" t="s">
        <v>82</v>
      </c>
      <c r="L7" s="2" t="s">
        <v>83</v>
      </c>
      <c r="M7" s="2" t="s">
        <v>52</v>
      </c>
      <c r="N7" s="2" t="s">
        <v>40</v>
      </c>
      <c r="O7" s="2" t="s">
        <v>41</v>
      </c>
      <c r="P7" s="2" t="s">
        <v>53</v>
      </c>
      <c r="Q7" s="2" t="s">
        <v>53</v>
      </c>
      <c r="R7" s="2" t="s">
        <v>43</v>
      </c>
      <c r="S7" s="2" t="s">
        <v>43</v>
      </c>
      <c r="T7" s="2" t="s">
        <v>54</v>
      </c>
      <c r="U7" s="3"/>
      <c r="V7" s="2"/>
      <c r="W7" s="2"/>
      <c r="X7" s="2"/>
      <c r="Y7" s="2"/>
      <c r="Z7" s="2"/>
      <c r="AA7" s="2"/>
      <c r="AB7" s="2"/>
      <c r="AC7" s="2"/>
    </row>
    <row r="8" spans="1:29" ht="14.45" customHeight="1">
      <c r="A8" s="2" t="s">
        <v>84</v>
      </c>
      <c r="B8" s="2" t="s">
        <v>85</v>
      </c>
      <c r="C8" s="2" t="str">
        <f>sheet1[[#This Row],[Nombre]]&amp;sheet1[[#This Row],[Bp Id]]</f>
        <v>Impacto 360DAT0015</v>
      </c>
      <c r="D8" s="2" t="str">
        <f>VLOOKUP(sheet1[[#This Row],[Columna1]],sheet13[[Columna1]:[Estado]],4,FALSE)</f>
        <v>Operativo</v>
      </c>
      <c r="E8" s="2" t="s">
        <v>86</v>
      </c>
      <c r="F8" s="2" t="s">
        <v>32</v>
      </c>
      <c r="G8" s="2" t="s">
        <v>48</v>
      </c>
      <c r="H8" s="2" t="s">
        <v>59</v>
      </c>
      <c r="I8" s="2" t="s">
        <v>87</v>
      </c>
      <c r="J8" s="2" t="s">
        <v>88</v>
      </c>
      <c r="K8" s="2" t="s">
        <v>89</v>
      </c>
      <c r="L8" s="2" t="s">
        <v>90</v>
      </c>
      <c r="M8" s="2" t="s">
        <v>39</v>
      </c>
      <c r="N8" s="2" t="s">
        <v>91</v>
      </c>
      <c r="O8" s="2" t="s">
        <v>41</v>
      </c>
      <c r="P8" s="2" t="s">
        <v>64</v>
      </c>
      <c r="Q8" s="2" t="s">
        <v>64</v>
      </c>
      <c r="R8" s="2" t="s">
        <v>43</v>
      </c>
      <c r="S8" s="2" t="s">
        <v>43</v>
      </c>
      <c r="T8" s="2" t="s">
        <v>54</v>
      </c>
      <c r="U8" s="3"/>
      <c r="V8" s="2"/>
      <c r="W8" s="2"/>
      <c r="X8" s="2"/>
      <c r="Y8" s="2"/>
      <c r="Z8" s="2"/>
      <c r="AA8" s="2"/>
      <c r="AB8" s="2"/>
      <c r="AC8" s="2"/>
    </row>
    <row r="9" spans="1:29" ht="29.1" customHeight="1">
      <c r="A9" s="2" t="s">
        <v>92</v>
      </c>
      <c r="B9" s="2" t="s">
        <v>93</v>
      </c>
      <c r="C9" s="2" t="str">
        <f>sheet1[[#This Row],[Nombre]]&amp;sheet1[[#This Row],[Bp Id]]</f>
        <v>Impresion DocumentosTIE0018</v>
      </c>
      <c r="D9" s="2" t="str">
        <f>VLOOKUP(sheet1[[#This Row],[Columna1]],sheet13[[Columna1]:[Estado]],4,FALSE)</f>
        <v>Operativo</v>
      </c>
      <c r="E9" s="2" t="s">
        <v>94</v>
      </c>
      <c r="F9" s="2" t="s">
        <v>32</v>
      </c>
      <c r="G9" s="2" t="s">
        <v>48</v>
      </c>
      <c r="H9" s="2" t="s">
        <v>34</v>
      </c>
      <c r="I9" s="2" t="s">
        <v>95</v>
      </c>
      <c r="J9" s="2" t="s">
        <v>96</v>
      </c>
      <c r="K9" s="2" t="s">
        <v>97</v>
      </c>
      <c r="L9" s="2" t="s">
        <v>98</v>
      </c>
      <c r="M9" s="2" t="s">
        <v>39</v>
      </c>
      <c r="N9" s="2" t="s">
        <v>40</v>
      </c>
      <c r="O9" s="2" t="s">
        <v>41</v>
      </c>
      <c r="P9" s="2" t="s">
        <v>42</v>
      </c>
      <c r="Q9" s="2" t="s">
        <v>53</v>
      </c>
      <c r="R9" s="2" t="s">
        <v>41</v>
      </c>
      <c r="S9" s="2" t="s">
        <v>41</v>
      </c>
      <c r="T9" s="2" t="s">
        <v>99</v>
      </c>
      <c r="U9" s="3">
        <v>45199</v>
      </c>
      <c r="V9" s="2"/>
      <c r="W9" s="2" t="s">
        <v>100</v>
      </c>
      <c r="X9" s="2" t="s">
        <v>101</v>
      </c>
      <c r="Y9" s="2"/>
      <c r="Z9" s="2"/>
      <c r="AA9" s="2" t="s">
        <v>102</v>
      </c>
      <c r="AB9" s="2"/>
      <c r="AC9" s="2" t="s">
        <v>103</v>
      </c>
    </row>
    <row r="10" spans="1:29" ht="14.45" customHeight="1">
      <c r="A10" s="2" t="s">
        <v>104</v>
      </c>
      <c r="B10" s="2" t="s">
        <v>105</v>
      </c>
      <c r="C10" s="2" t="str">
        <f>sheet1[[#This Row],[Nombre]]&amp;sheet1[[#This Row],[Bp Id]]</f>
        <v>Informes de RedTeamSEC0083</v>
      </c>
      <c r="D10" s="2" t="str">
        <f>VLOOKUP(sheet1[[#This Row],[Columna1]],sheet13[[Columna1]:[Estado]],4,FALSE)</f>
        <v>Retirado</v>
      </c>
      <c r="E10" s="2" t="s">
        <v>106</v>
      </c>
      <c r="F10" s="2" t="s">
        <v>47</v>
      </c>
      <c r="G10" s="2" t="s">
        <v>48</v>
      </c>
      <c r="H10" s="2" t="s">
        <v>59</v>
      </c>
      <c r="I10" s="2" t="s">
        <v>107</v>
      </c>
      <c r="J10" s="2" t="s">
        <v>108</v>
      </c>
      <c r="K10" s="2" t="s">
        <v>109</v>
      </c>
      <c r="L10" s="2" t="s">
        <v>110</v>
      </c>
      <c r="M10" s="2" t="s">
        <v>111</v>
      </c>
      <c r="N10" s="2" t="s">
        <v>40</v>
      </c>
      <c r="O10" s="2" t="s">
        <v>41</v>
      </c>
      <c r="P10" s="2" t="s">
        <v>42</v>
      </c>
      <c r="Q10" s="2" t="s">
        <v>42</v>
      </c>
      <c r="R10" s="2" t="s">
        <v>41</v>
      </c>
      <c r="S10" s="2" t="s">
        <v>43</v>
      </c>
      <c r="T10" s="2" t="s">
        <v>112</v>
      </c>
      <c r="U10" s="3"/>
      <c r="V10" s="2"/>
      <c r="W10" s="2"/>
      <c r="X10" s="2"/>
      <c r="Y10" s="2"/>
      <c r="Z10" s="2"/>
      <c r="AA10" s="2"/>
      <c r="AB10" s="2"/>
      <c r="AC10" s="2"/>
    </row>
    <row r="11" spans="1:29" ht="57.95" customHeight="1">
      <c r="A11" s="2" t="s">
        <v>113</v>
      </c>
      <c r="B11" s="2" t="s">
        <v>114</v>
      </c>
      <c r="C11" s="2" t="str">
        <f>sheet1[[#This Row],[Nombre]]&amp;sheet1[[#This Row],[Bp Id]]</f>
        <v>informesCreditoPRD0021</v>
      </c>
      <c r="D11" s="2" t="str">
        <f>VLOOKUP(sheet1[[#This Row],[Columna1]],sheet13[[Columna1]:[Estado]],4,FALSE)</f>
        <v>Operativo</v>
      </c>
      <c r="E11" s="2" t="s">
        <v>115</v>
      </c>
      <c r="F11" s="2" t="s">
        <v>32</v>
      </c>
      <c r="G11" s="2" t="s">
        <v>48</v>
      </c>
      <c r="H11" s="2" t="s">
        <v>59</v>
      </c>
      <c r="I11" s="2" t="s">
        <v>116</v>
      </c>
      <c r="J11" s="2" t="s">
        <v>62</v>
      </c>
      <c r="K11" s="2" t="s">
        <v>117</v>
      </c>
      <c r="L11" s="2" t="s">
        <v>118</v>
      </c>
      <c r="M11" s="2" t="s">
        <v>39</v>
      </c>
      <c r="N11" s="2" t="s">
        <v>40</v>
      </c>
      <c r="O11" s="2" t="s">
        <v>43</v>
      </c>
      <c r="P11" s="2" t="s">
        <v>53</v>
      </c>
      <c r="Q11" s="2" t="s">
        <v>53</v>
      </c>
      <c r="R11" s="2" t="s">
        <v>41</v>
      </c>
      <c r="S11" s="2" t="s">
        <v>41</v>
      </c>
      <c r="T11" s="2" t="s">
        <v>119</v>
      </c>
      <c r="U11" s="3">
        <v>45199</v>
      </c>
      <c r="V11" s="2"/>
      <c r="W11" s="2" t="s">
        <v>100</v>
      </c>
      <c r="X11" s="2" t="s">
        <v>101</v>
      </c>
      <c r="Y11" s="2"/>
      <c r="Z11" s="2"/>
      <c r="AA11" s="2"/>
      <c r="AB11" s="2"/>
      <c r="AC11" s="2"/>
    </row>
    <row r="12" spans="1:29" ht="14.45" customHeight="1">
      <c r="A12" s="2" t="s">
        <v>120</v>
      </c>
      <c r="B12" s="2" t="s">
        <v>121</v>
      </c>
      <c r="C12" s="2" t="str">
        <f>sheet1[[#This Row],[Nombre]]&amp;sheet1[[#This Row],[Bp Id]]</f>
        <v>Integration Bus SoporteINT0009</v>
      </c>
      <c r="D12" s="2" t="str">
        <f>VLOOKUP(sheet1[[#This Row],[Columna1]],sheet13[[Columna1]:[Estado]],4,FALSE)</f>
        <v>Operativo</v>
      </c>
      <c r="E12" s="2" t="s">
        <v>122</v>
      </c>
      <c r="F12" s="2" t="s">
        <v>32</v>
      </c>
      <c r="G12" s="2" t="s">
        <v>123</v>
      </c>
      <c r="H12" s="2" t="s">
        <v>34</v>
      </c>
      <c r="I12" s="2" t="s">
        <v>49</v>
      </c>
      <c r="J12" s="2" t="s">
        <v>50</v>
      </c>
      <c r="K12" s="2" t="s">
        <v>51</v>
      </c>
      <c r="L12" s="2" t="s">
        <v>51</v>
      </c>
      <c r="M12" s="2" t="s">
        <v>52</v>
      </c>
      <c r="N12" s="2" t="s">
        <v>40</v>
      </c>
      <c r="O12" s="2" t="s">
        <v>41</v>
      </c>
      <c r="P12" s="2" t="s">
        <v>53</v>
      </c>
      <c r="Q12" s="2" t="s">
        <v>53</v>
      </c>
      <c r="R12" s="2" t="s">
        <v>41</v>
      </c>
      <c r="S12" s="2" t="s">
        <v>41</v>
      </c>
      <c r="T12" s="2"/>
      <c r="U12" s="3">
        <v>46197</v>
      </c>
      <c r="V12" s="2" t="s">
        <v>124</v>
      </c>
      <c r="W12" s="2" t="s">
        <v>125</v>
      </c>
      <c r="X12" s="2" t="s">
        <v>126</v>
      </c>
      <c r="Y12" s="2" t="s">
        <v>127</v>
      </c>
      <c r="Z12" s="2" t="s">
        <v>127</v>
      </c>
      <c r="AA12" s="2" t="s">
        <v>128</v>
      </c>
      <c r="AB12" s="2" t="s">
        <v>129</v>
      </c>
      <c r="AC12" s="2" t="s">
        <v>130</v>
      </c>
    </row>
    <row r="13" spans="1:29" ht="29.1" customHeight="1">
      <c r="A13" s="2" t="s">
        <v>131</v>
      </c>
      <c r="B13" s="2" t="s">
        <v>132</v>
      </c>
      <c r="C13" s="2" t="str">
        <f>sheet1[[#This Row],[Nombre]]&amp;sheet1[[#This Row],[Bp Id]]</f>
        <v>Interaction StudioCUS0010</v>
      </c>
      <c r="D13" s="2" t="str">
        <f>VLOOKUP(sheet1[[#This Row],[Columna1]],sheet13[[Columna1]:[Estado]],4,FALSE)</f>
        <v>Retirado</v>
      </c>
      <c r="E13" s="2" t="s">
        <v>133</v>
      </c>
      <c r="F13" s="2" t="s">
        <v>47</v>
      </c>
      <c r="G13" s="2" t="s">
        <v>48</v>
      </c>
      <c r="H13" s="2" t="s">
        <v>59</v>
      </c>
      <c r="I13" s="2" t="s">
        <v>134</v>
      </c>
      <c r="J13" s="2" t="s">
        <v>88</v>
      </c>
      <c r="K13" s="2" t="s">
        <v>135</v>
      </c>
      <c r="L13" s="2" t="s">
        <v>136</v>
      </c>
      <c r="M13" s="2" t="s">
        <v>63</v>
      </c>
      <c r="N13" s="2" t="s">
        <v>40</v>
      </c>
      <c r="O13" s="2" t="s">
        <v>41</v>
      </c>
      <c r="P13" s="2" t="s">
        <v>53</v>
      </c>
      <c r="Q13" s="2" t="s">
        <v>53</v>
      </c>
      <c r="R13" s="2" t="s">
        <v>43</v>
      </c>
      <c r="S13" s="2" t="s">
        <v>43</v>
      </c>
      <c r="T13" s="2" t="s">
        <v>54</v>
      </c>
      <c r="U13" s="3"/>
      <c r="V13" s="2"/>
      <c r="W13" s="2"/>
      <c r="X13" s="2"/>
      <c r="Y13" s="2"/>
      <c r="Z13" s="2"/>
      <c r="AA13" s="2"/>
      <c r="AB13" s="2"/>
      <c r="AC13" s="2"/>
    </row>
    <row r="14" spans="1:29" ht="20.100000000000001" customHeight="1">
      <c r="A14" s="2" t="s">
        <v>137</v>
      </c>
      <c r="B14" s="2" t="s">
        <v>138</v>
      </c>
      <c r="C14" s="2" t="str">
        <f>sheet1[[#This Row],[Nombre]]&amp;sheet1[[#This Row],[Bp Id]]</f>
        <v>Interdin AS400 GestorPAY0008</v>
      </c>
      <c r="D14" s="2" t="str">
        <f>VLOOKUP(sheet1[[#This Row],[Columna1]],sheet13[[Columna1]:[Estado]],4,FALSE)</f>
        <v>Retirado</v>
      </c>
      <c r="E14" s="2" t="s">
        <v>139</v>
      </c>
      <c r="F14" s="2" t="s">
        <v>47</v>
      </c>
      <c r="G14" s="2" t="s">
        <v>76</v>
      </c>
      <c r="H14" s="2" t="s">
        <v>140</v>
      </c>
      <c r="I14" s="2" t="s">
        <v>141</v>
      </c>
      <c r="J14" s="2" t="s">
        <v>142</v>
      </c>
      <c r="K14" s="2" t="s">
        <v>143</v>
      </c>
      <c r="L14" s="2" t="s">
        <v>144</v>
      </c>
      <c r="M14" s="2" t="s">
        <v>39</v>
      </c>
      <c r="N14" s="2" t="s">
        <v>40</v>
      </c>
      <c r="O14" s="2" t="s">
        <v>43</v>
      </c>
      <c r="P14" s="2" t="s">
        <v>53</v>
      </c>
      <c r="Q14" s="2" t="s">
        <v>53</v>
      </c>
      <c r="R14" s="2" t="s">
        <v>43</v>
      </c>
      <c r="S14" s="2" t="s">
        <v>43</v>
      </c>
      <c r="T14" s="2" t="s">
        <v>145</v>
      </c>
      <c r="U14" s="3">
        <v>45200</v>
      </c>
      <c r="V14" s="2"/>
      <c r="W14" s="2" t="s">
        <v>101</v>
      </c>
      <c r="X14" s="2" t="s">
        <v>146</v>
      </c>
      <c r="Y14" s="2" t="s">
        <v>147</v>
      </c>
      <c r="Z14" s="2" t="s">
        <v>147</v>
      </c>
      <c r="AA14" s="2" t="s">
        <v>148</v>
      </c>
      <c r="AB14" s="2" t="s">
        <v>129</v>
      </c>
      <c r="AC14" s="2"/>
    </row>
    <row r="15" spans="1:29" ht="20.100000000000001" customHeight="1">
      <c r="A15" s="2" t="s">
        <v>149</v>
      </c>
      <c r="B15" s="2" t="s">
        <v>150</v>
      </c>
      <c r="C15" s="2" t="str">
        <f>sheet1[[#This Row],[Nombre]]&amp;sheet1[[#This Row],[Bp Id]]</f>
        <v>Interdin Autorizador CAOPAY0009</v>
      </c>
      <c r="D15" s="2" t="str">
        <f>VLOOKUP(sheet1[[#This Row],[Columna1]],sheet13[[Columna1]:[Estado]],4,FALSE)</f>
        <v>Retirado</v>
      </c>
      <c r="E15" s="2" t="s">
        <v>139</v>
      </c>
      <c r="F15" s="2" t="s">
        <v>47</v>
      </c>
      <c r="G15" s="2" t="s">
        <v>76</v>
      </c>
      <c r="H15" s="2" t="s">
        <v>140</v>
      </c>
      <c r="I15" s="2" t="s">
        <v>141</v>
      </c>
      <c r="J15" s="2" t="s">
        <v>151</v>
      </c>
      <c r="K15" s="2" t="s">
        <v>143</v>
      </c>
      <c r="L15" s="2" t="s">
        <v>144</v>
      </c>
      <c r="M15" s="2" t="s">
        <v>39</v>
      </c>
      <c r="N15" s="2" t="s">
        <v>40</v>
      </c>
      <c r="O15" s="2" t="s">
        <v>43</v>
      </c>
      <c r="P15" s="2" t="s">
        <v>53</v>
      </c>
      <c r="Q15" s="2" t="s">
        <v>53</v>
      </c>
      <c r="R15" s="2" t="s">
        <v>43</v>
      </c>
      <c r="S15" s="2" t="s">
        <v>43</v>
      </c>
      <c r="T15" s="2" t="s">
        <v>152</v>
      </c>
      <c r="U15" s="3">
        <v>45200</v>
      </c>
      <c r="V15" s="2"/>
      <c r="W15" s="2" t="s">
        <v>101</v>
      </c>
      <c r="X15" s="2" t="s">
        <v>146</v>
      </c>
      <c r="Y15" s="2" t="s">
        <v>147</v>
      </c>
      <c r="Z15" s="2" t="s">
        <v>147</v>
      </c>
      <c r="AA15" s="2" t="s">
        <v>148</v>
      </c>
      <c r="AB15" s="2" t="s">
        <v>129</v>
      </c>
      <c r="AC15" s="2"/>
    </row>
    <row r="16" spans="1:29" ht="20.100000000000001" customHeight="1">
      <c r="A16" s="2" t="s">
        <v>153</v>
      </c>
      <c r="B16" s="2" t="s">
        <v>154</v>
      </c>
      <c r="C16" s="2" t="str">
        <f>sheet1[[#This Row],[Nombre]]&amp;sheet1[[#This Row],[Bp Id]]</f>
        <v>Interdin AS 400/ CAOPAY0010</v>
      </c>
      <c r="D16" s="2" t="str">
        <f>VLOOKUP(sheet1[[#This Row],[Columna1]],sheet13[[Columna1]:[Estado]],4,FALSE)</f>
        <v>Operativo</v>
      </c>
      <c r="E16" s="2" t="s">
        <v>139</v>
      </c>
      <c r="F16" s="2" t="s">
        <v>32</v>
      </c>
      <c r="G16" s="2" t="s">
        <v>76</v>
      </c>
      <c r="H16" s="2" t="s">
        <v>140</v>
      </c>
      <c r="I16" s="2" t="s">
        <v>141</v>
      </c>
      <c r="J16" s="2" t="s">
        <v>151</v>
      </c>
      <c r="K16" s="2" t="s">
        <v>143</v>
      </c>
      <c r="L16" s="2" t="s">
        <v>144</v>
      </c>
      <c r="M16" s="2" t="s">
        <v>39</v>
      </c>
      <c r="N16" s="2" t="s">
        <v>40</v>
      </c>
      <c r="O16" s="2" t="s">
        <v>41</v>
      </c>
      <c r="P16" s="2" t="s">
        <v>53</v>
      </c>
      <c r="Q16" s="2" t="s">
        <v>53</v>
      </c>
      <c r="R16" s="2" t="s">
        <v>41</v>
      </c>
      <c r="S16" s="2" t="s">
        <v>41</v>
      </c>
      <c r="T16" s="2" t="s">
        <v>155</v>
      </c>
      <c r="U16" s="3">
        <v>45199</v>
      </c>
      <c r="V16" s="2"/>
      <c r="W16" s="2" t="s">
        <v>101</v>
      </c>
      <c r="X16" s="2" t="s">
        <v>146</v>
      </c>
      <c r="Y16" s="2"/>
      <c r="Z16" s="2"/>
      <c r="AA16" s="2"/>
      <c r="AB16" s="2"/>
      <c r="AC16" s="2"/>
    </row>
    <row r="17" spans="1:29" ht="290.10000000000002" customHeight="1">
      <c r="A17" s="2" t="s">
        <v>156</v>
      </c>
      <c r="B17" s="2" t="s">
        <v>157</v>
      </c>
      <c r="C17" s="2" t="str">
        <f>sheet1[[#This Row],[Nombre]]&amp;sheet1[[#This Row],[Bp Id]]</f>
        <v>Interdin Servicios IntegraciónPAY0011</v>
      </c>
      <c r="D17" s="2" t="str">
        <f>VLOOKUP(sheet1[[#This Row],[Columna1]],sheet13[[Columna1]:[Estado]],4,FALSE)</f>
        <v>Operativo</v>
      </c>
      <c r="E17" s="2" t="s">
        <v>158</v>
      </c>
      <c r="F17" s="2" t="s">
        <v>32</v>
      </c>
      <c r="G17" s="2" t="s">
        <v>123</v>
      </c>
      <c r="H17" s="2" t="s">
        <v>140</v>
      </c>
      <c r="I17" s="2" t="s">
        <v>141</v>
      </c>
      <c r="J17" s="2" t="s">
        <v>151</v>
      </c>
      <c r="K17" s="2" t="s">
        <v>159</v>
      </c>
      <c r="L17" s="2" t="s">
        <v>160</v>
      </c>
      <c r="M17" s="2" t="s">
        <v>161</v>
      </c>
      <c r="N17" s="2" t="s">
        <v>40</v>
      </c>
      <c r="O17" s="2" t="s">
        <v>43</v>
      </c>
      <c r="P17" s="2" t="s">
        <v>53</v>
      </c>
      <c r="Q17" s="2" t="s">
        <v>53</v>
      </c>
      <c r="R17" s="2" t="s">
        <v>43</v>
      </c>
      <c r="S17" s="2" t="s">
        <v>43</v>
      </c>
      <c r="T17" s="2" t="s">
        <v>162</v>
      </c>
      <c r="U17" s="3">
        <v>45981</v>
      </c>
      <c r="V17" s="2" t="s">
        <v>163</v>
      </c>
      <c r="W17" s="2"/>
      <c r="X17" s="2"/>
      <c r="Y17" s="2"/>
      <c r="Z17" s="2"/>
      <c r="AA17" s="2"/>
      <c r="AB17" s="2"/>
      <c r="AC17" s="2"/>
    </row>
    <row r="18" spans="1:29" ht="14.45" customHeight="1">
      <c r="A18" s="2" t="s">
        <v>164</v>
      </c>
      <c r="B18" s="2" t="s">
        <v>165</v>
      </c>
      <c r="C18" s="2" t="str">
        <f>sheet1[[#This Row],[Nombre]]&amp;sheet1[[#This Row],[Bp Id]]</f>
        <v>InversionesPRD0060</v>
      </c>
      <c r="D18" s="2" t="str">
        <f>VLOOKUP(sheet1[[#This Row],[Columna1]],sheet13[[Columna1]:[Estado]],4,FALSE)</f>
        <v>Operativo</v>
      </c>
      <c r="E18" s="2" t="s">
        <v>166</v>
      </c>
      <c r="F18" s="2" t="s">
        <v>32</v>
      </c>
      <c r="G18" s="2" t="s">
        <v>48</v>
      </c>
      <c r="H18" s="2" t="s">
        <v>59</v>
      </c>
      <c r="I18" s="2" t="s">
        <v>167</v>
      </c>
      <c r="J18" s="2" t="s">
        <v>96</v>
      </c>
      <c r="K18" s="2" t="s">
        <v>168</v>
      </c>
      <c r="L18" s="2" t="s">
        <v>169</v>
      </c>
      <c r="M18" s="2" t="s">
        <v>39</v>
      </c>
      <c r="N18" s="2" t="s">
        <v>91</v>
      </c>
      <c r="O18" s="2" t="s">
        <v>43</v>
      </c>
      <c r="P18" s="2" t="s">
        <v>64</v>
      </c>
      <c r="Q18" s="2" t="s">
        <v>64</v>
      </c>
      <c r="R18" s="2" t="s">
        <v>43</v>
      </c>
      <c r="S18" s="2" t="s">
        <v>43</v>
      </c>
      <c r="T18" s="2" t="s">
        <v>170</v>
      </c>
      <c r="U18" s="3">
        <v>46107</v>
      </c>
      <c r="V18" s="2" t="s">
        <v>171</v>
      </c>
      <c r="W18" s="2"/>
      <c r="X18" s="2"/>
      <c r="Y18" s="2"/>
      <c r="Z18" s="2"/>
      <c r="AA18" s="2"/>
      <c r="AB18" s="2"/>
      <c r="AC18" s="2"/>
    </row>
    <row r="19" spans="1:29" ht="29.1" customHeight="1">
      <c r="A19" s="2" t="s">
        <v>172</v>
      </c>
      <c r="B19" s="2" t="s">
        <v>173</v>
      </c>
      <c r="C19" s="2" t="str">
        <f>sheet1[[#This Row],[Nombre]]&amp;sheet1[[#This Row],[Bp Id]]</f>
        <v>IPS Intrusion Prevention SystemSEC0025</v>
      </c>
      <c r="D19" s="2" t="str">
        <f>VLOOKUP(sheet1[[#This Row],[Columna1]],sheet13[[Columna1]:[Estado]],4,FALSE)</f>
        <v>Operativo</v>
      </c>
      <c r="E19" s="2" t="s">
        <v>174</v>
      </c>
      <c r="F19" s="2" t="s">
        <v>32</v>
      </c>
      <c r="G19" s="2" t="s">
        <v>76</v>
      </c>
      <c r="H19" s="2" t="s">
        <v>34</v>
      </c>
      <c r="I19" s="2" t="s">
        <v>107</v>
      </c>
      <c r="J19" s="2" t="s">
        <v>175</v>
      </c>
      <c r="K19" s="2" t="s">
        <v>176</v>
      </c>
      <c r="L19" s="2" t="s">
        <v>177</v>
      </c>
      <c r="M19" s="2" t="s">
        <v>111</v>
      </c>
      <c r="N19" s="2" t="s">
        <v>40</v>
      </c>
      <c r="O19" s="2" t="s">
        <v>41</v>
      </c>
      <c r="P19" s="2" t="s">
        <v>42</v>
      </c>
      <c r="Q19" s="2" t="s">
        <v>53</v>
      </c>
      <c r="R19" s="2" t="s">
        <v>41</v>
      </c>
      <c r="S19" s="2" t="s">
        <v>41</v>
      </c>
      <c r="T19" s="2"/>
      <c r="U19" s="3">
        <v>45929</v>
      </c>
      <c r="V19" s="2" t="s">
        <v>178</v>
      </c>
      <c r="W19" s="2" t="s">
        <v>179</v>
      </c>
      <c r="X19" s="2" t="s">
        <v>126</v>
      </c>
      <c r="Y19" s="2" t="s">
        <v>127</v>
      </c>
      <c r="Z19" s="2" t="s">
        <v>127</v>
      </c>
      <c r="AA19" s="2" t="s">
        <v>180</v>
      </c>
      <c r="AB19" s="2"/>
      <c r="AC19" s="2" t="s">
        <v>181</v>
      </c>
    </row>
    <row r="20" spans="1:29" ht="20.100000000000001" customHeight="1">
      <c r="A20" s="2" t="s">
        <v>182</v>
      </c>
      <c r="B20" s="2" t="s">
        <v>183</v>
      </c>
      <c r="C20" s="2" t="str">
        <f>sheet1[[#This Row],[Nombre]]&amp;sheet1[[#This Row],[Bp Id]]</f>
        <v>ISESEC0026</v>
      </c>
      <c r="D20" s="2" t="str">
        <f>VLOOKUP(sheet1[[#This Row],[Columna1]],sheet13[[Columna1]:[Estado]],4,FALSE)</f>
        <v>Operativo</v>
      </c>
      <c r="E20" s="2" t="s">
        <v>184</v>
      </c>
      <c r="F20" s="2" t="s">
        <v>32</v>
      </c>
      <c r="G20" s="2" t="s">
        <v>76</v>
      </c>
      <c r="H20" s="2" t="s">
        <v>34</v>
      </c>
      <c r="I20" s="2" t="s">
        <v>107</v>
      </c>
      <c r="J20" s="2" t="s">
        <v>177</v>
      </c>
      <c r="K20" s="2" t="s">
        <v>176</v>
      </c>
      <c r="L20" s="2" t="s">
        <v>185</v>
      </c>
      <c r="M20" s="2" t="s">
        <v>111</v>
      </c>
      <c r="N20" s="2" t="s">
        <v>40</v>
      </c>
      <c r="O20" s="2" t="s">
        <v>41</v>
      </c>
      <c r="P20" s="2" t="s">
        <v>42</v>
      </c>
      <c r="Q20" s="2" t="s">
        <v>42</v>
      </c>
      <c r="R20" s="2" t="s">
        <v>41</v>
      </c>
      <c r="S20" s="2" t="s">
        <v>41</v>
      </c>
      <c r="T20" s="2"/>
      <c r="U20" s="3">
        <v>45772</v>
      </c>
      <c r="V20" s="2" t="s">
        <v>186</v>
      </c>
      <c r="W20" s="2" t="s">
        <v>187</v>
      </c>
      <c r="X20" s="2" t="s">
        <v>187</v>
      </c>
      <c r="Y20" s="2" t="s">
        <v>127</v>
      </c>
      <c r="Z20" s="2" t="s">
        <v>127</v>
      </c>
      <c r="AA20" s="2" t="s">
        <v>188</v>
      </c>
      <c r="AB20" s="2" t="s">
        <v>129</v>
      </c>
      <c r="AC20" s="2" t="s">
        <v>189</v>
      </c>
    </row>
    <row r="21" spans="1:29" ht="20.100000000000001" customHeight="1">
      <c r="A21" s="2" t="s">
        <v>190</v>
      </c>
      <c r="B21" s="2" t="s">
        <v>191</v>
      </c>
      <c r="C21" s="2" t="str">
        <f>sheet1[[#This Row],[Nombre]]&amp;sheet1[[#This Row],[Bp Id]]</f>
        <v>Jaguar Liquidez PlusPRD0022</v>
      </c>
      <c r="D21" s="2" t="str">
        <f>VLOOKUP(sheet1[[#This Row],[Columna1]],sheet13[[Columna1]:[Estado]],4,FALSE)</f>
        <v>Retirado</v>
      </c>
      <c r="E21" s="2" t="s">
        <v>192</v>
      </c>
      <c r="F21" s="2" t="s">
        <v>47</v>
      </c>
      <c r="G21" s="2" t="s">
        <v>48</v>
      </c>
      <c r="H21" s="2" t="s">
        <v>59</v>
      </c>
      <c r="I21" s="2" t="s">
        <v>116</v>
      </c>
      <c r="J21" s="2" t="s">
        <v>62</v>
      </c>
      <c r="K21" s="2" t="s">
        <v>117</v>
      </c>
      <c r="L21" s="2" t="s">
        <v>118</v>
      </c>
      <c r="M21" s="2" t="s">
        <v>39</v>
      </c>
      <c r="N21" s="2" t="s">
        <v>40</v>
      </c>
      <c r="O21" s="2" t="s">
        <v>43</v>
      </c>
      <c r="P21" s="2" t="s">
        <v>64</v>
      </c>
      <c r="Q21" s="2" t="s">
        <v>64</v>
      </c>
      <c r="R21" s="2" t="s">
        <v>41</v>
      </c>
      <c r="S21" s="2" t="s">
        <v>43</v>
      </c>
      <c r="T21" s="2" t="s">
        <v>193</v>
      </c>
      <c r="U21" s="3"/>
      <c r="V21" s="2"/>
      <c r="W21" s="2"/>
      <c r="X21" s="2"/>
      <c r="Y21" s="2"/>
      <c r="Z21" s="2"/>
      <c r="AA21" s="2" t="s">
        <v>194</v>
      </c>
      <c r="AB21" s="2"/>
      <c r="AC21" s="2"/>
    </row>
    <row r="22" spans="1:29" ht="20.100000000000001" customHeight="1">
      <c r="A22" s="2" t="s">
        <v>195</v>
      </c>
      <c r="B22" s="2" t="s">
        <v>196</v>
      </c>
      <c r="C22" s="2" t="str">
        <f>sheet1[[#This Row],[Nombre]]&amp;sheet1[[#This Row],[Bp Id]]</f>
        <v>JenkinsITM0037</v>
      </c>
      <c r="D22" s="2" t="str">
        <f>VLOOKUP(sheet1[[#This Row],[Columna1]],sheet13[[Columna1]:[Estado]],4,FALSE)</f>
        <v>Retirado</v>
      </c>
      <c r="E22" s="2" t="s">
        <v>197</v>
      </c>
      <c r="F22" s="2" t="s">
        <v>47</v>
      </c>
      <c r="G22" s="2" t="s">
        <v>48</v>
      </c>
      <c r="H22" s="2" t="s">
        <v>34</v>
      </c>
      <c r="I22" s="2" t="s">
        <v>198</v>
      </c>
      <c r="J22" s="2" t="s">
        <v>199</v>
      </c>
      <c r="K22" s="2" t="s">
        <v>199</v>
      </c>
      <c r="L22" s="2" t="s">
        <v>199</v>
      </c>
      <c r="M22" s="2" t="s">
        <v>52</v>
      </c>
      <c r="N22" s="2" t="s">
        <v>40</v>
      </c>
      <c r="O22" s="2" t="s">
        <v>41</v>
      </c>
      <c r="P22" s="2" t="s">
        <v>53</v>
      </c>
      <c r="Q22" s="2" t="s">
        <v>53</v>
      </c>
      <c r="R22" s="2" t="s">
        <v>43</v>
      </c>
      <c r="S22" s="2" t="s">
        <v>43</v>
      </c>
      <c r="T22" s="2" t="s">
        <v>54</v>
      </c>
      <c r="U22" s="3"/>
      <c r="V22" s="2"/>
      <c r="W22" s="2"/>
      <c r="X22" s="2"/>
      <c r="Y22" s="2"/>
      <c r="Z22" s="2"/>
      <c r="AA22" s="2"/>
      <c r="AB22" s="2"/>
      <c r="AC22" s="2"/>
    </row>
    <row r="23" spans="1:29" ht="14.45" customHeight="1">
      <c r="A23" s="2" t="s">
        <v>200</v>
      </c>
      <c r="B23" s="2" t="s">
        <v>201</v>
      </c>
      <c r="C23" s="2" t="str">
        <f>sheet1[[#This Row],[Nombre]]&amp;sheet1[[#This Row],[Bp Id]]</f>
        <v>KafkaOMN0004</v>
      </c>
      <c r="D23" s="2" t="str">
        <f>VLOOKUP(sheet1[[#This Row],[Columna1]],sheet13[[Columna1]:[Estado]],4,FALSE)</f>
        <v>Operativo</v>
      </c>
      <c r="E23" s="2" t="s">
        <v>202</v>
      </c>
      <c r="F23" s="2" t="s">
        <v>32</v>
      </c>
      <c r="G23" s="2" t="s">
        <v>123</v>
      </c>
      <c r="H23" s="2" t="s">
        <v>34</v>
      </c>
      <c r="I23" s="2" t="s">
        <v>49</v>
      </c>
      <c r="J23" s="2" t="s">
        <v>50</v>
      </c>
      <c r="K23" s="2" t="s">
        <v>51</v>
      </c>
      <c r="L23" s="2" t="s">
        <v>51</v>
      </c>
      <c r="M23" s="2" t="s">
        <v>52</v>
      </c>
      <c r="N23" s="2" t="s">
        <v>40</v>
      </c>
      <c r="O23" s="2" t="s">
        <v>43</v>
      </c>
      <c r="P23" s="2" t="s">
        <v>53</v>
      </c>
      <c r="Q23" s="2" t="s">
        <v>53</v>
      </c>
      <c r="R23" s="2" t="s">
        <v>43</v>
      </c>
      <c r="S23" s="2" t="s">
        <v>43</v>
      </c>
      <c r="T23" s="2" t="s">
        <v>203</v>
      </c>
      <c r="U23" s="3">
        <v>45986</v>
      </c>
      <c r="V23" s="2" t="s">
        <v>204</v>
      </c>
      <c r="W23" s="2"/>
      <c r="X23" s="2"/>
      <c r="Y23" s="2"/>
      <c r="Z23" s="2"/>
      <c r="AA23" s="2"/>
      <c r="AB23" s="2"/>
      <c r="AC23" s="2"/>
    </row>
    <row r="24" spans="1:29" ht="20.100000000000001" customHeight="1">
      <c r="A24" s="2" t="s">
        <v>205</v>
      </c>
      <c r="B24" s="2" t="s">
        <v>206</v>
      </c>
      <c r="C24" s="2" t="str">
        <f>sheet1[[#This Row],[Nombre]]&amp;sheet1[[#This Row],[Bp Id]]</f>
        <v>Kafka DeunaINT0014</v>
      </c>
      <c r="D24" s="2" t="str">
        <f>VLOOKUP(sheet1[[#This Row],[Columna1]],sheet13[[Columna1]:[Estado]],4,FALSE)</f>
        <v>Retirado</v>
      </c>
      <c r="E24" s="2" t="s">
        <v>207</v>
      </c>
      <c r="F24" s="2" t="s">
        <v>47</v>
      </c>
      <c r="G24" s="2" t="s">
        <v>58</v>
      </c>
      <c r="H24" s="2" t="s">
        <v>59</v>
      </c>
      <c r="I24" s="2" t="s">
        <v>208</v>
      </c>
      <c r="J24" s="2" t="s">
        <v>209</v>
      </c>
      <c r="K24" s="2" t="s">
        <v>209</v>
      </c>
      <c r="L24" s="2" t="s">
        <v>209</v>
      </c>
      <c r="M24" s="2" t="s">
        <v>52</v>
      </c>
      <c r="N24" s="2" t="s">
        <v>40</v>
      </c>
      <c r="O24" s="2" t="s">
        <v>41</v>
      </c>
      <c r="P24" s="2" t="s">
        <v>64</v>
      </c>
      <c r="Q24" s="2" t="s">
        <v>64</v>
      </c>
      <c r="R24" s="2" t="s">
        <v>41</v>
      </c>
      <c r="S24" s="2" t="s">
        <v>43</v>
      </c>
      <c r="T24" s="2"/>
      <c r="U24" s="3"/>
      <c r="V24" s="2"/>
      <c r="W24" s="2"/>
      <c r="X24" s="2"/>
      <c r="Y24" s="2"/>
      <c r="Z24" s="2"/>
      <c r="AA24" s="2"/>
      <c r="AB24" s="2"/>
      <c r="AC24" s="2"/>
    </row>
    <row r="25" spans="1:29" ht="20.100000000000001" customHeight="1">
      <c r="A25" s="2" t="s">
        <v>210</v>
      </c>
      <c r="B25" s="2" t="s">
        <v>211</v>
      </c>
      <c r="C25" s="2" t="str">
        <f>sheet1[[#This Row],[Nombre]]&amp;sheet1[[#This Row],[Bp Id]]</f>
        <v>Keeper SecuritySEC0053</v>
      </c>
      <c r="D25" s="2" t="str">
        <f>VLOOKUP(sheet1[[#This Row],[Columna1]],sheet13[[Columna1]:[Estado]],4,FALSE)</f>
        <v>Operativo</v>
      </c>
      <c r="E25" s="2" t="s">
        <v>212</v>
      </c>
      <c r="F25" s="2" t="s">
        <v>32</v>
      </c>
      <c r="G25" s="2" t="s">
        <v>48</v>
      </c>
      <c r="H25" s="2" t="s">
        <v>59</v>
      </c>
      <c r="I25" s="2" t="s">
        <v>107</v>
      </c>
      <c r="J25" s="2" t="s">
        <v>213</v>
      </c>
      <c r="K25" s="2" t="s">
        <v>176</v>
      </c>
      <c r="L25" s="2" t="s">
        <v>214</v>
      </c>
      <c r="M25" s="2" t="s">
        <v>111</v>
      </c>
      <c r="N25" s="2" t="s">
        <v>40</v>
      </c>
      <c r="O25" s="2" t="s">
        <v>41</v>
      </c>
      <c r="P25" s="2" t="s">
        <v>64</v>
      </c>
      <c r="Q25" s="2" t="s">
        <v>64</v>
      </c>
      <c r="R25" s="2" t="s">
        <v>41</v>
      </c>
      <c r="S25" s="2" t="s">
        <v>43</v>
      </c>
      <c r="T25" s="2"/>
      <c r="U25" s="3"/>
      <c r="V25" s="2"/>
      <c r="W25" s="2"/>
      <c r="X25" s="2"/>
      <c r="Y25" s="2"/>
      <c r="Z25" s="2"/>
      <c r="AA25" s="2"/>
      <c r="AB25" s="2"/>
      <c r="AC25" s="2"/>
    </row>
    <row r="26" spans="1:29" ht="116.1" customHeight="1">
      <c r="A26" s="2" t="s">
        <v>215</v>
      </c>
      <c r="B26" s="2" t="s">
        <v>216</v>
      </c>
      <c r="C26" s="2" t="str">
        <f>sheet1[[#This Row],[Nombre]]&amp;sheet1[[#This Row],[Bp Id]]</f>
        <v>KriptosSEC0055</v>
      </c>
      <c r="D26" s="2" t="str">
        <f>VLOOKUP(sheet1[[#This Row],[Columna1]],sheet13[[Columna1]:[Estado]],4,FALSE)</f>
        <v>Operativo</v>
      </c>
      <c r="E26" s="2" t="s">
        <v>217</v>
      </c>
      <c r="F26" s="2" t="s">
        <v>32</v>
      </c>
      <c r="G26" s="2" t="s">
        <v>48</v>
      </c>
      <c r="H26" s="2" t="s">
        <v>59</v>
      </c>
      <c r="I26" s="2" t="s">
        <v>107</v>
      </c>
      <c r="J26" s="2" t="s">
        <v>218</v>
      </c>
      <c r="K26" s="2" t="s">
        <v>176</v>
      </c>
      <c r="L26" s="2" t="s">
        <v>219</v>
      </c>
      <c r="M26" s="2" t="s">
        <v>111</v>
      </c>
      <c r="N26" s="2" t="s">
        <v>40</v>
      </c>
      <c r="O26" s="2" t="s">
        <v>43</v>
      </c>
      <c r="P26" s="2" t="s">
        <v>64</v>
      </c>
      <c r="Q26" s="2" t="s">
        <v>64</v>
      </c>
      <c r="R26" s="2" t="s">
        <v>43</v>
      </c>
      <c r="S26" s="2" t="s">
        <v>43</v>
      </c>
      <c r="T26" s="2" t="s">
        <v>220</v>
      </c>
      <c r="U26" s="3">
        <v>46104</v>
      </c>
      <c r="V26" s="2" t="s">
        <v>221</v>
      </c>
      <c r="W26" s="2"/>
      <c r="X26" s="2"/>
      <c r="Y26" s="2"/>
      <c r="Z26" s="2"/>
      <c r="AA26" s="2" t="s">
        <v>222</v>
      </c>
      <c r="AB26" s="2"/>
      <c r="AC26" s="2"/>
    </row>
    <row r="27" spans="1:29" ht="20.100000000000001" customHeight="1">
      <c r="A27" s="2" t="s">
        <v>223</v>
      </c>
      <c r="B27" s="2" t="s">
        <v>224</v>
      </c>
      <c r="C27" s="2" t="str">
        <f>sheet1[[#This Row],[Nombre]]&amp;sheet1[[#This Row],[Bp Id]]</f>
        <v>FielwebSUP0011</v>
      </c>
      <c r="D27" s="2" t="e">
        <f>VLOOKUP(sheet1[[#This Row],[Columna1]],sheet13[[Columna1]:[Estado]],4,FALSE)</f>
        <v>#N/A</v>
      </c>
      <c r="E27" s="2" t="s">
        <v>139</v>
      </c>
      <c r="F27" s="2" t="s">
        <v>32</v>
      </c>
      <c r="G27" s="2" t="s">
        <v>48</v>
      </c>
      <c r="H27" s="2" t="s">
        <v>140</v>
      </c>
      <c r="I27" s="2" t="s">
        <v>225</v>
      </c>
      <c r="J27" s="2" t="s">
        <v>226</v>
      </c>
      <c r="K27" s="2" t="s">
        <v>227</v>
      </c>
      <c r="L27" s="2" t="s">
        <v>228</v>
      </c>
      <c r="M27" s="2" t="s">
        <v>63</v>
      </c>
      <c r="N27" s="2" t="s">
        <v>40</v>
      </c>
      <c r="O27" s="2" t="s">
        <v>41</v>
      </c>
      <c r="P27" s="2" t="s">
        <v>53</v>
      </c>
      <c r="Q27" s="2" t="s">
        <v>53</v>
      </c>
      <c r="R27" s="2" t="s">
        <v>43</v>
      </c>
      <c r="S27" s="2" t="s">
        <v>43</v>
      </c>
      <c r="T27" s="2" t="s">
        <v>54</v>
      </c>
      <c r="U27" s="3"/>
      <c r="V27" s="2"/>
      <c r="W27" s="2"/>
      <c r="X27" s="2"/>
      <c r="Y27" s="2"/>
      <c r="Z27" s="2"/>
      <c r="AA27" s="2"/>
      <c r="AB27" s="2"/>
      <c r="AC27" s="2"/>
    </row>
    <row r="28" spans="1:29" ht="20.100000000000001" customHeight="1">
      <c r="A28" s="2" t="s">
        <v>229</v>
      </c>
      <c r="B28" s="2" t="s">
        <v>230</v>
      </c>
      <c r="C28" s="2" t="str">
        <f>sheet1[[#This Row],[Nombre]]&amp;sheet1[[#This Row],[Bp Id]]</f>
        <v>LEXMARK CLOUD PRINT MANAGEMENT (CPM)ITM0038</v>
      </c>
      <c r="D28" s="2" t="str">
        <f>VLOOKUP(sheet1[[#This Row],[Columna1]],sheet13[[Columna1]:[Estado]],4,FALSE)</f>
        <v>Operativo</v>
      </c>
      <c r="E28" s="2" t="s">
        <v>231</v>
      </c>
      <c r="F28" s="2" t="s">
        <v>32</v>
      </c>
      <c r="G28" s="2" t="s">
        <v>48</v>
      </c>
      <c r="H28" s="2" t="s">
        <v>59</v>
      </c>
      <c r="I28" s="2" t="s">
        <v>232</v>
      </c>
      <c r="J28" s="2" t="s">
        <v>233</v>
      </c>
      <c r="K28" s="2" t="s">
        <v>234</v>
      </c>
      <c r="L28" s="2" t="s">
        <v>234</v>
      </c>
      <c r="M28" s="2" t="s">
        <v>63</v>
      </c>
      <c r="N28" s="2" t="s">
        <v>40</v>
      </c>
      <c r="O28" s="2" t="s">
        <v>41</v>
      </c>
      <c r="P28" s="2" t="s">
        <v>53</v>
      </c>
      <c r="Q28" s="2" t="s">
        <v>53</v>
      </c>
      <c r="R28" s="2" t="s">
        <v>43</v>
      </c>
      <c r="S28" s="2" t="s">
        <v>43</v>
      </c>
      <c r="T28" s="2" t="s">
        <v>54</v>
      </c>
      <c r="U28" s="3"/>
      <c r="V28" s="2"/>
      <c r="W28" s="2"/>
      <c r="X28" s="2"/>
      <c r="Y28" s="2"/>
      <c r="Z28" s="2"/>
      <c r="AA28" s="2"/>
      <c r="AB28" s="2"/>
      <c r="AC28" s="2"/>
    </row>
    <row r="29" spans="1:29" ht="20.100000000000001" customHeight="1">
      <c r="A29" s="2" t="s">
        <v>235</v>
      </c>
      <c r="B29" s="2" t="s">
        <v>230</v>
      </c>
      <c r="C29" s="2" t="str">
        <f>sheet1[[#This Row],[Nombre]]&amp;sheet1[[#This Row],[Bp Id]]</f>
        <v>Lexmark Printer ManagementITM0038</v>
      </c>
      <c r="D29" s="2" t="str">
        <f>VLOOKUP(sheet1[[#This Row],[Columna1]],sheet13[[Columna1]:[Estado]],4,FALSE)</f>
        <v>Retirado</v>
      </c>
      <c r="E29" s="2" t="s">
        <v>231</v>
      </c>
      <c r="F29" s="2" t="s">
        <v>47</v>
      </c>
      <c r="G29" s="2" t="s">
        <v>48</v>
      </c>
      <c r="H29" s="2" t="s">
        <v>34</v>
      </c>
      <c r="I29" s="2" t="s">
        <v>68</v>
      </c>
      <c r="J29" s="2" t="s">
        <v>236</v>
      </c>
      <c r="K29" s="2"/>
      <c r="L29" s="2" t="s">
        <v>234</v>
      </c>
      <c r="M29" s="2" t="s">
        <v>63</v>
      </c>
      <c r="N29" s="2" t="s">
        <v>40</v>
      </c>
      <c r="O29" s="2" t="s">
        <v>41</v>
      </c>
      <c r="P29" s="2" t="s">
        <v>53</v>
      </c>
      <c r="Q29" s="2" t="s">
        <v>53</v>
      </c>
      <c r="R29" s="2" t="s">
        <v>43</v>
      </c>
      <c r="S29" s="2" t="s">
        <v>43</v>
      </c>
      <c r="T29" s="2" t="s">
        <v>54</v>
      </c>
      <c r="U29" s="3"/>
      <c r="V29" s="2"/>
      <c r="W29" s="2"/>
      <c r="X29" s="2"/>
      <c r="Y29" s="2"/>
      <c r="Z29" s="2"/>
      <c r="AA29" s="2"/>
      <c r="AB29" s="2"/>
      <c r="AC29" s="2"/>
    </row>
    <row r="30" spans="1:29" ht="20.100000000000001" customHeight="1">
      <c r="A30" s="2" t="s">
        <v>237</v>
      </c>
      <c r="B30" s="2" t="s">
        <v>238</v>
      </c>
      <c r="C30" s="2" t="str">
        <f>sheet1[[#This Row],[Nombre]]&amp;sheet1[[#This Row],[Bp Id]]</f>
        <v>LibrarianITM0071</v>
      </c>
      <c r="D30" s="2" t="str">
        <f>VLOOKUP(sheet1[[#This Row],[Columna1]],sheet13[[Columna1]:[Estado]],4,FALSE)</f>
        <v>Retirado</v>
      </c>
      <c r="E30" s="2" t="s">
        <v>239</v>
      </c>
      <c r="F30" s="2" t="s">
        <v>47</v>
      </c>
      <c r="G30" s="2" t="s">
        <v>48</v>
      </c>
      <c r="H30" s="2" t="s">
        <v>34</v>
      </c>
      <c r="I30" s="2" t="s">
        <v>198</v>
      </c>
      <c r="J30" s="2" t="s">
        <v>240</v>
      </c>
      <c r="K30" s="2" t="s">
        <v>241</v>
      </c>
      <c r="L30" s="2" t="s">
        <v>242</v>
      </c>
      <c r="M30" s="2" t="s">
        <v>52</v>
      </c>
      <c r="N30" s="2" t="s">
        <v>40</v>
      </c>
      <c r="O30" s="2" t="s">
        <v>41</v>
      </c>
      <c r="P30" s="2" t="s">
        <v>53</v>
      </c>
      <c r="Q30" s="2" t="s">
        <v>53</v>
      </c>
      <c r="R30" s="2" t="s">
        <v>43</v>
      </c>
      <c r="S30" s="2" t="s">
        <v>43</v>
      </c>
      <c r="T30" s="2" t="s">
        <v>54</v>
      </c>
      <c r="U30" s="3"/>
      <c r="V30" s="2"/>
      <c r="W30" s="2"/>
      <c r="X30" s="2"/>
      <c r="Y30" s="2"/>
      <c r="Z30" s="2"/>
      <c r="AA30" s="2"/>
      <c r="AB30" s="2"/>
      <c r="AC30" s="2"/>
    </row>
    <row r="31" spans="1:29" ht="20.100000000000001" customHeight="1">
      <c r="A31" s="2" t="s">
        <v>243</v>
      </c>
      <c r="B31" s="2" t="s">
        <v>244</v>
      </c>
      <c r="C31" s="2" t="str">
        <f>sheet1[[#This Row],[Nombre]]&amp;sheet1[[#This Row],[Bp Id]]</f>
        <v>ListaObservadosGOB0013</v>
      </c>
      <c r="D31" s="2" t="str">
        <f>VLOOKUP(sheet1[[#This Row],[Columna1]],sheet13[[Columna1]:[Estado]],4,FALSE)</f>
        <v>Operativo</v>
      </c>
      <c r="E31" s="2" t="s">
        <v>245</v>
      </c>
      <c r="F31" s="2" t="s">
        <v>32</v>
      </c>
      <c r="G31" s="2" t="s">
        <v>123</v>
      </c>
      <c r="H31" s="2" t="s">
        <v>59</v>
      </c>
      <c r="I31" s="2" t="s">
        <v>225</v>
      </c>
      <c r="J31" s="2" t="s">
        <v>226</v>
      </c>
      <c r="K31" s="2" t="s">
        <v>227</v>
      </c>
      <c r="L31" s="2" t="s">
        <v>228</v>
      </c>
      <c r="M31" s="2" t="s">
        <v>39</v>
      </c>
      <c r="N31" s="2" t="s">
        <v>40</v>
      </c>
      <c r="O31" s="2" t="s">
        <v>41</v>
      </c>
      <c r="P31" s="2" t="s">
        <v>246</v>
      </c>
      <c r="Q31" s="2" t="s">
        <v>247</v>
      </c>
      <c r="R31" s="2" t="s">
        <v>41</v>
      </c>
      <c r="S31" s="2" t="s">
        <v>43</v>
      </c>
      <c r="T31" s="2"/>
      <c r="U31" s="3"/>
      <c r="V31" s="2"/>
      <c r="W31" s="2"/>
      <c r="X31" s="2"/>
      <c r="Y31" s="2"/>
      <c r="Z31" s="2"/>
      <c r="AA31" s="2"/>
      <c r="AB31" s="2"/>
      <c r="AC31" s="2"/>
    </row>
    <row r="32" spans="1:29" ht="20.100000000000001" customHeight="1">
      <c r="A32" s="2" t="s">
        <v>248</v>
      </c>
      <c r="B32" s="2" t="s">
        <v>249</v>
      </c>
      <c r="C32" s="2" t="str">
        <f>sheet1[[#This Row],[Nombre]]&amp;sheet1[[#This Row],[Bp Id]]</f>
        <v>LogiFlowTIE0019</v>
      </c>
      <c r="D32" s="2" t="str">
        <f>VLOOKUP(sheet1[[#This Row],[Columna1]],sheet13[[Columna1]:[Estado]],4,FALSE)</f>
        <v>Operativo</v>
      </c>
      <c r="E32" s="2" t="s">
        <v>250</v>
      </c>
      <c r="F32" s="2" t="s">
        <v>32</v>
      </c>
      <c r="G32" s="2" t="s">
        <v>76</v>
      </c>
      <c r="H32" s="2" t="s">
        <v>34</v>
      </c>
      <c r="I32" s="2" t="s">
        <v>95</v>
      </c>
      <c r="J32" s="2" t="s">
        <v>96</v>
      </c>
      <c r="K32" s="2" t="s">
        <v>97</v>
      </c>
      <c r="L32" s="2" t="s">
        <v>98</v>
      </c>
      <c r="M32" s="2" t="s">
        <v>39</v>
      </c>
      <c r="N32" s="2" t="s">
        <v>40</v>
      </c>
      <c r="O32" s="2" t="s">
        <v>41</v>
      </c>
      <c r="P32" s="2" t="s">
        <v>42</v>
      </c>
      <c r="Q32" s="2" t="s">
        <v>53</v>
      </c>
      <c r="R32" s="2" t="s">
        <v>41</v>
      </c>
      <c r="S32" s="2" t="s">
        <v>41</v>
      </c>
      <c r="T32" s="2"/>
      <c r="U32" s="3">
        <v>45200</v>
      </c>
      <c r="V32" s="2" t="s">
        <v>251</v>
      </c>
      <c r="W32" s="2" t="s">
        <v>252</v>
      </c>
      <c r="X32" s="2" t="s">
        <v>253</v>
      </c>
      <c r="Y32" s="2" t="s">
        <v>147</v>
      </c>
      <c r="Z32" s="2" t="s">
        <v>147</v>
      </c>
      <c r="AA32" s="2" t="s">
        <v>180</v>
      </c>
      <c r="AB32" s="2" t="s">
        <v>129</v>
      </c>
      <c r="AC32" s="2" t="s">
        <v>254</v>
      </c>
    </row>
    <row r="33" spans="1:29" ht="14.45" customHeight="1">
      <c r="A33" s="2" t="s">
        <v>255</v>
      </c>
      <c r="B33" s="2" t="s">
        <v>256</v>
      </c>
      <c r="C33" s="2" t="str">
        <f>sheet1[[#This Row],[Nombre]]&amp;sheet1[[#This Row],[Bp Id]]</f>
        <v>LoginCentralSEC0028</v>
      </c>
      <c r="D33" s="2" t="str">
        <f>VLOOKUP(sheet1[[#This Row],[Columna1]],sheet13[[Columna1]:[Estado]],4,FALSE)</f>
        <v>Operativo</v>
      </c>
      <c r="E33" s="2" t="s">
        <v>257</v>
      </c>
      <c r="F33" s="2" t="s">
        <v>32</v>
      </c>
      <c r="G33" s="2" t="s">
        <v>123</v>
      </c>
      <c r="H33" s="2" t="s">
        <v>34</v>
      </c>
      <c r="I33" s="2" t="s">
        <v>258</v>
      </c>
      <c r="J33" s="2" t="s">
        <v>259</v>
      </c>
      <c r="K33" s="2" t="s">
        <v>260</v>
      </c>
      <c r="L33" s="2" t="s">
        <v>261</v>
      </c>
      <c r="M33" s="2" t="s">
        <v>39</v>
      </c>
      <c r="N33" s="2" t="s">
        <v>40</v>
      </c>
      <c r="O33" s="2" t="s">
        <v>41</v>
      </c>
      <c r="P33" s="2" t="s">
        <v>42</v>
      </c>
      <c r="Q33" s="2" t="s">
        <v>42</v>
      </c>
      <c r="R33" s="2" t="s">
        <v>41</v>
      </c>
      <c r="S33" s="2" t="s">
        <v>41</v>
      </c>
      <c r="T33" s="2"/>
      <c r="U33" s="3">
        <v>45200</v>
      </c>
      <c r="V33" s="2"/>
      <c r="W33" s="2" t="s">
        <v>125</v>
      </c>
      <c r="X33" s="2" t="s">
        <v>262</v>
      </c>
      <c r="Y33" s="2" t="s">
        <v>147</v>
      </c>
      <c r="Z33" s="2" t="s">
        <v>147</v>
      </c>
      <c r="AA33" s="2" t="s">
        <v>263</v>
      </c>
      <c r="AB33" s="2" t="s">
        <v>129</v>
      </c>
      <c r="AC33" s="2" t="s">
        <v>264</v>
      </c>
    </row>
    <row r="34" spans="1:29" ht="14.45" customHeight="1">
      <c r="A34" s="2" t="s">
        <v>265</v>
      </c>
      <c r="B34" s="2" t="s">
        <v>266</v>
      </c>
      <c r="C34" s="2" t="str">
        <f>sheet1[[#This Row],[Nombre]]&amp;sheet1[[#This Row],[Bp Id]]</f>
        <v>Logística de EfectivoCHL0001</v>
      </c>
      <c r="D34" s="2" t="str">
        <f>VLOOKUP(sheet1[[#This Row],[Columna1]],sheet13[[Columna1]:[Estado]],4,FALSE)</f>
        <v>Operativo</v>
      </c>
      <c r="E34" s="2" t="s">
        <v>267</v>
      </c>
      <c r="F34" s="2" t="s">
        <v>32</v>
      </c>
      <c r="G34" s="2" t="s">
        <v>76</v>
      </c>
      <c r="H34" s="2" t="s">
        <v>34</v>
      </c>
      <c r="I34" s="2" t="s">
        <v>225</v>
      </c>
      <c r="J34" s="2" t="s">
        <v>226</v>
      </c>
      <c r="K34" s="2" t="s">
        <v>268</v>
      </c>
      <c r="L34" s="2" t="s">
        <v>268</v>
      </c>
      <c r="M34" s="2" t="s">
        <v>39</v>
      </c>
      <c r="N34" s="2" t="s">
        <v>40</v>
      </c>
      <c r="O34" s="2" t="s">
        <v>41</v>
      </c>
      <c r="P34" s="2" t="s">
        <v>42</v>
      </c>
      <c r="Q34" s="2" t="s">
        <v>53</v>
      </c>
      <c r="R34" s="2" t="s">
        <v>41</v>
      </c>
      <c r="S34" s="2" t="s">
        <v>41</v>
      </c>
      <c r="T34" s="2" t="s">
        <v>119</v>
      </c>
      <c r="U34" s="3">
        <v>45199</v>
      </c>
      <c r="V34" s="2"/>
      <c r="W34" s="2" t="s">
        <v>100</v>
      </c>
      <c r="X34" s="2" t="s">
        <v>101</v>
      </c>
      <c r="Y34" s="2"/>
      <c r="Z34" s="2"/>
      <c r="AA34" s="2"/>
      <c r="AB34" s="2"/>
      <c r="AC34" s="2"/>
    </row>
    <row r="35" spans="1:29" ht="20.100000000000001" customHeight="1">
      <c r="A35" s="2" t="s">
        <v>269</v>
      </c>
      <c r="B35" s="2" t="s">
        <v>270</v>
      </c>
      <c r="C35" s="2" t="str">
        <f>sheet1[[#This Row],[Nombre]]&amp;sheet1[[#This Row],[Bp Id]]</f>
        <v>LumuSEC0056</v>
      </c>
      <c r="D35" s="2" t="str">
        <f>VLOOKUP(sheet1[[#This Row],[Columna1]],sheet13[[Columna1]:[Estado]],4,FALSE)</f>
        <v>Retirado</v>
      </c>
      <c r="E35" s="2" t="s">
        <v>271</v>
      </c>
      <c r="F35" s="2" t="s">
        <v>47</v>
      </c>
      <c r="G35" s="2" t="s">
        <v>48</v>
      </c>
      <c r="H35" s="2" t="s">
        <v>59</v>
      </c>
      <c r="I35" s="2" t="s">
        <v>107</v>
      </c>
      <c r="J35" s="2" t="s">
        <v>272</v>
      </c>
      <c r="K35" s="2" t="s">
        <v>176</v>
      </c>
      <c r="L35" s="2" t="s">
        <v>213</v>
      </c>
      <c r="M35" s="2" t="s">
        <v>111</v>
      </c>
      <c r="N35" s="2" t="s">
        <v>40</v>
      </c>
      <c r="O35" s="2" t="s">
        <v>41</v>
      </c>
      <c r="P35" s="2" t="s">
        <v>64</v>
      </c>
      <c r="Q35" s="2" t="s">
        <v>64</v>
      </c>
      <c r="R35" s="2" t="s">
        <v>41</v>
      </c>
      <c r="S35" s="2" t="s">
        <v>43</v>
      </c>
      <c r="T35" s="2"/>
      <c r="U35" s="3"/>
      <c r="V35" s="2"/>
      <c r="W35" s="2"/>
      <c r="X35" s="2"/>
      <c r="Y35" s="2"/>
      <c r="Z35" s="2"/>
      <c r="AA35" s="2"/>
      <c r="AB35" s="2"/>
      <c r="AC35" s="2"/>
    </row>
    <row r="36" spans="1:29" ht="231.95" customHeight="1">
      <c r="A36" s="2" t="s">
        <v>273</v>
      </c>
      <c r="B36" s="2" t="s">
        <v>274</v>
      </c>
      <c r="C36" s="2" t="str">
        <f>sheet1[[#This Row],[Nombre]]&amp;sheet1[[#This Row],[Bp Id]]</f>
        <v>Mail Control SystemSUP0012</v>
      </c>
      <c r="D36" s="2" t="str">
        <f>VLOOKUP(sheet1[[#This Row],[Columna1]],sheet13[[Columna1]:[Estado]],4,FALSE)</f>
        <v>Operativo</v>
      </c>
      <c r="E36" s="2" t="s">
        <v>275</v>
      </c>
      <c r="F36" s="2" t="s">
        <v>32</v>
      </c>
      <c r="G36" s="2" t="s">
        <v>48</v>
      </c>
      <c r="H36" s="2" t="s">
        <v>59</v>
      </c>
      <c r="I36" s="2" t="s">
        <v>225</v>
      </c>
      <c r="J36" s="2" t="s">
        <v>226</v>
      </c>
      <c r="K36" s="2" t="s">
        <v>276</v>
      </c>
      <c r="L36" s="2" t="s">
        <v>277</v>
      </c>
      <c r="M36" s="2" t="s">
        <v>39</v>
      </c>
      <c r="N36" s="2" t="s">
        <v>40</v>
      </c>
      <c r="O36" s="2" t="s">
        <v>43</v>
      </c>
      <c r="P36" s="2" t="s">
        <v>64</v>
      </c>
      <c r="Q36" s="2" t="s">
        <v>64</v>
      </c>
      <c r="R36" s="2" t="s">
        <v>41</v>
      </c>
      <c r="S36" s="2" t="s">
        <v>43</v>
      </c>
      <c r="T36" s="2" t="s">
        <v>278</v>
      </c>
      <c r="U36" s="3">
        <v>46092</v>
      </c>
      <c r="V36" s="2" t="s">
        <v>279</v>
      </c>
      <c r="W36" s="2"/>
      <c r="X36" s="2"/>
      <c r="Y36" s="2"/>
      <c r="Z36" s="2"/>
      <c r="AA36" s="2"/>
      <c r="AB36" s="2"/>
      <c r="AC36" s="2"/>
    </row>
    <row r="37" spans="1:29" ht="20.100000000000001" customHeight="1">
      <c r="A37" s="2" t="s">
        <v>280</v>
      </c>
      <c r="B37" s="2" t="s">
        <v>281</v>
      </c>
      <c r="C37" s="2" t="str">
        <f>sheet1[[#This Row],[Nombre]]&amp;sheet1[[#This Row],[Bp Id]]</f>
        <v>MambuCOR0008</v>
      </c>
      <c r="D37" s="2" t="str">
        <f>VLOOKUP(sheet1[[#This Row],[Columna1]],sheet13[[Columna1]:[Estado]],4,FALSE)</f>
        <v>Retirado</v>
      </c>
      <c r="E37" s="2" t="s">
        <v>139</v>
      </c>
      <c r="F37" s="2" t="s">
        <v>47</v>
      </c>
      <c r="G37" s="2" t="s">
        <v>48</v>
      </c>
      <c r="H37" s="2" t="s">
        <v>59</v>
      </c>
      <c r="I37" s="2" t="s">
        <v>49</v>
      </c>
      <c r="J37" s="2" t="s">
        <v>50</v>
      </c>
      <c r="K37" s="2" t="s">
        <v>282</v>
      </c>
      <c r="L37" s="2" t="s">
        <v>282</v>
      </c>
      <c r="M37" s="2" t="s">
        <v>39</v>
      </c>
      <c r="N37" s="2" t="s">
        <v>40</v>
      </c>
      <c r="O37" s="2" t="s">
        <v>41</v>
      </c>
      <c r="P37" s="2" t="s">
        <v>64</v>
      </c>
      <c r="Q37" s="2" t="s">
        <v>64</v>
      </c>
      <c r="R37" s="2" t="s">
        <v>41</v>
      </c>
      <c r="S37" s="2" t="s">
        <v>43</v>
      </c>
      <c r="T37" s="2"/>
      <c r="U37" s="3"/>
      <c r="V37" s="2"/>
      <c r="W37" s="2"/>
      <c r="X37" s="2"/>
      <c r="Y37" s="2"/>
      <c r="Z37" s="2"/>
      <c r="AA37" s="2"/>
      <c r="AB37" s="2"/>
      <c r="AC37" s="2"/>
    </row>
    <row r="38" spans="1:29" ht="20.100000000000001" customHeight="1">
      <c r="A38" s="2" t="s">
        <v>283</v>
      </c>
      <c r="B38" s="2" t="s">
        <v>284</v>
      </c>
      <c r="C38" s="2" t="str">
        <f>sheet1[[#This Row],[Nombre]]&amp;sheet1[[#This Row],[Bp Id]]</f>
        <v>Mambu DeunaSEC0057</v>
      </c>
      <c r="D38" s="2" t="str">
        <f>VLOOKUP(sheet1[[#This Row],[Columna1]],sheet13[[Columna1]:[Estado]],4,FALSE)</f>
        <v>Retirado</v>
      </c>
      <c r="E38" s="2" t="s">
        <v>285</v>
      </c>
      <c r="F38" s="2" t="s">
        <v>47</v>
      </c>
      <c r="G38" s="2" t="s">
        <v>33</v>
      </c>
      <c r="H38" s="2" t="s">
        <v>59</v>
      </c>
      <c r="I38" s="2" t="s">
        <v>208</v>
      </c>
      <c r="J38" s="2" t="s">
        <v>209</v>
      </c>
      <c r="K38" s="2" t="s">
        <v>209</v>
      </c>
      <c r="L38" s="2" t="s">
        <v>209</v>
      </c>
      <c r="M38" s="2" t="s">
        <v>39</v>
      </c>
      <c r="N38" s="2" t="s">
        <v>40</v>
      </c>
      <c r="O38" s="2" t="s">
        <v>41</v>
      </c>
      <c r="P38" s="2" t="s">
        <v>64</v>
      </c>
      <c r="Q38" s="2" t="s">
        <v>64</v>
      </c>
      <c r="R38" s="2" t="s">
        <v>41</v>
      </c>
      <c r="S38" s="2" t="s">
        <v>43</v>
      </c>
      <c r="T38" s="2"/>
      <c r="U38" s="3"/>
      <c r="V38" s="2"/>
      <c r="W38" s="2"/>
      <c r="X38" s="2"/>
      <c r="Y38" s="2"/>
      <c r="Z38" s="2"/>
      <c r="AA38" s="2"/>
      <c r="AB38" s="2"/>
      <c r="AC38" s="2"/>
    </row>
    <row r="39" spans="1:29" ht="29.1" customHeight="1">
      <c r="A39" s="2" t="s">
        <v>286</v>
      </c>
      <c r="B39" s="2" t="s">
        <v>287</v>
      </c>
      <c r="C39" s="2" t="str">
        <f>sheet1[[#This Row],[Nombre]]&amp;sheet1[[#This Row],[Bp Id]]</f>
        <v>MatiBOTITM0075</v>
      </c>
      <c r="D39" s="2" t="str">
        <f>VLOOKUP(sheet1[[#This Row],[Columna1]],sheet13[[Columna1]:[Estado]],4,FALSE)</f>
        <v>Operativo</v>
      </c>
      <c r="E39" s="2" t="s">
        <v>288</v>
      </c>
      <c r="F39" s="2" t="s">
        <v>32</v>
      </c>
      <c r="G39" s="2" t="s">
        <v>48</v>
      </c>
      <c r="H39" s="2" t="s">
        <v>59</v>
      </c>
      <c r="I39" s="2" t="s">
        <v>232</v>
      </c>
      <c r="J39" s="2" t="s">
        <v>289</v>
      </c>
      <c r="K39" s="2" t="s">
        <v>234</v>
      </c>
      <c r="L39" s="2" t="s">
        <v>290</v>
      </c>
      <c r="M39" s="2" t="s">
        <v>63</v>
      </c>
      <c r="N39" s="2" t="s">
        <v>40</v>
      </c>
      <c r="O39" s="2" t="s">
        <v>41</v>
      </c>
      <c r="P39" s="2" t="s">
        <v>64</v>
      </c>
      <c r="Q39" s="2" t="s">
        <v>53</v>
      </c>
      <c r="R39" s="2" t="s">
        <v>43</v>
      </c>
      <c r="S39" s="2" t="s">
        <v>43</v>
      </c>
      <c r="T39" s="2" t="s">
        <v>54</v>
      </c>
      <c r="U39" s="3"/>
      <c r="V39" s="2"/>
      <c r="W39" s="2"/>
      <c r="X39" s="2"/>
      <c r="Y39" s="2"/>
      <c r="Z39" s="2"/>
      <c r="AA39" s="2"/>
      <c r="AB39" s="2"/>
      <c r="AC39" s="2"/>
    </row>
    <row r="40" spans="1:29" ht="20.100000000000001" customHeight="1">
      <c r="A40" s="2" t="s">
        <v>291</v>
      </c>
      <c r="B40" s="2" t="s">
        <v>292</v>
      </c>
      <c r="C40" s="2" t="str">
        <f>sheet1[[#This Row],[Nombre]]&amp;sheet1[[#This Row],[Bp Id]]</f>
        <v>MazeEDC0006</v>
      </c>
      <c r="D40" s="2" t="str">
        <f>VLOOKUP(sheet1[[#This Row],[Columna1]],sheet13[[Columna1]:[Estado]],4,FALSE)</f>
        <v>Operativo</v>
      </c>
      <c r="E40" s="2" t="s">
        <v>293</v>
      </c>
      <c r="F40" s="2" t="s">
        <v>32</v>
      </c>
      <c r="G40" s="2" t="s">
        <v>48</v>
      </c>
      <c r="H40" s="2" t="s">
        <v>59</v>
      </c>
      <c r="I40" s="2" t="s">
        <v>294</v>
      </c>
      <c r="J40" s="2" t="s">
        <v>88</v>
      </c>
      <c r="K40" s="2" t="s">
        <v>295</v>
      </c>
      <c r="L40" s="2" t="s">
        <v>295</v>
      </c>
      <c r="M40" s="2" t="s">
        <v>296</v>
      </c>
      <c r="N40" s="2" t="s">
        <v>40</v>
      </c>
      <c r="O40" s="2" t="s">
        <v>41</v>
      </c>
      <c r="P40" s="2" t="s">
        <v>53</v>
      </c>
      <c r="Q40" s="2" t="s">
        <v>53</v>
      </c>
      <c r="R40" s="2" t="s">
        <v>43</v>
      </c>
      <c r="S40" s="2" t="s">
        <v>43</v>
      </c>
      <c r="T40" s="2" t="s">
        <v>54</v>
      </c>
      <c r="U40" s="3"/>
      <c r="V40" s="2"/>
      <c r="W40" s="2"/>
      <c r="X40" s="2"/>
      <c r="Y40" s="2"/>
      <c r="Z40" s="2"/>
      <c r="AA40" s="2"/>
      <c r="AB40" s="2"/>
      <c r="AC40" s="2"/>
    </row>
    <row r="41" spans="1:29" ht="20.100000000000001" customHeight="1">
      <c r="A41" s="2" t="s">
        <v>297</v>
      </c>
      <c r="B41" s="2" t="s">
        <v>298</v>
      </c>
      <c r="C41" s="2" t="str">
        <f>sheet1[[#This Row],[Nombre]]&amp;sheet1[[#This Row],[Bp Id]]</f>
        <v>Mi Campus PichinchaSUP0033</v>
      </c>
      <c r="D41" s="2" t="str">
        <f>VLOOKUP(sheet1[[#This Row],[Columna1]],sheet13[[Columna1]:[Estado]],4,FALSE)</f>
        <v>Operativo</v>
      </c>
      <c r="E41" s="2" t="s">
        <v>299</v>
      </c>
      <c r="F41" s="2" t="s">
        <v>32</v>
      </c>
      <c r="G41" s="2" t="s">
        <v>48</v>
      </c>
      <c r="H41" s="2" t="s">
        <v>59</v>
      </c>
      <c r="I41" s="2" t="s">
        <v>225</v>
      </c>
      <c r="J41" s="2" t="s">
        <v>226</v>
      </c>
      <c r="K41" s="2" t="s">
        <v>300</v>
      </c>
      <c r="L41" s="2" t="s">
        <v>268</v>
      </c>
      <c r="M41" s="2" t="s">
        <v>63</v>
      </c>
      <c r="N41" s="2" t="s">
        <v>40</v>
      </c>
      <c r="O41" s="2" t="s">
        <v>41</v>
      </c>
      <c r="P41" s="2" t="s">
        <v>64</v>
      </c>
      <c r="Q41" s="2" t="s">
        <v>64</v>
      </c>
      <c r="R41" s="2" t="s">
        <v>43</v>
      </c>
      <c r="S41" s="2" t="s">
        <v>43</v>
      </c>
      <c r="T41" s="2" t="s">
        <v>54</v>
      </c>
      <c r="U41" s="3"/>
      <c r="V41" s="2"/>
      <c r="W41" s="2"/>
      <c r="X41" s="2"/>
      <c r="Y41" s="2"/>
      <c r="Z41" s="2"/>
      <c r="AA41" s="2"/>
      <c r="AB41" s="2"/>
      <c r="AC41" s="2"/>
    </row>
    <row r="42" spans="1:29" ht="14.45" customHeight="1">
      <c r="A42" s="2" t="s">
        <v>301</v>
      </c>
      <c r="B42" s="2" t="s">
        <v>302</v>
      </c>
      <c r="C42" s="2" t="str">
        <f>sheet1[[#This Row],[Nombre]]&amp;sheet1[[#This Row],[Bp Id]]</f>
        <v>Mi Portal (4u)SUP0013</v>
      </c>
      <c r="D42" s="2" t="str">
        <f>VLOOKUP(sheet1[[#This Row],[Columna1]],sheet13[[Columna1]:[Estado]],4,FALSE)</f>
        <v>Operativo</v>
      </c>
      <c r="E42" s="2" t="s">
        <v>303</v>
      </c>
      <c r="F42" s="2" t="s">
        <v>32</v>
      </c>
      <c r="G42" s="2" t="s">
        <v>58</v>
      </c>
      <c r="H42" s="2" t="s">
        <v>59</v>
      </c>
      <c r="I42" s="2" t="s">
        <v>225</v>
      </c>
      <c r="J42" s="2" t="s">
        <v>226</v>
      </c>
      <c r="K42" s="2" t="s">
        <v>300</v>
      </c>
      <c r="L42" s="2" t="s">
        <v>304</v>
      </c>
      <c r="M42" s="2" t="s">
        <v>63</v>
      </c>
      <c r="N42" s="2" t="s">
        <v>40</v>
      </c>
      <c r="O42" s="2" t="s">
        <v>43</v>
      </c>
      <c r="P42" s="2" t="s">
        <v>53</v>
      </c>
      <c r="Q42" s="2" t="s">
        <v>53</v>
      </c>
      <c r="R42" s="2" t="s">
        <v>43</v>
      </c>
      <c r="S42" s="2" t="s">
        <v>43</v>
      </c>
      <c r="T42" s="2" t="s">
        <v>305</v>
      </c>
      <c r="U42" s="3">
        <v>46063</v>
      </c>
      <c r="V42" s="2"/>
      <c r="W42" s="2"/>
      <c r="X42" s="2"/>
      <c r="Y42" s="2"/>
      <c r="Z42" s="2"/>
      <c r="AA42" s="2"/>
      <c r="AB42" s="2"/>
      <c r="AC42" s="2"/>
    </row>
    <row r="43" spans="1:29" ht="20.100000000000001" customHeight="1">
      <c r="A43" s="2" t="s">
        <v>306</v>
      </c>
      <c r="B43" s="2" t="s">
        <v>307</v>
      </c>
      <c r="C43" s="2" t="str">
        <f>sheet1[[#This Row],[Nombre]]&amp;sheet1[[#This Row],[Bp Id]]</f>
        <v>Microcrédito DigitalPRD0053</v>
      </c>
      <c r="D43" s="2" t="str">
        <f>VLOOKUP(sheet1[[#This Row],[Columna1]],sheet13[[Columna1]:[Estado]],4,FALSE)</f>
        <v>Operativo</v>
      </c>
      <c r="E43" s="2" t="s">
        <v>308</v>
      </c>
      <c r="F43" s="2" t="s">
        <v>32</v>
      </c>
      <c r="G43" s="2" t="s">
        <v>48</v>
      </c>
      <c r="H43" s="2" t="s">
        <v>59</v>
      </c>
      <c r="I43" s="2" t="s">
        <v>309</v>
      </c>
      <c r="J43" s="2" t="s">
        <v>310</v>
      </c>
      <c r="K43" s="2" t="s">
        <v>96</v>
      </c>
      <c r="L43" s="2" t="s">
        <v>98</v>
      </c>
      <c r="M43" s="2" t="s">
        <v>39</v>
      </c>
      <c r="N43" s="2" t="s">
        <v>91</v>
      </c>
      <c r="O43" s="2" t="s">
        <v>43</v>
      </c>
      <c r="P43" s="2" t="s">
        <v>311</v>
      </c>
      <c r="Q43" s="2" t="s">
        <v>311</v>
      </c>
      <c r="R43" s="2" t="s">
        <v>43</v>
      </c>
      <c r="S43" s="2" t="s">
        <v>43</v>
      </c>
      <c r="T43" s="2" t="s">
        <v>54</v>
      </c>
      <c r="U43" s="3"/>
      <c r="V43" s="2"/>
      <c r="W43" s="2"/>
      <c r="X43" s="2"/>
      <c r="Y43" s="2"/>
      <c r="Z43" s="2"/>
      <c r="AA43" s="2"/>
      <c r="AB43" s="2"/>
      <c r="AC43" s="2"/>
    </row>
    <row r="44" spans="1:29" ht="20.100000000000001" customHeight="1">
      <c r="A44" s="2" t="s">
        <v>312</v>
      </c>
      <c r="B44" s="2" t="s">
        <v>313</v>
      </c>
      <c r="C44" s="2" t="str">
        <f>sheet1[[#This Row],[Nombre]]&amp;sheet1[[#This Row],[Bp Id]]</f>
        <v>Microfinance PortalPRD0063</v>
      </c>
      <c r="D44" s="2" t="str">
        <f>VLOOKUP(sheet1[[#This Row],[Columna1]],sheet13[[Columna1]:[Estado]],4,FALSE)</f>
        <v>Operativo</v>
      </c>
      <c r="E44" s="2" t="s">
        <v>314</v>
      </c>
      <c r="F44" s="2" t="s">
        <v>32</v>
      </c>
      <c r="G44" s="2" t="s">
        <v>48</v>
      </c>
      <c r="H44" s="2" t="s">
        <v>59</v>
      </c>
      <c r="I44" s="2" t="s">
        <v>309</v>
      </c>
      <c r="J44" s="2" t="s">
        <v>96</v>
      </c>
      <c r="K44" s="2" t="s">
        <v>315</v>
      </c>
      <c r="L44" s="2" t="s">
        <v>316</v>
      </c>
      <c r="M44" s="2" t="s">
        <v>39</v>
      </c>
      <c r="N44" s="2" t="s">
        <v>40</v>
      </c>
      <c r="O44" s="2" t="s">
        <v>41</v>
      </c>
      <c r="P44" s="2" t="s">
        <v>64</v>
      </c>
      <c r="Q44" s="2" t="s">
        <v>64</v>
      </c>
      <c r="R44" s="2" t="s">
        <v>41</v>
      </c>
      <c r="S44" s="2" t="s">
        <v>43</v>
      </c>
      <c r="T44" s="2"/>
      <c r="U44" s="3"/>
      <c r="V44" s="2"/>
      <c r="W44" s="2"/>
      <c r="X44" s="2"/>
      <c r="Y44" s="2"/>
      <c r="Z44" s="2"/>
      <c r="AA44" s="2"/>
      <c r="AB44" s="2"/>
      <c r="AC44" s="2"/>
    </row>
    <row r="45" spans="1:29" ht="14.45" customHeight="1">
      <c r="A45" s="2" t="s">
        <v>317</v>
      </c>
      <c r="B45" s="2" t="s">
        <v>318</v>
      </c>
      <c r="C45" s="2" t="str">
        <f>sheet1[[#This Row],[Nombre]]&amp;sheet1[[#This Row],[Bp Id]]</f>
        <v>Mis RiesgosRIS0008</v>
      </c>
      <c r="D45" s="2" t="str">
        <f>VLOOKUP(sheet1[[#This Row],[Columna1]],sheet13[[Columna1]:[Estado]],4,FALSE)</f>
        <v>Operativo</v>
      </c>
      <c r="E45" s="2" t="s">
        <v>319</v>
      </c>
      <c r="F45" s="2" t="s">
        <v>32</v>
      </c>
      <c r="G45" s="2" t="s">
        <v>48</v>
      </c>
      <c r="H45" s="2" t="s">
        <v>34</v>
      </c>
      <c r="I45" s="2" t="s">
        <v>320</v>
      </c>
      <c r="J45" s="2" t="s">
        <v>321</v>
      </c>
      <c r="K45" s="2" t="s">
        <v>322</v>
      </c>
      <c r="L45" s="2" t="s">
        <v>323</v>
      </c>
      <c r="M45" s="2" t="s">
        <v>39</v>
      </c>
      <c r="N45" s="2" t="s">
        <v>40</v>
      </c>
      <c r="O45" s="2" t="s">
        <v>41</v>
      </c>
      <c r="P45" s="2" t="s">
        <v>324</v>
      </c>
      <c r="Q45" s="2" t="s">
        <v>53</v>
      </c>
      <c r="R45" s="2" t="s">
        <v>41</v>
      </c>
      <c r="S45" s="2" t="s">
        <v>43</v>
      </c>
      <c r="T45" s="2"/>
      <c r="U45" s="3"/>
      <c r="V45" s="2"/>
      <c r="W45" s="2"/>
      <c r="X45" s="2"/>
      <c r="Y45" s="2"/>
      <c r="Z45" s="2"/>
      <c r="AA45" s="2"/>
      <c r="AB45" s="2"/>
      <c r="AC45" s="2"/>
    </row>
    <row r="46" spans="1:29" ht="20.100000000000001" customHeight="1">
      <c r="A46" s="2" t="s">
        <v>325</v>
      </c>
      <c r="B46" s="2" t="s">
        <v>326</v>
      </c>
      <c r="C46" s="2" t="str">
        <f>sheet1[[#This Row],[Nombre]]&amp;sheet1[[#This Row],[Bp Id]]</f>
        <v>MODELO PREDICTIVO CIIUDAT0006</v>
      </c>
      <c r="D46" s="2" t="str">
        <f>VLOOKUP(sheet1[[#This Row],[Columna1]],sheet13[[Columna1]:[Estado]],4,FALSE)</f>
        <v>Operativo</v>
      </c>
      <c r="E46" s="2" t="s">
        <v>327</v>
      </c>
      <c r="F46" s="2" t="s">
        <v>32</v>
      </c>
      <c r="G46" s="2" t="s">
        <v>48</v>
      </c>
      <c r="H46" s="2" t="s">
        <v>34</v>
      </c>
      <c r="I46" s="2" t="s">
        <v>328</v>
      </c>
      <c r="J46" s="2" t="s">
        <v>329</v>
      </c>
      <c r="K46" s="2" t="s">
        <v>330</v>
      </c>
      <c r="L46" s="2" t="s">
        <v>331</v>
      </c>
      <c r="M46" s="2" t="s">
        <v>63</v>
      </c>
      <c r="N46" s="2" t="s">
        <v>40</v>
      </c>
      <c r="O46" s="2" t="s">
        <v>41</v>
      </c>
      <c r="P46" s="2" t="s">
        <v>53</v>
      </c>
      <c r="Q46" s="2" t="s">
        <v>53</v>
      </c>
      <c r="R46" s="2" t="s">
        <v>43</v>
      </c>
      <c r="S46" s="2" t="s">
        <v>43</v>
      </c>
      <c r="T46" s="2" t="s">
        <v>54</v>
      </c>
      <c r="U46" s="3"/>
      <c r="V46" s="2"/>
      <c r="W46" s="2"/>
      <c r="X46" s="2"/>
      <c r="Y46" s="2"/>
      <c r="Z46" s="2"/>
      <c r="AA46" s="2"/>
      <c r="AB46" s="2"/>
      <c r="AC46" s="2"/>
    </row>
    <row r="47" spans="1:29" ht="14.45" customHeight="1">
      <c r="A47" s="2" t="s">
        <v>332</v>
      </c>
      <c r="B47" s="2" t="s">
        <v>333</v>
      </c>
      <c r="C47" s="2" t="str">
        <f>sheet1[[#This Row],[Nombre]]&amp;sheet1[[#This Row],[Bp Id]]</f>
        <v>MoengageOMN0001</v>
      </c>
      <c r="D47" s="2" t="str">
        <f>VLOOKUP(sheet1[[#This Row],[Columna1]],sheet13[[Columna1]:[Estado]],4,FALSE)</f>
        <v>Operativo</v>
      </c>
      <c r="E47" s="2" t="s">
        <v>334</v>
      </c>
      <c r="F47" s="2" t="s">
        <v>32</v>
      </c>
      <c r="G47" s="2" t="s">
        <v>123</v>
      </c>
      <c r="H47" s="2" t="s">
        <v>59</v>
      </c>
      <c r="I47" s="2" t="s">
        <v>198</v>
      </c>
      <c r="J47" s="2" t="s">
        <v>240</v>
      </c>
      <c r="K47" s="2" t="s">
        <v>335</v>
      </c>
      <c r="L47" s="2" t="s">
        <v>82</v>
      </c>
      <c r="M47" s="2" t="s">
        <v>63</v>
      </c>
      <c r="N47" s="2" t="s">
        <v>40</v>
      </c>
      <c r="O47" s="2" t="s">
        <v>41</v>
      </c>
      <c r="P47" s="2" t="s">
        <v>53</v>
      </c>
      <c r="Q47" s="2" t="s">
        <v>53</v>
      </c>
      <c r="R47" s="2" t="s">
        <v>43</v>
      </c>
      <c r="S47" s="2" t="s">
        <v>43</v>
      </c>
      <c r="T47" s="2" t="s">
        <v>54</v>
      </c>
      <c r="U47" s="3"/>
      <c r="V47" s="2"/>
      <c r="W47" s="2"/>
      <c r="X47" s="2"/>
      <c r="Y47" s="2"/>
      <c r="Z47" s="2"/>
      <c r="AA47" s="2"/>
      <c r="AB47" s="2"/>
      <c r="AC47" s="2"/>
    </row>
    <row r="48" spans="1:29" ht="20.100000000000001" customHeight="1">
      <c r="A48" s="2" t="s">
        <v>336</v>
      </c>
      <c r="B48" s="2" t="s">
        <v>337</v>
      </c>
      <c r="C48" s="2" t="str">
        <f>sheet1[[#This Row],[Nombre]]&amp;sheet1[[#This Row],[Bp Id]]</f>
        <v>Monitor BPMITM0039</v>
      </c>
      <c r="D48" s="2" t="str">
        <f>VLOOKUP(sheet1[[#This Row],[Columna1]],sheet13[[Columna1]:[Estado]],4,FALSE)</f>
        <v>Retirado</v>
      </c>
      <c r="E48" s="2" t="s">
        <v>338</v>
      </c>
      <c r="F48" s="2" t="s">
        <v>47</v>
      </c>
      <c r="G48" s="2" t="s">
        <v>48</v>
      </c>
      <c r="H48" s="2" t="s">
        <v>34</v>
      </c>
      <c r="I48" s="2" t="s">
        <v>339</v>
      </c>
      <c r="J48" s="2" t="s">
        <v>50</v>
      </c>
      <c r="K48" s="2" t="s">
        <v>340</v>
      </c>
      <c r="L48" s="2" t="s">
        <v>341</v>
      </c>
      <c r="M48" s="2" t="s">
        <v>63</v>
      </c>
      <c r="N48" s="2" t="s">
        <v>40</v>
      </c>
      <c r="O48" s="2" t="s">
        <v>41</v>
      </c>
      <c r="P48" s="2" t="s">
        <v>53</v>
      </c>
      <c r="Q48" s="2" t="s">
        <v>53</v>
      </c>
      <c r="R48" s="2" t="s">
        <v>43</v>
      </c>
      <c r="S48" s="2" t="s">
        <v>43</v>
      </c>
      <c r="T48" s="2"/>
      <c r="U48" s="3"/>
      <c r="V48" s="2"/>
      <c r="W48" s="2"/>
      <c r="X48" s="2"/>
      <c r="Y48" s="2"/>
      <c r="Z48" s="2"/>
      <c r="AA48" s="2"/>
      <c r="AB48" s="2"/>
      <c r="AC48" s="2"/>
    </row>
    <row r="49" spans="1:29" ht="14.45" customHeight="1">
      <c r="A49" s="2" t="s">
        <v>342</v>
      </c>
      <c r="B49" s="2" t="s">
        <v>343</v>
      </c>
      <c r="C49" s="2" t="str">
        <f>sheet1[[#This Row],[Nombre]]&amp;sheet1[[#This Row],[Bp Id]]</f>
        <v>Monitor PlusGOB0005</v>
      </c>
      <c r="D49" s="2" t="str">
        <f>VLOOKUP(sheet1[[#This Row],[Columna1]],sheet13[[Columna1]:[Estado]],4,FALSE)</f>
        <v>Operativo</v>
      </c>
      <c r="E49" s="2" t="s">
        <v>344</v>
      </c>
      <c r="F49" s="2" t="s">
        <v>32</v>
      </c>
      <c r="G49" s="2" t="s">
        <v>48</v>
      </c>
      <c r="H49" s="2" t="s">
        <v>345</v>
      </c>
      <c r="I49" s="2" t="s">
        <v>225</v>
      </c>
      <c r="J49" s="2" t="s">
        <v>226</v>
      </c>
      <c r="K49" s="2" t="s">
        <v>227</v>
      </c>
      <c r="L49" s="2" t="s">
        <v>228</v>
      </c>
      <c r="M49" s="2" t="s">
        <v>63</v>
      </c>
      <c r="N49" s="2" t="s">
        <v>40</v>
      </c>
      <c r="O49" s="2" t="s">
        <v>41</v>
      </c>
      <c r="P49" s="2" t="s">
        <v>53</v>
      </c>
      <c r="Q49" s="2" t="s">
        <v>53</v>
      </c>
      <c r="R49" s="2" t="s">
        <v>43</v>
      </c>
      <c r="S49" s="2" t="s">
        <v>43</v>
      </c>
      <c r="T49" s="2"/>
      <c r="U49" s="3"/>
      <c r="V49" s="2"/>
      <c r="W49" s="2"/>
      <c r="X49" s="2"/>
      <c r="Y49" s="2"/>
      <c r="Z49" s="2"/>
      <c r="AA49" s="2"/>
      <c r="AB49" s="2"/>
      <c r="AC49" s="2"/>
    </row>
    <row r="50" spans="1:29" ht="29.1" customHeight="1">
      <c r="A50" s="2" t="s">
        <v>346</v>
      </c>
      <c r="B50" s="2" t="s">
        <v>347</v>
      </c>
      <c r="C50" s="2" t="str">
        <f>sheet1[[#This Row],[Nombre]]&amp;sheet1[[#This Row],[Bp Id]]</f>
        <v>MonitorATMCHL0019</v>
      </c>
      <c r="D50" s="2" t="str">
        <f>VLOOKUP(sheet1[[#This Row],[Columna1]],sheet13[[Columna1]:[Estado]],4,FALSE)</f>
        <v>Retirado</v>
      </c>
      <c r="E50" s="2" t="s">
        <v>348</v>
      </c>
      <c r="F50" s="2" t="s">
        <v>47</v>
      </c>
      <c r="G50" s="2" t="s">
        <v>58</v>
      </c>
      <c r="H50" s="2" t="s">
        <v>34</v>
      </c>
      <c r="I50" s="2" t="s">
        <v>35</v>
      </c>
      <c r="J50" s="2" t="s">
        <v>349</v>
      </c>
      <c r="K50" s="2" t="s">
        <v>234</v>
      </c>
      <c r="L50" s="2" t="s">
        <v>350</v>
      </c>
      <c r="M50" s="2" t="s">
        <v>39</v>
      </c>
      <c r="N50" s="2" t="s">
        <v>40</v>
      </c>
      <c r="O50" s="2" t="s">
        <v>41</v>
      </c>
      <c r="P50" s="2" t="s">
        <v>246</v>
      </c>
      <c r="Q50" s="2" t="s">
        <v>247</v>
      </c>
      <c r="R50" s="2" t="s">
        <v>41</v>
      </c>
      <c r="S50" s="2" t="s">
        <v>43</v>
      </c>
      <c r="T50" s="2" t="s">
        <v>193</v>
      </c>
      <c r="U50" s="3"/>
      <c r="V50" s="2"/>
      <c r="W50" s="2"/>
      <c r="X50" s="2"/>
      <c r="Y50" s="2"/>
      <c r="Z50" s="2"/>
      <c r="AA50" s="2"/>
      <c r="AB50" s="2"/>
      <c r="AC50" s="2"/>
    </row>
    <row r="51" spans="1:29" ht="87" customHeight="1">
      <c r="A51" s="2" t="s">
        <v>351</v>
      </c>
      <c r="B51" s="2" t="s">
        <v>352</v>
      </c>
      <c r="C51" s="2" t="str">
        <f>sheet1[[#This Row],[Nombre]]&amp;sheet1[[#This Row],[Bp Id]]</f>
        <v>CreditoDistribuidorPRD0014</v>
      </c>
      <c r="D51" s="2" t="str">
        <f>VLOOKUP(sheet1[[#This Row],[Columna1]],sheet13[[Columna1]:[Estado]],4,FALSE)</f>
        <v>Operativo</v>
      </c>
      <c r="E51" s="2" t="s">
        <v>353</v>
      </c>
      <c r="F51" s="2" t="s">
        <v>32</v>
      </c>
      <c r="G51" s="2" t="s">
        <v>58</v>
      </c>
      <c r="H51" s="2" t="s">
        <v>34</v>
      </c>
      <c r="I51" s="2" t="s">
        <v>116</v>
      </c>
      <c r="J51" s="2" t="s">
        <v>62</v>
      </c>
      <c r="K51" s="2" t="s">
        <v>117</v>
      </c>
      <c r="L51" s="2" t="s">
        <v>118</v>
      </c>
      <c r="M51" s="2" t="s">
        <v>39</v>
      </c>
      <c r="N51" s="2" t="s">
        <v>40</v>
      </c>
      <c r="O51" s="2" t="s">
        <v>41</v>
      </c>
      <c r="P51" s="2" t="s">
        <v>53</v>
      </c>
      <c r="Q51" s="2" t="s">
        <v>53</v>
      </c>
      <c r="R51" s="2" t="s">
        <v>41</v>
      </c>
      <c r="S51" s="2" t="s">
        <v>41</v>
      </c>
      <c r="T51" s="2" t="s">
        <v>119</v>
      </c>
      <c r="U51" s="3">
        <v>45199</v>
      </c>
      <c r="V51" s="2"/>
      <c r="W51" s="2" t="s">
        <v>100</v>
      </c>
      <c r="X51" s="2"/>
      <c r="Y51" s="2"/>
      <c r="Z51" s="2"/>
      <c r="AA51" s="2"/>
      <c r="AB51" s="2"/>
      <c r="AC51" s="2"/>
    </row>
    <row r="52" spans="1:29" ht="29.1" customHeight="1">
      <c r="A52" s="2" t="s">
        <v>354</v>
      </c>
      <c r="B52" s="2" t="s">
        <v>355</v>
      </c>
      <c r="C52" s="2" t="str">
        <f>sheet1[[#This Row],[Nombre]]&amp;sheet1[[#This Row],[Bp Id]]</f>
        <v>CreditosCOMPRD0015</v>
      </c>
      <c r="D52" s="2" t="str">
        <f>VLOOKUP(sheet1[[#This Row],[Columna1]],sheet13[[Columna1]:[Estado]],4,FALSE)</f>
        <v>Operativo</v>
      </c>
      <c r="E52" s="2" t="s">
        <v>356</v>
      </c>
      <c r="F52" s="2" t="s">
        <v>32</v>
      </c>
      <c r="G52" s="2" t="s">
        <v>58</v>
      </c>
      <c r="H52" s="2" t="s">
        <v>34</v>
      </c>
      <c r="I52" s="2" t="s">
        <v>95</v>
      </c>
      <c r="J52" s="2" t="s">
        <v>96</v>
      </c>
      <c r="K52" s="2" t="s">
        <v>97</v>
      </c>
      <c r="L52" s="2" t="s">
        <v>98</v>
      </c>
      <c r="M52" s="2" t="s">
        <v>39</v>
      </c>
      <c r="N52" s="2" t="s">
        <v>40</v>
      </c>
      <c r="O52" s="2" t="s">
        <v>41</v>
      </c>
      <c r="P52" s="2" t="s">
        <v>42</v>
      </c>
      <c r="Q52" s="2" t="s">
        <v>53</v>
      </c>
      <c r="R52" s="2" t="s">
        <v>41</v>
      </c>
      <c r="S52" s="2" t="s">
        <v>41</v>
      </c>
      <c r="T52" s="2" t="s">
        <v>99</v>
      </c>
      <c r="U52" s="3">
        <v>45199</v>
      </c>
      <c r="V52" s="2"/>
      <c r="W52" s="2" t="s">
        <v>100</v>
      </c>
      <c r="X52" s="2" t="s">
        <v>101</v>
      </c>
      <c r="Y52" s="2"/>
      <c r="Z52" s="2"/>
      <c r="AA52" s="2" t="s">
        <v>357</v>
      </c>
      <c r="AB52" s="2"/>
      <c r="AC52" s="2" t="s">
        <v>103</v>
      </c>
    </row>
    <row r="53" spans="1:29" ht="14.45" customHeight="1">
      <c r="A53" s="2" t="s">
        <v>358</v>
      </c>
      <c r="B53" s="2" t="s">
        <v>359</v>
      </c>
      <c r="C53" s="2" t="str">
        <f>sheet1[[#This Row],[Nombre]]&amp;sheet1[[#This Row],[Bp Id]]</f>
        <v>CRM (salesforce - Financial services)CUS0007</v>
      </c>
      <c r="D53" s="2" t="str">
        <f>VLOOKUP(sheet1[[#This Row],[Columna1]],sheet13[[Columna1]:[Estado]],4,FALSE)</f>
        <v>Operativo</v>
      </c>
      <c r="E53" s="2" t="s">
        <v>139</v>
      </c>
      <c r="F53" s="2" t="s">
        <v>32</v>
      </c>
      <c r="G53" s="2" t="s">
        <v>76</v>
      </c>
      <c r="H53" s="2" t="s">
        <v>59</v>
      </c>
      <c r="I53" s="2" t="s">
        <v>87</v>
      </c>
      <c r="J53" s="2" t="s">
        <v>88</v>
      </c>
      <c r="K53" s="2" t="s">
        <v>360</v>
      </c>
      <c r="L53" s="2" t="s">
        <v>361</v>
      </c>
      <c r="M53" s="2" t="s">
        <v>39</v>
      </c>
      <c r="N53" s="2" t="s">
        <v>40</v>
      </c>
      <c r="O53" s="2" t="s">
        <v>41</v>
      </c>
      <c r="P53" s="2" t="s">
        <v>64</v>
      </c>
      <c r="Q53" s="2" t="s">
        <v>53</v>
      </c>
      <c r="R53" s="2" t="s">
        <v>41</v>
      </c>
      <c r="S53" s="2" t="s">
        <v>41</v>
      </c>
      <c r="T53" s="2" t="s">
        <v>362</v>
      </c>
      <c r="U53" s="3">
        <v>45200</v>
      </c>
      <c r="V53" s="2"/>
      <c r="W53" s="2" t="s">
        <v>179</v>
      </c>
      <c r="X53" s="2" t="s">
        <v>100</v>
      </c>
      <c r="Y53" s="2" t="s">
        <v>147</v>
      </c>
      <c r="Z53" s="2" t="s">
        <v>363</v>
      </c>
      <c r="AA53" s="2" t="s">
        <v>180</v>
      </c>
      <c r="AB53" s="2" t="s">
        <v>129</v>
      </c>
      <c r="AC53" s="2" t="s">
        <v>364</v>
      </c>
    </row>
    <row r="54" spans="1:29" ht="29.1" customHeight="1">
      <c r="A54" s="2" t="s">
        <v>365</v>
      </c>
      <c r="B54" s="2" t="s">
        <v>366</v>
      </c>
      <c r="C54" s="2" t="str">
        <f>sheet1[[#This Row],[Nombre]]&amp;sheet1[[#This Row],[Bp Id]]</f>
        <v>CRM (salesforce - Marketing Cloud)CUS0008</v>
      </c>
      <c r="D54" s="2" t="str">
        <f>VLOOKUP(sheet1[[#This Row],[Columna1]],sheet13[[Columna1]:[Estado]],4,FALSE)</f>
        <v>Operativo</v>
      </c>
      <c r="E54" s="2" t="s">
        <v>367</v>
      </c>
      <c r="F54" s="2" t="s">
        <v>32</v>
      </c>
      <c r="G54" s="2" t="s">
        <v>48</v>
      </c>
      <c r="H54" s="2" t="s">
        <v>59</v>
      </c>
      <c r="I54" s="2" t="s">
        <v>87</v>
      </c>
      <c r="J54" s="2" t="s">
        <v>88</v>
      </c>
      <c r="K54" s="2" t="s">
        <v>89</v>
      </c>
      <c r="L54" s="2" t="s">
        <v>361</v>
      </c>
      <c r="M54" s="2" t="s">
        <v>39</v>
      </c>
      <c r="N54" s="2" t="s">
        <v>40</v>
      </c>
      <c r="O54" s="2" t="s">
        <v>41</v>
      </c>
      <c r="P54" s="2" t="s">
        <v>53</v>
      </c>
      <c r="Q54" s="2" t="s">
        <v>53</v>
      </c>
      <c r="R54" s="2" t="s">
        <v>41</v>
      </c>
      <c r="S54" s="2" t="s">
        <v>41</v>
      </c>
      <c r="T54" s="2"/>
      <c r="U54" s="3">
        <v>46052</v>
      </c>
      <c r="V54" s="2" t="s">
        <v>368</v>
      </c>
      <c r="W54" s="2" t="s">
        <v>369</v>
      </c>
      <c r="X54" s="2" t="s">
        <v>179</v>
      </c>
      <c r="Y54" s="2" t="s">
        <v>127</v>
      </c>
      <c r="Z54" s="2" t="s">
        <v>127</v>
      </c>
      <c r="AA54" s="2" t="s">
        <v>370</v>
      </c>
      <c r="AB54" s="2" t="s">
        <v>129</v>
      </c>
      <c r="AC54" s="2" t="s">
        <v>371</v>
      </c>
    </row>
    <row r="55" spans="1:29" ht="14.45" customHeight="1">
      <c r="A55" s="2" t="s">
        <v>372</v>
      </c>
      <c r="B55" s="2" t="s">
        <v>373</v>
      </c>
      <c r="C55" s="2" t="str">
        <f>sheet1[[#This Row],[Nombre]]&amp;sheet1[[#This Row],[Bp Id]]</f>
        <v>CrowdstrikeSEC0009</v>
      </c>
      <c r="D55" s="2" t="str">
        <f>VLOOKUP(sheet1[[#This Row],[Columna1]],sheet13[[Columna1]:[Estado]],4,FALSE)</f>
        <v>Operativo</v>
      </c>
      <c r="E55" s="2" t="s">
        <v>374</v>
      </c>
      <c r="F55" s="2" t="s">
        <v>32</v>
      </c>
      <c r="G55" s="2" t="s">
        <v>76</v>
      </c>
      <c r="H55" s="2" t="s">
        <v>59</v>
      </c>
      <c r="I55" s="2" t="s">
        <v>107</v>
      </c>
      <c r="J55" s="2" t="s">
        <v>175</v>
      </c>
      <c r="K55" s="2" t="s">
        <v>176</v>
      </c>
      <c r="L55" s="2" t="s">
        <v>213</v>
      </c>
      <c r="M55" s="2" t="s">
        <v>111</v>
      </c>
      <c r="N55" s="2" t="s">
        <v>40</v>
      </c>
      <c r="O55" s="2" t="s">
        <v>41</v>
      </c>
      <c r="P55" s="2" t="s">
        <v>64</v>
      </c>
      <c r="Q55" s="2" t="s">
        <v>53</v>
      </c>
      <c r="R55" s="2" t="s">
        <v>41</v>
      </c>
      <c r="S55" s="2" t="s">
        <v>41</v>
      </c>
      <c r="T55" s="2"/>
      <c r="U55" s="3">
        <v>45715</v>
      </c>
      <c r="V55" s="2"/>
      <c r="W55" s="2" t="s">
        <v>375</v>
      </c>
      <c r="X55" s="2" t="s">
        <v>187</v>
      </c>
      <c r="Y55" s="2" t="s">
        <v>376</v>
      </c>
      <c r="Z55" s="2" t="s">
        <v>127</v>
      </c>
      <c r="AA55" s="2" t="s">
        <v>180</v>
      </c>
      <c r="AB55" s="2" t="s">
        <v>129</v>
      </c>
      <c r="AC55" s="2" t="s">
        <v>377</v>
      </c>
    </row>
    <row r="56" spans="1:29" ht="14.45" customHeight="1">
      <c r="A56" s="2" t="s">
        <v>378</v>
      </c>
      <c r="B56" s="2" t="s">
        <v>379</v>
      </c>
      <c r="C56" s="2" t="str">
        <f>sheet1[[#This Row],[Nombre]]&amp;sheet1[[#This Row],[Bp Id]]</f>
        <v>Cuadre AtmsSUP0021</v>
      </c>
      <c r="D56" s="2" t="str">
        <f>VLOOKUP(sheet1[[#This Row],[Columna1]],sheet13[[Columna1]:[Estado]],4,FALSE)</f>
        <v>Operativo</v>
      </c>
      <c r="E56" s="2" t="s">
        <v>380</v>
      </c>
      <c r="F56" s="2" t="s">
        <v>32</v>
      </c>
      <c r="G56" s="2" t="s">
        <v>76</v>
      </c>
      <c r="H56" s="2" t="s">
        <v>34</v>
      </c>
      <c r="I56" s="2" t="s">
        <v>35</v>
      </c>
      <c r="J56" s="2" t="s">
        <v>36</v>
      </c>
      <c r="K56" s="2" t="s">
        <v>381</v>
      </c>
      <c r="L56" s="2" t="s">
        <v>382</v>
      </c>
      <c r="M56" s="2" t="s">
        <v>39</v>
      </c>
      <c r="N56" s="2" t="s">
        <v>40</v>
      </c>
      <c r="O56" s="2" t="s">
        <v>41</v>
      </c>
      <c r="P56" s="2" t="s">
        <v>53</v>
      </c>
      <c r="Q56" s="2" t="s">
        <v>53</v>
      </c>
      <c r="R56" s="2" t="s">
        <v>41</v>
      </c>
      <c r="S56" s="2" t="s">
        <v>41</v>
      </c>
      <c r="T56" s="2" t="s">
        <v>119</v>
      </c>
      <c r="U56" s="3">
        <v>45199</v>
      </c>
      <c r="V56" s="2"/>
      <c r="W56" s="2" t="s">
        <v>100</v>
      </c>
      <c r="X56" s="2" t="s">
        <v>101</v>
      </c>
      <c r="Y56" s="2"/>
      <c r="Z56" s="2"/>
      <c r="AA56" s="2"/>
      <c r="AB56" s="2"/>
      <c r="AC56" s="2"/>
    </row>
    <row r="57" spans="1:29" ht="290.10000000000002" customHeight="1">
      <c r="A57" s="2" t="s">
        <v>383</v>
      </c>
      <c r="B57" s="2" t="s">
        <v>384</v>
      </c>
      <c r="C57" s="2" t="str">
        <f>sheet1[[#This Row],[Nombre]]&amp;sheet1[[#This Row],[Bp Id]]</f>
        <v>Cuenta Digital PersonasCHL0037</v>
      </c>
      <c r="D57" s="2" t="str">
        <f>VLOOKUP(sheet1[[#This Row],[Columna1]],sheet13[[Columna1]:[Estado]],4,FALSE)</f>
        <v>Operativo</v>
      </c>
      <c r="E57" s="2" t="s">
        <v>385</v>
      </c>
      <c r="F57" s="2" t="s">
        <v>32</v>
      </c>
      <c r="G57" s="2" t="s">
        <v>76</v>
      </c>
      <c r="H57" s="2" t="s">
        <v>59</v>
      </c>
      <c r="I57" s="2" t="s">
        <v>167</v>
      </c>
      <c r="J57" s="2" t="s">
        <v>96</v>
      </c>
      <c r="K57" s="2" t="s">
        <v>168</v>
      </c>
      <c r="L57" s="2" t="s">
        <v>169</v>
      </c>
      <c r="M57" s="2" t="s">
        <v>63</v>
      </c>
      <c r="N57" s="2" t="s">
        <v>386</v>
      </c>
      <c r="O57" s="2" t="s">
        <v>43</v>
      </c>
      <c r="P57" s="2" t="s">
        <v>64</v>
      </c>
      <c r="Q57" s="2" t="s">
        <v>64</v>
      </c>
      <c r="R57" s="2" t="s">
        <v>43</v>
      </c>
      <c r="S57" s="2" t="s">
        <v>43</v>
      </c>
      <c r="T57" s="2" t="s">
        <v>387</v>
      </c>
      <c r="U57" s="3"/>
      <c r="V57" s="2"/>
      <c r="W57" s="2"/>
      <c r="X57" s="2"/>
      <c r="Y57" s="2"/>
      <c r="Z57" s="2"/>
      <c r="AA57" s="2"/>
      <c r="AB57" s="2"/>
      <c r="AC57" s="2"/>
    </row>
    <row r="58" spans="1:29" ht="29.1" customHeight="1">
      <c r="A58" s="2" t="s">
        <v>388</v>
      </c>
      <c r="B58" s="2" t="s">
        <v>389</v>
      </c>
      <c r="C58" s="2" t="str">
        <f>sheet1[[#This Row],[Nombre]]&amp;sheet1[[#This Row],[Bp Id]]</f>
        <v>Cuentas por pagarSUP0031</v>
      </c>
      <c r="D58" s="2" t="str">
        <f>VLOOKUP(sheet1[[#This Row],[Columna1]],sheet13[[Columna1]:[Estado]],4,FALSE)</f>
        <v>Operativo</v>
      </c>
      <c r="E58" s="2" t="s">
        <v>390</v>
      </c>
      <c r="F58" s="2" t="s">
        <v>32</v>
      </c>
      <c r="G58" s="2" t="s">
        <v>48</v>
      </c>
      <c r="H58" s="2" t="s">
        <v>59</v>
      </c>
      <c r="I58" s="2" t="s">
        <v>225</v>
      </c>
      <c r="J58" s="2" t="s">
        <v>226</v>
      </c>
      <c r="K58" s="2" t="s">
        <v>276</v>
      </c>
      <c r="L58" s="2" t="s">
        <v>277</v>
      </c>
      <c r="M58" s="2" t="s">
        <v>63</v>
      </c>
      <c r="N58" s="2" t="s">
        <v>40</v>
      </c>
      <c r="O58" s="2" t="s">
        <v>41</v>
      </c>
      <c r="P58" s="2" t="s">
        <v>53</v>
      </c>
      <c r="Q58" s="2" t="s">
        <v>53</v>
      </c>
      <c r="R58" s="2" t="s">
        <v>43</v>
      </c>
      <c r="S58" s="2" t="s">
        <v>43</v>
      </c>
      <c r="T58" s="2"/>
      <c r="U58" s="3"/>
      <c r="V58" s="2"/>
      <c r="W58" s="2"/>
      <c r="X58" s="2"/>
      <c r="Y58" s="2"/>
      <c r="Z58" s="2"/>
      <c r="AA58" s="2"/>
      <c r="AB58" s="2"/>
      <c r="AC58" s="2"/>
    </row>
    <row r="59" spans="1:29" ht="57.95" customHeight="1">
      <c r="A59" s="2" t="s">
        <v>391</v>
      </c>
      <c r="B59" s="2" t="s">
        <v>392</v>
      </c>
      <c r="C59" s="2" t="str">
        <f>sheet1[[#This Row],[Nombre]]&amp;sheet1[[#This Row],[Bp Id]]</f>
        <v>CXP (Banca Web)CHL0014</v>
      </c>
      <c r="D59" s="2" t="str">
        <f>VLOOKUP(sheet1[[#This Row],[Columna1]],sheet13[[Columna1]:[Estado]],4,FALSE)</f>
        <v>Operativo</v>
      </c>
      <c r="E59" s="2" t="s">
        <v>393</v>
      </c>
      <c r="F59" s="2" t="s">
        <v>32</v>
      </c>
      <c r="G59" s="2" t="s">
        <v>33</v>
      </c>
      <c r="H59" s="2" t="s">
        <v>59</v>
      </c>
      <c r="I59" s="2" t="s">
        <v>35</v>
      </c>
      <c r="J59" s="2" t="s">
        <v>394</v>
      </c>
      <c r="K59" s="2" t="s">
        <v>395</v>
      </c>
      <c r="L59" s="2" t="s">
        <v>394</v>
      </c>
      <c r="M59" s="2" t="s">
        <v>39</v>
      </c>
      <c r="N59" s="2" t="s">
        <v>91</v>
      </c>
      <c r="O59" s="2" t="s">
        <v>41</v>
      </c>
      <c r="P59" s="2" t="s">
        <v>53</v>
      </c>
      <c r="Q59" s="2" t="s">
        <v>53</v>
      </c>
      <c r="R59" s="2" t="s">
        <v>43</v>
      </c>
      <c r="S59" s="2" t="s">
        <v>43</v>
      </c>
      <c r="T59" s="2"/>
      <c r="U59" s="3"/>
      <c r="V59" s="2"/>
      <c r="W59" s="2"/>
      <c r="X59" s="2"/>
      <c r="Y59" s="2"/>
      <c r="Z59" s="2"/>
      <c r="AA59" s="2"/>
      <c r="AB59" s="2"/>
      <c r="AC59" s="2"/>
    </row>
    <row r="60" spans="1:29" ht="20.100000000000001" customHeight="1">
      <c r="A60" s="2" t="s">
        <v>396</v>
      </c>
      <c r="B60" s="2" t="s">
        <v>397</v>
      </c>
      <c r="C60" s="2" t="str">
        <f>sheet1[[#This Row],[Nombre]]&amp;sheet1[[#This Row],[Bp Id]]</f>
        <v>CyberArkSEC0010</v>
      </c>
      <c r="D60" s="2" t="str">
        <f>VLOOKUP(sheet1[[#This Row],[Columna1]],sheet13[[Columna1]:[Estado]],4,FALSE)</f>
        <v>Operativo</v>
      </c>
      <c r="E60" s="2" t="s">
        <v>398</v>
      </c>
      <c r="F60" s="2" t="s">
        <v>32</v>
      </c>
      <c r="G60" s="2" t="s">
        <v>76</v>
      </c>
      <c r="H60" s="2" t="s">
        <v>34</v>
      </c>
      <c r="I60" s="2" t="s">
        <v>107</v>
      </c>
      <c r="J60" s="2" t="s">
        <v>185</v>
      </c>
      <c r="K60" s="2" t="s">
        <v>176</v>
      </c>
      <c r="L60" s="2" t="s">
        <v>175</v>
      </c>
      <c r="M60" s="2" t="s">
        <v>111</v>
      </c>
      <c r="N60" s="2" t="s">
        <v>40</v>
      </c>
      <c r="O60" s="2" t="s">
        <v>41</v>
      </c>
      <c r="P60" s="2" t="s">
        <v>42</v>
      </c>
      <c r="Q60" s="2" t="s">
        <v>42</v>
      </c>
      <c r="R60" s="2" t="s">
        <v>41</v>
      </c>
      <c r="S60" s="2" t="s">
        <v>43</v>
      </c>
      <c r="T60" s="2"/>
      <c r="U60" s="3"/>
      <c r="V60" s="2"/>
      <c r="W60" s="2"/>
      <c r="X60" s="2"/>
      <c r="Y60" s="2"/>
      <c r="Z60" s="2"/>
      <c r="AA60" s="2"/>
      <c r="AB60" s="2"/>
      <c r="AC60" s="2"/>
    </row>
    <row r="61" spans="1:29" ht="14.45" customHeight="1">
      <c r="A61" s="2" t="s">
        <v>399</v>
      </c>
      <c r="B61" s="2" t="s">
        <v>400</v>
      </c>
      <c r="C61" s="2" t="str">
        <f>sheet1[[#This Row],[Nombre]]&amp;sheet1[[#This Row],[Bp Id]]</f>
        <v>DarkTraceSEC0011</v>
      </c>
      <c r="D61" s="2" t="str">
        <f>VLOOKUP(sheet1[[#This Row],[Columna1]],sheet13[[Columna1]:[Estado]],4,FALSE)</f>
        <v>Operativo</v>
      </c>
      <c r="E61" s="2" t="s">
        <v>401</v>
      </c>
      <c r="F61" s="2" t="s">
        <v>32</v>
      </c>
      <c r="G61" s="2" t="s">
        <v>48</v>
      </c>
      <c r="H61" s="2" t="s">
        <v>34</v>
      </c>
      <c r="I61" s="2" t="s">
        <v>107</v>
      </c>
      <c r="J61" s="2" t="s">
        <v>219</v>
      </c>
      <c r="K61" s="2" t="s">
        <v>176</v>
      </c>
      <c r="L61" s="2" t="s">
        <v>177</v>
      </c>
      <c r="M61" s="2" t="s">
        <v>111</v>
      </c>
      <c r="N61" s="2" t="s">
        <v>40</v>
      </c>
      <c r="O61" s="2" t="s">
        <v>41</v>
      </c>
      <c r="P61" s="2" t="s">
        <v>53</v>
      </c>
      <c r="Q61" s="2" t="s">
        <v>53</v>
      </c>
      <c r="R61" s="2" t="s">
        <v>41</v>
      </c>
      <c r="S61" s="2" t="s">
        <v>43</v>
      </c>
      <c r="T61" s="2"/>
      <c r="U61" s="3"/>
      <c r="V61" s="2"/>
      <c r="W61" s="2"/>
      <c r="X61" s="2"/>
      <c r="Y61" s="2"/>
      <c r="Z61" s="2"/>
      <c r="AA61" s="2"/>
      <c r="AB61" s="2"/>
      <c r="AC61" s="2"/>
    </row>
    <row r="62" spans="1:29" ht="87" customHeight="1">
      <c r="A62" s="2" t="s">
        <v>402</v>
      </c>
      <c r="B62" s="2" t="s">
        <v>403</v>
      </c>
      <c r="C62" s="2" t="str">
        <f>sheet1[[#This Row],[Nombre]]&amp;sheet1[[#This Row],[Bp Id]]</f>
        <v>DataPower ExternoINT0005</v>
      </c>
      <c r="D62" s="2" t="str">
        <f>VLOOKUP(sheet1[[#This Row],[Columna1]],sheet13[[Columna1]:[Estado]],4,FALSE)</f>
        <v>Operativo</v>
      </c>
      <c r="E62" s="2" t="s">
        <v>404</v>
      </c>
      <c r="F62" s="2" t="s">
        <v>32</v>
      </c>
      <c r="G62" s="2" t="s">
        <v>123</v>
      </c>
      <c r="H62" s="2" t="s">
        <v>34</v>
      </c>
      <c r="I62" s="2" t="s">
        <v>49</v>
      </c>
      <c r="J62" s="2" t="s">
        <v>50</v>
      </c>
      <c r="K62" s="2" t="s">
        <v>51</v>
      </c>
      <c r="L62" s="2" t="s">
        <v>405</v>
      </c>
      <c r="M62" s="2" t="s">
        <v>52</v>
      </c>
      <c r="N62" s="2" t="s">
        <v>40</v>
      </c>
      <c r="O62" s="2" t="s">
        <v>41</v>
      </c>
      <c r="P62" s="2" t="s">
        <v>53</v>
      </c>
      <c r="Q62" s="2" t="s">
        <v>53</v>
      </c>
      <c r="R62" s="2" t="s">
        <v>41</v>
      </c>
      <c r="S62" s="2" t="s">
        <v>41</v>
      </c>
      <c r="T62" s="2" t="s">
        <v>406</v>
      </c>
      <c r="U62" s="3">
        <v>46197</v>
      </c>
      <c r="V62" s="2" t="s">
        <v>124</v>
      </c>
      <c r="W62" s="2" t="s">
        <v>126</v>
      </c>
      <c r="X62" s="2" t="s">
        <v>125</v>
      </c>
      <c r="Y62" s="2" t="s">
        <v>127</v>
      </c>
      <c r="Z62" s="2" t="s">
        <v>127</v>
      </c>
      <c r="AA62" s="2" t="s">
        <v>407</v>
      </c>
      <c r="AB62" s="2" t="s">
        <v>129</v>
      </c>
      <c r="AC62" s="2" t="s">
        <v>408</v>
      </c>
    </row>
    <row r="63" spans="1:29" ht="20.100000000000001" customHeight="1">
      <c r="A63" s="2" t="s">
        <v>409</v>
      </c>
      <c r="B63" s="2" t="s">
        <v>410</v>
      </c>
      <c r="C63" s="2" t="str">
        <f>sheet1[[#This Row],[Nombre]]&amp;sheet1[[#This Row],[Bp Id]]</f>
        <v>Decisión CloudITM0001</v>
      </c>
      <c r="D63" s="2" t="str">
        <f>VLOOKUP(sheet1[[#This Row],[Columna1]],sheet13[[Columna1]:[Estado]],4,FALSE)</f>
        <v>Operativo</v>
      </c>
      <c r="E63" s="2" t="s">
        <v>139</v>
      </c>
      <c r="F63" s="2" t="s">
        <v>32</v>
      </c>
      <c r="G63" s="2" t="s">
        <v>48</v>
      </c>
      <c r="H63" s="2" t="s">
        <v>59</v>
      </c>
      <c r="I63" s="2" t="s">
        <v>107</v>
      </c>
      <c r="J63" s="2" t="s">
        <v>411</v>
      </c>
      <c r="K63" s="2" t="s">
        <v>176</v>
      </c>
      <c r="L63" s="2" t="s">
        <v>412</v>
      </c>
      <c r="M63" s="2" t="s">
        <v>111</v>
      </c>
      <c r="N63" s="2" t="s">
        <v>40</v>
      </c>
      <c r="O63" s="2" t="s">
        <v>41</v>
      </c>
      <c r="P63" s="2" t="s">
        <v>64</v>
      </c>
      <c r="Q63" s="2" t="s">
        <v>64</v>
      </c>
      <c r="R63" s="2" t="s">
        <v>41</v>
      </c>
      <c r="S63" s="2" t="s">
        <v>41</v>
      </c>
      <c r="T63" s="2"/>
      <c r="U63" s="3">
        <v>46035</v>
      </c>
      <c r="V63" s="2" t="s">
        <v>413</v>
      </c>
      <c r="W63" s="2" t="s">
        <v>375</v>
      </c>
      <c r="X63" s="2" t="s">
        <v>179</v>
      </c>
      <c r="Y63" s="2" t="s">
        <v>127</v>
      </c>
      <c r="Z63" s="2" t="s">
        <v>127</v>
      </c>
      <c r="AA63" s="2" t="s">
        <v>414</v>
      </c>
      <c r="AB63" s="2" t="s">
        <v>415</v>
      </c>
      <c r="AC63" s="2" t="s">
        <v>416</v>
      </c>
    </row>
    <row r="64" spans="1:29" ht="14.45" customHeight="1">
      <c r="A64" s="2" t="s">
        <v>417</v>
      </c>
      <c r="B64" s="2" t="s">
        <v>418</v>
      </c>
      <c r="C64" s="2" t="str">
        <f>sheet1[[#This Row],[Nombre]]&amp;sheet1[[#This Row],[Bp Id]]</f>
        <v>Deep Discovery AnalyzerSEC0012</v>
      </c>
      <c r="D64" s="2" t="str">
        <f>VLOOKUP(sheet1[[#This Row],[Columna1]],sheet13[[Columna1]:[Estado]],4,FALSE)</f>
        <v>Retirado</v>
      </c>
      <c r="E64" s="2" t="s">
        <v>419</v>
      </c>
      <c r="F64" s="2" t="s">
        <v>47</v>
      </c>
      <c r="G64" s="2" t="s">
        <v>48</v>
      </c>
      <c r="H64" s="2" t="s">
        <v>34</v>
      </c>
      <c r="I64" s="2" t="s">
        <v>107</v>
      </c>
      <c r="J64" s="2" t="s">
        <v>272</v>
      </c>
      <c r="K64" s="2" t="s">
        <v>176</v>
      </c>
      <c r="L64" s="2" t="s">
        <v>420</v>
      </c>
      <c r="M64" s="2" t="s">
        <v>111</v>
      </c>
      <c r="N64" s="2" t="s">
        <v>40</v>
      </c>
      <c r="O64" s="2" t="s">
        <v>41</v>
      </c>
      <c r="P64" s="2" t="s">
        <v>53</v>
      </c>
      <c r="Q64" s="2" t="s">
        <v>53</v>
      </c>
      <c r="R64" s="2" t="s">
        <v>41</v>
      </c>
      <c r="S64" s="2" t="s">
        <v>43</v>
      </c>
      <c r="T64" s="2"/>
      <c r="U64" s="3"/>
      <c r="V64" s="2"/>
      <c r="W64" s="2"/>
      <c r="X64" s="2"/>
      <c r="Y64" s="2"/>
      <c r="Z64" s="2"/>
      <c r="AA64" s="2"/>
      <c r="AB64" s="2"/>
      <c r="AC64" s="2"/>
    </row>
    <row r="65" spans="1:29" ht="14.45" customHeight="1">
      <c r="A65" s="2" t="s">
        <v>421</v>
      </c>
      <c r="B65" s="2" t="s">
        <v>422</v>
      </c>
      <c r="C65" s="2" t="str">
        <f>sheet1[[#This Row],[Nombre]]&amp;sheet1[[#This Row],[Bp Id]]</f>
        <v>Deep Discovery InspectorSEC0013</v>
      </c>
      <c r="D65" s="2" t="str">
        <f>VLOOKUP(sheet1[[#This Row],[Columna1]],sheet13[[Columna1]:[Estado]],4,FALSE)</f>
        <v>Retirado</v>
      </c>
      <c r="E65" s="2" t="s">
        <v>419</v>
      </c>
      <c r="F65" s="2" t="s">
        <v>47</v>
      </c>
      <c r="G65" s="2" t="s">
        <v>48</v>
      </c>
      <c r="H65" s="2" t="s">
        <v>34</v>
      </c>
      <c r="I65" s="2" t="s">
        <v>107</v>
      </c>
      <c r="J65" s="2" t="s">
        <v>272</v>
      </c>
      <c r="K65" s="2" t="s">
        <v>176</v>
      </c>
      <c r="L65" s="2" t="s">
        <v>175</v>
      </c>
      <c r="M65" s="2" t="s">
        <v>111</v>
      </c>
      <c r="N65" s="2" t="s">
        <v>40</v>
      </c>
      <c r="O65" s="2" t="s">
        <v>41</v>
      </c>
      <c r="P65" s="2" t="s">
        <v>53</v>
      </c>
      <c r="Q65" s="2" t="s">
        <v>53</v>
      </c>
      <c r="R65" s="2" t="s">
        <v>41</v>
      </c>
      <c r="S65" s="2" t="s">
        <v>43</v>
      </c>
      <c r="T65" s="2"/>
      <c r="U65" s="3"/>
      <c r="V65" s="2"/>
      <c r="W65" s="2"/>
      <c r="X65" s="2"/>
      <c r="Y65" s="2"/>
      <c r="Z65" s="2"/>
      <c r="AA65" s="2"/>
      <c r="AB65" s="2"/>
      <c r="AC65" s="2"/>
    </row>
    <row r="66" spans="1:29" ht="14.45" customHeight="1">
      <c r="A66" s="2" t="s">
        <v>423</v>
      </c>
      <c r="B66" s="2" t="s">
        <v>424</v>
      </c>
      <c r="C66" s="2" t="str">
        <f>sheet1[[#This Row],[Nombre]]&amp;sheet1[[#This Row],[Bp Id]]</f>
        <v>Deep SecuritySEC0014</v>
      </c>
      <c r="D66" s="2" t="str">
        <f>VLOOKUP(sheet1[[#This Row],[Columna1]],sheet13[[Columna1]:[Estado]],4,FALSE)</f>
        <v>Operativo</v>
      </c>
      <c r="E66" s="2" t="s">
        <v>419</v>
      </c>
      <c r="F66" s="2" t="s">
        <v>32</v>
      </c>
      <c r="G66" s="2" t="s">
        <v>48</v>
      </c>
      <c r="H66" s="2" t="s">
        <v>34</v>
      </c>
      <c r="I66" s="2" t="s">
        <v>107</v>
      </c>
      <c r="J66" s="2" t="s">
        <v>175</v>
      </c>
      <c r="K66" s="2" t="s">
        <v>176</v>
      </c>
      <c r="L66" s="2" t="s">
        <v>185</v>
      </c>
      <c r="M66" s="2" t="s">
        <v>111</v>
      </c>
      <c r="N66" s="2" t="s">
        <v>40</v>
      </c>
      <c r="O66" s="2" t="s">
        <v>41</v>
      </c>
      <c r="P66" s="2" t="s">
        <v>42</v>
      </c>
      <c r="Q66" s="2" t="s">
        <v>42</v>
      </c>
      <c r="R66" s="2" t="s">
        <v>41</v>
      </c>
      <c r="S66" s="2" t="s">
        <v>41</v>
      </c>
      <c r="T66" s="2" t="s">
        <v>425</v>
      </c>
      <c r="U66" s="3">
        <v>45736</v>
      </c>
      <c r="V66" s="2"/>
      <c r="W66" s="2" t="s">
        <v>126</v>
      </c>
      <c r="X66" s="2" t="s">
        <v>187</v>
      </c>
      <c r="Y66" s="2" t="s">
        <v>127</v>
      </c>
      <c r="Z66" s="2" t="s">
        <v>127</v>
      </c>
      <c r="AA66" s="2" t="s">
        <v>263</v>
      </c>
      <c r="AB66" s="2" t="s">
        <v>129</v>
      </c>
      <c r="AC66" s="2" t="s">
        <v>426</v>
      </c>
    </row>
    <row r="67" spans="1:29" ht="29.1" customHeight="1">
      <c r="A67" s="2" t="s">
        <v>427</v>
      </c>
      <c r="B67" s="2" t="s">
        <v>428</v>
      </c>
      <c r="C67" s="2" t="str">
        <f>sheet1[[#This Row],[Nombre]]&amp;sheet1[[#This Row],[Bp Id]]</f>
        <v>DepositariosCHL0015</v>
      </c>
      <c r="D67" s="2" t="str">
        <f>VLOOKUP(sheet1[[#This Row],[Columna1]],sheet13[[Columna1]:[Estado]],4,FALSE)</f>
        <v>Operativo</v>
      </c>
      <c r="E67" s="2" t="s">
        <v>429</v>
      </c>
      <c r="F67" s="2" t="s">
        <v>32</v>
      </c>
      <c r="G67" s="2" t="s">
        <v>48</v>
      </c>
      <c r="H67" s="2" t="s">
        <v>34</v>
      </c>
      <c r="I67" s="2" t="s">
        <v>35</v>
      </c>
      <c r="J67" s="2" t="s">
        <v>36</v>
      </c>
      <c r="K67" s="2" t="s">
        <v>381</v>
      </c>
      <c r="L67" s="2" t="s">
        <v>382</v>
      </c>
      <c r="M67" s="2" t="s">
        <v>161</v>
      </c>
      <c r="N67" s="2" t="s">
        <v>40</v>
      </c>
      <c r="O67" s="2" t="s">
        <v>41</v>
      </c>
      <c r="P67" s="2" t="s">
        <v>53</v>
      </c>
      <c r="Q67" s="2" t="s">
        <v>53</v>
      </c>
      <c r="R67" s="2" t="s">
        <v>43</v>
      </c>
      <c r="S67" s="2" t="s">
        <v>43</v>
      </c>
      <c r="T67" s="2"/>
      <c r="U67" s="3"/>
      <c r="V67" s="2"/>
      <c r="W67" s="2"/>
      <c r="X67" s="2"/>
      <c r="Y67" s="2"/>
      <c r="Z67" s="2"/>
      <c r="AA67" s="2"/>
      <c r="AB67" s="2"/>
      <c r="AC67" s="2"/>
    </row>
    <row r="68" spans="1:29" ht="20.100000000000001" customHeight="1">
      <c r="A68" s="2" t="s">
        <v>430</v>
      </c>
      <c r="B68" s="2" t="s">
        <v>431</v>
      </c>
      <c r="C68" s="2" t="str">
        <f>sheet1[[#This Row],[Nombre]]&amp;sheet1[[#This Row],[Bp Id]]</f>
        <v>DESIGNSYSTEMCHL0044</v>
      </c>
      <c r="D68" s="2" t="str">
        <f>VLOOKUP(sheet1[[#This Row],[Columna1]],sheet13[[Columna1]:[Estado]],4,FALSE)</f>
        <v>Operativo</v>
      </c>
      <c r="E68" s="2" t="s">
        <v>432</v>
      </c>
      <c r="F68" s="2" t="s">
        <v>32</v>
      </c>
      <c r="G68" s="2" t="s">
        <v>48</v>
      </c>
      <c r="H68" s="2" t="s">
        <v>59</v>
      </c>
      <c r="I68" s="2" t="s">
        <v>35</v>
      </c>
      <c r="J68" s="2" t="s">
        <v>349</v>
      </c>
      <c r="K68" s="2" t="s">
        <v>433</v>
      </c>
      <c r="L68" s="2" t="s">
        <v>434</v>
      </c>
      <c r="M68" s="2" t="s">
        <v>63</v>
      </c>
      <c r="N68" s="2" t="s">
        <v>40</v>
      </c>
      <c r="O68" s="2" t="s">
        <v>41</v>
      </c>
      <c r="P68" s="2" t="s">
        <v>64</v>
      </c>
      <c r="Q68" s="2" t="s">
        <v>64</v>
      </c>
      <c r="R68" s="2" t="s">
        <v>43</v>
      </c>
      <c r="S68" s="2" t="s">
        <v>43</v>
      </c>
      <c r="T68" s="2"/>
      <c r="U68" s="3"/>
      <c r="V68" s="2"/>
      <c r="W68" s="2"/>
      <c r="X68" s="2"/>
      <c r="Y68" s="2"/>
      <c r="Z68" s="2"/>
      <c r="AA68" s="2"/>
      <c r="AB68" s="2"/>
      <c r="AC68" s="2"/>
    </row>
    <row r="69" spans="1:29" ht="20.100000000000001" customHeight="1">
      <c r="A69" s="2" t="s">
        <v>435</v>
      </c>
      <c r="B69" s="2" t="s">
        <v>436</v>
      </c>
      <c r="C69" s="2" t="str">
        <f>sheet1[[#This Row],[Nombre]]&amp;sheet1[[#This Row],[Bp Id]]</f>
        <v>Detect IDSEC0015</v>
      </c>
      <c r="D69" s="2" t="str">
        <f>VLOOKUP(sheet1[[#This Row],[Columna1]],sheet13[[Columna1]:[Estado]],4,FALSE)</f>
        <v>Operativo</v>
      </c>
      <c r="E69" s="2" t="s">
        <v>437</v>
      </c>
      <c r="F69" s="2" t="s">
        <v>32</v>
      </c>
      <c r="G69" s="2" t="s">
        <v>123</v>
      </c>
      <c r="H69" s="2" t="s">
        <v>34</v>
      </c>
      <c r="I69" s="2" t="s">
        <v>258</v>
      </c>
      <c r="J69" s="2" t="s">
        <v>214</v>
      </c>
      <c r="K69" s="2" t="s">
        <v>438</v>
      </c>
      <c r="L69" s="2" t="s">
        <v>261</v>
      </c>
      <c r="M69" s="2" t="s">
        <v>39</v>
      </c>
      <c r="N69" s="2" t="s">
        <v>40</v>
      </c>
      <c r="O69" s="2" t="s">
        <v>41</v>
      </c>
      <c r="P69" s="2" t="s">
        <v>53</v>
      </c>
      <c r="Q69" s="2" t="s">
        <v>53</v>
      </c>
      <c r="R69" s="2" t="s">
        <v>41</v>
      </c>
      <c r="S69" s="2" t="s">
        <v>41</v>
      </c>
      <c r="T69" s="2" t="s">
        <v>439</v>
      </c>
      <c r="U69" s="3">
        <v>45200</v>
      </c>
      <c r="V69" s="2" t="s">
        <v>440</v>
      </c>
      <c r="W69" s="2" t="s">
        <v>179</v>
      </c>
      <c r="X69" s="2" t="s">
        <v>187</v>
      </c>
      <c r="Y69" s="2" t="s">
        <v>147</v>
      </c>
      <c r="Z69" s="2" t="s">
        <v>127</v>
      </c>
      <c r="AA69" s="2" t="s">
        <v>180</v>
      </c>
      <c r="AB69" s="2" t="s">
        <v>129</v>
      </c>
      <c r="AC69" s="2" t="s">
        <v>441</v>
      </c>
    </row>
    <row r="70" spans="1:29" ht="20.100000000000001" customHeight="1">
      <c r="A70" s="2" t="s">
        <v>442</v>
      </c>
      <c r="B70" s="2" t="s">
        <v>443</v>
      </c>
      <c r="C70" s="2" t="str">
        <f>sheet1[[#This Row],[Nombre]]&amp;sheet1[[#This Row],[Bp Id]]</f>
        <v>Deuna MicrocomerciosCHL0041</v>
      </c>
      <c r="D70" s="2" t="str">
        <f>VLOOKUP(sheet1[[#This Row],[Columna1]],sheet13[[Columna1]:[Estado]],4,FALSE)</f>
        <v>Operativo</v>
      </c>
      <c r="E70" s="2" t="s">
        <v>444</v>
      </c>
      <c r="F70" s="2" t="s">
        <v>32</v>
      </c>
      <c r="G70" s="2" t="s">
        <v>48</v>
      </c>
      <c r="H70" s="2" t="s">
        <v>59</v>
      </c>
      <c r="I70" s="2" t="s">
        <v>208</v>
      </c>
      <c r="J70" s="2" t="s">
        <v>209</v>
      </c>
      <c r="K70" s="2" t="s">
        <v>445</v>
      </c>
      <c r="L70" s="2" t="s">
        <v>209</v>
      </c>
      <c r="M70" s="2" t="s">
        <v>52</v>
      </c>
      <c r="N70" s="2" t="s">
        <v>91</v>
      </c>
      <c r="O70" s="2" t="s">
        <v>41</v>
      </c>
      <c r="P70" s="2" t="s">
        <v>53</v>
      </c>
      <c r="Q70" s="2" t="s">
        <v>53</v>
      </c>
      <c r="R70" s="2" t="s">
        <v>43</v>
      </c>
      <c r="S70" s="2" t="s">
        <v>43</v>
      </c>
      <c r="T70" s="2"/>
      <c r="U70" s="3"/>
      <c r="V70" s="2"/>
      <c r="W70" s="2"/>
      <c r="X70" s="2"/>
      <c r="Y70" s="2"/>
      <c r="Z70" s="2"/>
      <c r="AA70" s="2"/>
      <c r="AB70" s="2"/>
      <c r="AC70" s="2"/>
    </row>
    <row r="71" spans="1:29" ht="20.100000000000001" customHeight="1">
      <c r="A71" s="2" t="s">
        <v>446</v>
      </c>
      <c r="B71" s="2" t="s">
        <v>447</v>
      </c>
      <c r="C71" s="2" t="str">
        <f>sheet1[[#This Row],[Nombre]]&amp;sheet1[[#This Row],[Bp Id]]</f>
        <v>AnsibleTIE0024</v>
      </c>
      <c r="D71" s="2" t="str">
        <f>VLOOKUP(sheet1[[#This Row],[Columna1]],sheet13[[Columna1]:[Estado]],4,FALSE)</f>
        <v>Operativo</v>
      </c>
      <c r="E71" s="2" t="s">
        <v>448</v>
      </c>
      <c r="F71" s="2" t="s">
        <v>32</v>
      </c>
      <c r="G71" s="2" t="s">
        <v>48</v>
      </c>
      <c r="H71" s="2" t="s">
        <v>34</v>
      </c>
      <c r="I71" s="2" t="s">
        <v>449</v>
      </c>
      <c r="J71" s="2" t="s">
        <v>450</v>
      </c>
      <c r="K71" s="2" t="s">
        <v>450</v>
      </c>
      <c r="L71" s="2" t="s">
        <v>451</v>
      </c>
      <c r="M71" s="2" t="s">
        <v>52</v>
      </c>
      <c r="N71" s="2" t="s">
        <v>40</v>
      </c>
      <c r="O71" s="2" t="s">
        <v>41</v>
      </c>
      <c r="P71" s="2" t="s">
        <v>64</v>
      </c>
      <c r="Q71" s="2" t="s">
        <v>53</v>
      </c>
      <c r="R71" s="2" t="s">
        <v>43</v>
      </c>
      <c r="S71" s="2" t="s">
        <v>43</v>
      </c>
      <c r="T71" s="2"/>
      <c r="U71" s="3"/>
      <c r="V71" s="2"/>
      <c r="W71" s="2"/>
      <c r="X71" s="2"/>
      <c r="Y71" s="2"/>
      <c r="Z71" s="2"/>
      <c r="AA71" s="2"/>
      <c r="AB71" s="2"/>
      <c r="AC71" s="2"/>
    </row>
    <row r="72" spans="1:29" ht="14.45" customHeight="1">
      <c r="A72" s="2" t="s">
        <v>452</v>
      </c>
      <c r="B72" s="2" t="s">
        <v>453</v>
      </c>
      <c r="C72" s="2" t="str">
        <f>sheet1[[#This Row],[Nombre]]&amp;sheet1[[#This Row],[Bp Id]]</f>
        <v>AntiDDoS RadwareSEC0052</v>
      </c>
      <c r="D72" s="2" t="str">
        <f>VLOOKUP(sheet1[[#This Row],[Columna1]],sheet13[[Columna1]:[Estado]],4,FALSE)</f>
        <v>Operativo</v>
      </c>
      <c r="E72" s="2" t="s">
        <v>454</v>
      </c>
      <c r="F72" s="2" t="s">
        <v>32</v>
      </c>
      <c r="G72" s="2" t="s">
        <v>123</v>
      </c>
      <c r="H72" s="2" t="s">
        <v>59</v>
      </c>
      <c r="I72" s="2" t="s">
        <v>107</v>
      </c>
      <c r="J72" s="2" t="s">
        <v>185</v>
      </c>
      <c r="K72" s="2" t="s">
        <v>176</v>
      </c>
      <c r="L72" s="2" t="s">
        <v>177</v>
      </c>
      <c r="M72" s="2" t="s">
        <v>111</v>
      </c>
      <c r="N72" s="2" t="s">
        <v>40</v>
      </c>
      <c r="O72" s="2" t="s">
        <v>41</v>
      </c>
      <c r="P72" s="2" t="s">
        <v>64</v>
      </c>
      <c r="Q72" s="2" t="s">
        <v>64</v>
      </c>
      <c r="R72" s="2" t="s">
        <v>41</v>
      </c>
      <c r="S72" s="2" t="s">
        <v>41</v>
      </c>
      <c r="T72" s="2" t="s">
        <v>455</v>
      </c>
      <c r="U72" s="3">
        <v>46140</v>
      </c>
      <c r="V72" s="2"/>
      <c r="W72" s="2" t="s">
        <v>179</v>
      </c>
      <c r="X72" s="2" t="s">
        <v>369</v>
      </c>
      <c r="Y72" s="2"/>
      <c r="Z72" s="2"/>
      <c r="AA72" s="2" t="s">
        <v>456</v>
      </c>
      <c r="AB72" s="2"/>
      <c r="AC72" s="2" t="s">
        <v>457</v>
      </c>
    </row>
    <row r="73" spans="1:29" ht="20.100000000000001" customHeight="1">
      <c r="A73" s="2" t="s">
        <v>458</v>
      </c>
      <c r="B73" s="2" t="s">
        <v>459</v>
      </c>
      <c r="C73" s="2" t="str">
        <f>sheet1[[#This Row],[Nombre]]&amp;sheet1[[#This Row],[Bp Id]]</f>
        <v>AntiSpamSEC0003</v>
      </c>
      <c r="D73" s="2" t="str">
        <f>VLOOKUP(sheet1[[#This Row],[Columna1]],sheet13[[Columna1]:[Estado]],4,FALSE)</f>
        <v>Retirado</v>
      </c>
      <c r="E73" s="2" t="s">
        <v>458</v>
      </c>
      <c r="F73" s="2" t="s">
        <v>47</v>
      </c>
      <c r="G73" s="2" t="s">
        <v>48</v>
      </c>
      <c r="H73" s="2" t="s">
        <v>59</v>
      </c>
      <c r="I73" s="2" t="s">
        <v>107</v>
      </c>
      <c r="J73" s="2" t="s">
        <v>272</v>
      </c>
      <c r="K73" s="2" t="s">
        <v>176</v>
      </c>
      <c r="L73" s="2" t="s">
        <v>272</v>
      </c>
      <c r="M73" s="2" t="s">
        <v>111</v>
      </c>
      <c r="N73" s="2" t="s">
        <v>40</v>
      </c>
      <c r="O73" s="2" t="s">
        <v>41</v>
      </c>
      <c r="P73" s="2" t="s">
        <v>53</v>
      </c>
      <c r="Q73" s="2" t="s">
        <v>53</v>
      </c>
      <c r="R73" s="2" t="s">
        <v>41</v>
      </c>
      <c r="S73" s="2" t="s">
        <v>43</v>
      </c>
      <c r="T73" s="2"/>
      <c r="U73" s="3"/>
      <c r="V73" s="2"/>
      <c r="W73" s="2"/>
      <c r="X73" s="2"/>
      <c r="Y73" s="2"/>
      <c r="Z73" s="2"/>
      <c r="AA73" s="2"/>
      <c r="AB73" s="2"/>
      <c r="AC73" s="2"/>
    </row>
    <row r="74" spans="1:29" ht="20.100000000000001" customHeight="1">
      <c r="A74" s="2" t="s">
        <v>460</v>
      </c>
      <c r="B74" s="2" t="s">
        <v>461</v>
      </c>
      <c r="C74" s="2" t="str">
        <f>sheet1[[#This Row],[Nombre]]&amp;sheet1[[#This Row],[Bp Id]]</f>
        <v>APEXSEC0064</v>
      </c>
      <c r="D74" s="2" t="str">
        <f>VLOOKUP(sheet1[[#This Row],[Columna1]],sheet13[[Columna1]:[Estado]],4,FALSE)</f>
        <v>Operativo</v>
      </c>
      <c r="E74" s="2" t="s">
        <v>462</v>
      </c>
      <c r="F74" s="2" t="s">
        <v>32</v>
      </c>
      <c r="G74" s="2" t="s">
        <v>123</v>
      </c>
      <c r="H74" s="2" t="s">
        <v>59</v>
      </c>
      <c r="I74" s="2" t="s">
        <v>258</v>
      </c>
      <c r="J74" s="2" t="s">
        <v>259</v>
      </c>
      <c r="K74" s="2" t="s">
        <v>260</v>
      </c>
      <c r="L74" s="2" t="s">
        <v>261</v>
      </c>
      <c r="M74" s="2" t="s">
        <v>111</v>
      </c>
      <c r="N74" s="2" t="s">
        <v>40</v>
      </c>
      <c r="O74" s="2" t="s">
        <v>41</v>
      </c>
      <c r="P74" s="2" t="s">
        <v>53</v>
      </c>
      <c r="Q74" s="2" t="s">
        <v>53</v>
      </c>
      <c r="R74" s="2" t="s">
        <v>41</v>
      </c>
      <c r="S74" s="2" t="s">
        <v>43</v>
      </c>
      <c r="T74" s="2"/>
      <c r="U74" s="3"/>
      <c r="V74" s="2"/>
      <c r="W74" s="2"/>
      <c r="X74" s="2"/>
      <c r="Y74" s="2"/>
      <c r="Z74" s="2"/>
      <c r="AA74" s="2"/>
      <c r="AB74" s="2"/>
      <c r="AC74" s="2"/>
    </row>
    <row r="75" spans="1:29" ht="20.100000000000001" customHeight="1">
      <c r="A75" s="2" t="s">
        <v>463</v>
      </c>
      <c r="B75" s="2" t="s">
        <v>464</v>
      </c>
      <c r="C75" s="2" t="str">
        <f>sheet1[[#This Row],[Nombre]]&amp;sheet1[[#This Row],[Bp Id]]</f>
        <v>ApigeeINT0004</v>
      </c>
      <c r="D75" s="2" t="str">
        <f>VLOOKUP(sheet1[[#This Row],[Columna1]],sheet13[[Columna1]:[Estado]],4,FALSE)</f>
        <v>Operativo</v>
      </c>
      <c r="E75" s="2" t="s">
        <v>465</v>
      </c>
      <c r="F75" s="2" t="s">
        <v>32</v>
      </c>
      <c r="G75" s="2" t="s">
        <v>123</v>
      </c>
      <c r="H75" s="2" t="s">
        <v>59</v>
      </c>
      <c r="I75" s="2" t="s">
        <v>49</v>
      </c>
      <c r="J75" s="2" t="s">
        <v>466</v>
      </c>
      <c r="K75" s="2" t="s">
        <v>467</v>
      </c>
      <c r="L75" s="2" t="s">
        <v>340</v>
      </c>
      <c r="M75" s="2" t="s">
        <v>52</v>
      </c>
      <c r="N75" s="2" t="s">
        <v>40</v>
      </c>
      <c r="O75" s="2" t="s">
        <v>41</v>
      </c>
      <c r="P75" s="2" t="s">
        <v>53</v>
      </c>
      <c r="Q75" s="2" t="s">
        <v>53</v>
      </c>
      <c r="R75" s="2" t="s">
        <v>41</v>
      </c>
      <c r="S75" s="2" t="s">
        <v>41</v>
      </c>
      <c r="T75" s="2"/>
      <c r="U75" s="3">
        <v>46007</v>
      </c>
      <c r="V75" s="2" t="s">
        <v>468</v>
      </c>
      <c r="W75" s="2" t="s">
        <v>253</v>
      </c>
      <c r="X75" s="2" t="s">
        <v>375</v>
      </c>
      <c r="Y75" s="2" t="s">
        <v>127</v>
      </c>
      <c r="Z75" s="2" t="s">
        <v>127</v>
      </c>
      <c r="AA75" s="2" t="s">
        <v>180</v>
      </c>
      <c r="AB75" s="2" t="s">
        <v>129</v>
      </c>
      <c r="AC75" s="2" t="s">
        <v>469</v>
      </c>
    </row>
    <row r="76" spans="1:29" ht="20.100000000000001" customHeight="1">
      <c r="A76" s="2" t="s">
        <v>470</v>
      </c>
      <c r="B76" s="2" t="s">
        <v>471</v>
      </c>
      <c r="C76" s="2" t="str">
        <f>sheet1[[#This Row],[Nombre]]&amp;sheet1[[#This Row],[Bp Id]]</f>
        <v>APIMINT0016</v>
      </c>
      <c r="D76" s="2" t="str">
        <f>VLOOKUP(sheet1[[#This Row],[Columna1]],sheet13[[Columna1]:[Estado]],4,FALSE)</f>
        <v>Operativo</v>
      </c>
      <c r="E76" s="2" t="s">
        <v>472</v>
      </c>
      <c r="F76" s="2" t="s">
        <v>32</v>
      </c>
      <c r="G76" s="2" t="s">
        <v>123</v>
      </c>
      <c r="H76" s="2" t="s">
        <v>59</v>
      </c>
      <c r="I76" s="2" t="s">
        <v>49</v>
      </c>
      <c r="J76" s="2" t="s">
        <v>50</v>
      </c>
      <c r="K76" s="2" t="s">
        <v>467</v>
      </c>
      <c r="L76" s="2" t="s">
        <v>473</v>
      </c>
      <c r="M76" s="2" t="s">
        <v>52</v>
      </c>
      <c r="N76" s="2" t="s">
        <v>40</v>
      </c>
      <c r="O76" s="2" t="s">
        <v>41</v>
      </c>
      <c r="P76" s="2" t="s">
        <v>64</v>
      </c>
      <c r="Q76" s="2" t="s">
        <v>64</v>
      </c>
      <c r="R76" s="2" t="s">
        <v>41</v>
      </c>
      <c r="S76" s="2" t="s">
        <v>41</v>
      </c>
      <c r="T76" s="2" t="s">
        <v>474</v>
      </c>
      <c r="U76" s="3">
        <v>46028</v>
      </c>
      <c r="V76" s="2"/>
      <c r="W76" s="2" t="s">
        <v>187</v>
      </c>
      <c r="X76" s="2" t="s">
        <v>369</v>
      </c>
      <c r="Y76" s="2" t="s">
        <v>376</v>
      </c>
      <c r="Z76" s="2" t="s">
        <v>376</v>
      </c>
      <c r="AA76" s="2" t="s">
        <v>263</v>
      </c>
      <c r="AB76" s="2" t="s">
        <v>129</v>
      </c>
      <c r="AC76" s="2" t="s">
        <v>475</v>
      </c>
    </row>
    <row r="77" spans="1:29" ht="29.1" customHeight="1">
      <c r="A77" s="2" t="s">
        <v>476</v>
      </c>
      <c r="B77" s="2" t="s">
        <v>477</v>
      </c>
      <c r="C77" s="2" t="str">
        <f>sheet1[[#This Row],[Nombre]]&amp;sheet1[[#This Row],[Bp Id]]</f>
        <v>AppsflyerCUS0001</v>
      </c>
      <c r="D77" s="2" t="str">
        <f>VLOOKUP(sheet1[[#This Row],[Columna1]],sheet13[[Columna1]:[Estado]],4,FALSE)</f>
        <v>Retirado</v>
      </c>
      <c r="E77" s="2" t="s">
        <v>478</v>
      </c>
      <c r="F77" s="2" t="s">
        <v>47</v>
      </c>
      <c r="G77" s="2" t="s">
        <v>48</v>
      </c>
      <c r="H77" s="2" t="s">
        <v>59</v>
      </c>
      <c r="I77" s="2" t="s">
        <v>134</v>
      </c>
      <c r="J77" s="2" t="s">
        <v>88</v>
      </c>
      <c r="K77" s="2" t="s">
        <v>479</v>
      </c>
      <c r="L77" s="2" t="s">
        <v>480</v>
      </c>
      <c r="M77" s="2" t="s">
        <v>52</v>
      </c>
      <c r="N77" s="2" t="s">
        <v>40</v>
      </c>
      <c r="O77" s="2" t="s">
        <v>41</v>
      </c>
      <c r="P77" s="2" t="s">
        <v>42</v>
      </c>
      <c r="Q77" s="2" t="s">
        <v>42</v>
      </c>
      <c r="R77" s="2" t="s">
        <v>43</v>
      </c>
      <c r="S77" s="2" t="s">
        <v>43</v>
      </c>
      <c r="T77" s="2"/>
      <c r="U77" s="3"/>
      <c r="V77" s="2"/>
      <c r="W77" s="2"/>
      <c r="X77" s="2"/>
      <c r="Y77" s="2"/>
      <c r="Z77" s="2"/>
      <c r="AA77" s="2"/>
      <c r="AB77" s="2"/>
      <c r="AC77" s="2"/>
    </row>
    <row r="78" spans="1:29" ht="20.100000000000001" customHeight="1">
      <c r="A78" s="2" t="s">
        <v>481</v>
      </c>
      <c r="B78" s="2" t="s">
        <v>482</v>
      </c>
      <c r="C78" s="2" t="str">
        <f>sheet1[[#This Row],[Nombre]]&amp;sheet1[[#This Row],[Bp Id]]</f>
        <v>AtallaSEC0004</v>
      </c>
      <c r="D78" s="2" t="str">
        <f>VLOOKUP(sheet1[[#This Row],[Columna1]],sheet13[[Columna1]:[Estado]],4,FALSE)</f>
        <v>Operativo</v>
      </c>
      <c r="E78" s="2" t="s">
        <v>483</v>
      </c>
      <c r="F78" s="2" t="s">
        <v>32</v>
      </c>
      <c r="G78" s="2" t="s">
        <v>123</v>
      </c>
      <c r="H78" s="2" t="s">
        <v>34</v>
      </c>
      <c r="I78" s="2" t="s">
        <v>107</v>
      </c>
      <c r="J78" s="2" t="s">
        <v>175</v>
      </c>
      <c r="K78" s="2" t="s">
        <v>176</v>
      </c>
      <c r="L78" s="2" t="s">
        <v>185</v>
      </c>
      <c r="M78" s="2" t="s">
        <v>111</v>
      </c>
      <c r="N78" s="2" t="s">
        <v>40</v>
      </c>
      <c r="O78" s="2" t="s">
        <v>43</v>
      </c>
      <c r="P78" s="2" t="s">
        <v>53</v>
      </c>
      <c r="Q78" s="2" t="s">
        <v>53</v>
      </c>
      <c r="R78" s="2" t="s">
        <v>43</v>
      </c>
      <c r="S78" s="2" t="s">
        <v>43</v>
      </c>
      <c r="T78" s="2"/>
      <c r="U78" s="3"/>
      <c r="V78" s="2"/>
      <c r="W78" s="2"/>
      <c r="X78" s="2"/>
      <c r="Y78" s="2"/>
      <c r="Z78" s="2"/>
      <c r="AA78" s="2"/>
      <c r="AB78" s="2"/>
      <c r="AC78" s="2"/>
    </row>
    <row r="79" spans="1:29" ht="14.45" customHeight="1">
      <c r="A79" s="2" t="s">
        <v>484</v>
      </c>
      <c r="B79" s="2" t="s">
        <v>485</v>
      </c>
      <c r="C79" s="2" t="str">
        <f>sheet1[[#This Row],[Nombre]]&amp;sheet1[[#This Row],[Bp Id]]</f>
        <v>AthentoTIE0025</v>
      </c>
      <c r="D79" s="2" t="str">
        <f>VLOOKUP(sheet1[[#This Row],[Columna1]],sheet13[[Columna1]:[Estado]],4,FALSE)</f>
        <v>Operativo</v>
      </c>
      <c r="E79" s="2" t="s">
        <v>486</v>
      </c>
      <c r="F79" s="2" t="s">
        <v>32</v>
      </c>
      <c r="G79" s="2" t="s">
        <v>48</v>
      </c>
      <c r="H79" s="2" t="s">
        <v>140</v>
      </c>
      <c r="I79" s="2" t="s">
        <v>487</v>
      </c>
      <c r="J79" s="2" t="s">
        <v>488</v>
      </c>
      <c r="K79" s="2" t="s">
        <v>489</v>
      </c>
      <c r="L79" s="2" t="s">
        <v>490</v>
      </c>
      <c r="M79" s="2" t="s">
        <v>39</v>
      </c>
      <c r="N79" s="2" t="s">
        <v>40</v>
      </c>
      <c r="O79" s="2" t="s">
        <v>41</v>
      </c>
      <c r="P79" s="2" t="s">
        <v>64</v>
      </c>
      <c r="Q79" s="2" t="s">
        <v>53</v>
      </c>
      <c r="R79" s="2" t="s">
        <v>41</v>
      </c>
      <c r="S79" s="2" t="s">
        <v>41</v>
      </c>
      <c r="T79" s="2"/>
      <c r="U79" s="3">
        <v>46107</v>
      </c>
      <c r="V79" s="2" t="s">
        <v>491</v>
      </c>
      <c r="W79" s="2" t="s">
        <v>126</v>
      </c>
      <c r="X79" s="2"/>
      <c r="Y79" s="2" t="s">
        <v>363</v>
      </c>
      <c r="Z79" s="2" t="s">
        <v>363</v>
      </c>
      <c r="AA79" s="2"/>
      <c r="AB79" s="2" t="s">
        <v>415</v>
      </c>
      <c r="AC79" s="2"/>
    </row>
    <row r="80" spans="1:29" ht="29.1" customHeight="1">
      <c r="A80" s="2" t="s">
        <v>492</v>
      </c>
      <c r="B80" s="2" t="s">
        <v>493</v>
      </c>
      <c r="C80" s="2" t="str">
        <f>sheet1[[#This Row],[Nombre]]&amp;sheet1[[#This Row],[Bp Id]]</f>
        <v>ATMCampaniasCUS0002</v>
      </c>
      <c r="D80" s="2" t="str">
        <f>VLOOKUP(sheet1[[#This Row],[Columna1]],sheet13[[Columna1]:[Estado]],4,FALSE)</f>
        <v>Retirado</v>
      </c>
      <c r="E80" s="2" t="s">
        <v>494</v>
      </c>
      <c r="F80" s="2" t="s">
        <v>47</v>
      </c>
      <c r="G80" s="2" t="s">
        <v>48</v>
      </c>
      <c r="H80" s="2" t="s">
        <v>34</v>
      </c>
      <c r="I80" s="2" t="s">
        <v>134</v>
      </c>
      <c r="J80" s="2" t="s">
        <v>88</v>
      </c>
      <c r="K80" s="2" t="s">
        <v>234</v>
      </c>
      <c r="L80" s="2" t="s">
        <v>480</v>
      </c>
      <c r="M80" s="2" t="s">
        <v>296</v>
      </c>
      <c r="N80" s="2" t="s">
        <v>40</v>
      </c>
      <c r="O80" s="2" t="s">
        <v>41</v>
      </c>
      <c r="P80" s="2" t="s">
        <v>53</v>
      </c>
      <c r="Q80" s="2" t="s">
        <v>53</v>
      </c>
      <c r="R80" s="2" t="s">
        <v>43</v>
      </c>
      <c r="S80" s="2" t="s">
        <v>43</v>
      </c>
      <c r="T80" s="2"/>
      <c r="U80" s="3"/>
      <c r="V80" s="2"/>
      <c r="W80" s="2"/>
      <c r="X80" s="2"/>
      <c r="Y80" s="2"/>
      <c r="Z80" s="2"/>
      <c r="AA80" s="2"/>
      <c r="AB80" s="2"/>
      <c r="AC80" s="2"/>
    </row>
    <row r="81" spans="1:29" ht="29.1" customHeight="1">
      <c r="A81" s="2" t="s">
        <v>495</v>
      </c>
      <c r="B81" s="2" t="s">
        <v>496</v>
      </c>
      <c r="C81" s="2" t="str">
        <f>sheet1[[#This Row],[Nombre]]&amp;sheet1[[#This Row],[Bp Id]]</f>
        <v>AURO SUITECOR0003</v>
      </c>
      <c r="D81" s="2" t="str">
        <f>VLOOKUP(sheet1[[#This Row],[Columna1]],sheet13[[Columna1]:[Estado]],4,FALSE)</f>
        <v>Operativo</v>
      </c>
      <c r="E81" s="2" t="s">
        <v>497</v>
      </c>
      <c r="F81" s="2" t="s">
        <v>32</v>
      </c>
      <c r="G81" s="2" t="s">
        <v>76</v>
      </c>
      <c r="H81" s="2" t="s">
        <v>34</v>
      </c>
      <c r="I81" s="2" t="s">
        <v>339</v>
      </c>
      <c r="J81" s="2" t="s">
        <v>50</v>
      </c>
      <c r="K81" s="2" t="s">
        <v>498</v>
      </c>
      <c r="L81" s="2" t="s">
        <v>50</v>
      </c>
      <c r="M81" s="2" t="s">
        <v>39</v>
      </c>
      <c r="N81" s="2" t="s">
        <v>40</v>
      </c>
      <c r="O81" s="2" t="s">
        <v>41</v>
      </c>
      <c r="P81" s="2" t="s">
        <v>42</v>
      </c>
      <c r="Q81" s="2" t="s">
        <v>42</v>
      </c>
      <c r="R81" s="2" t="s">
        <v>41</v>
      </c>
      <c r="S81" s="2" t="s">
        <v>41</v>
      </c>
      <c r="T81" s="2" t="s">
        <v>499</v>
      </c>
      <c r="U81" s="3">
        <v>45200</v>
      </c>
      <c r="V81" s="2"/>
      <c r="W81" s="2" t="s">
        <v>125</v>
      </c>
      <c r="X81" s="2" t="s">
        <v>262</v>
      </c>
      <c r="Y81" s="2" t="s">
        <v>147</v>
      </c>
      <c r="Z81" s="2" t="s">
        <v>147</v>
      </c>
      <c r="AA81" s="2" t="s">
        <v>263</v>
      </c>
      <c r="AB81" s="2" t="s">
        <v>129</v>
      </c>
      <c r="AC81" s="2" t="s">
        <v>500</v>
      </c>
    </row>
    <row r="82" spans="1:29" ht="29.1" customHeight="1">
      <c r="A82" s="2" t="s">
        <v>501</v>
      </c>
      <c r="B82" s="2" t="s">
        <v>502</v>
      </c>
      <c r="C82" s="2" t="str">
        <f>sheet1[[#This Row],[Nombre]]&amp;sheet1[[#This Row],[Bp Id]]</f>
        <v>Auth0SEC0051</v>
      </c>
      <c r="D82" s="2" t="str">
        <f>VLOOKUP(sheet1[[#This Row],[Columna1]],sheet13[[Columna1]:[Estado]],4,FALSE)</f>
        <v>Operativo</v>
      </c>
      <c r="E82" s="2" t="s">
        <v>503</v>
      </c>
      <c r="F82" s="2" t="s">
        <v>32</v>
      </c>
      <c r="G82" s="2" t="s">
        <v>123</v>
      </c>
      <c r="H82" s="2" t="s">
        <v>59</v>
      </c>
      <c r="I82" s="2" t="s">
        <v>258</v>
      </c>
      <c r="J82" s="2" t="s">
        <v>259</v>
      </c>
      <c r="K82" s="2" t="s">
        <v>438</v>
      </c>
      <c r="L82" s="2" t="s">
        <v>261</v>
      </c>
      <c r="M82" s="2" t="s">
        <v>111</v>
      </c>
      <c r="N82" s="2" t="s">
        <v>40</v>
      </c>
      <c r="O82" s="2" t="s">
        <v>41</v>
      </c>
      <c r="P82" s="2" t="s">
        <v>53</v>
      </c>
      <c r="Q82" s="2" t="s">
        <v>53</v>
      </c>
      <c r="R82" s="2" t="s">
        <v>43</v>
      </c>
      <c r="S82" s="2" t="s">
        <v>43</v>
      </c>
      <c r="T82" s="2" t="s">
        <v>504</v>
      </c>
      <c r="U82" s="3">
        <v>46118</v>
      </c>
      <c r="V82" s="2"/>
      <c r="W82" s="2"/>
      <c r="X82" s="2"/>
      <c r="Y82" s="2"/>
      <c r="Z82" s="2"/>
      <c r="AA82" s="2"/>
      <c r="AB82" s="2"/>
      <c r="AC82" s="2"/>
    </row>
    <row r="83" spans="1:29" ht="14.45" customHeight="1">
      <c r="A83" s="2" t="s">
        <v>505</v>
      </c>
      <c r="B83" s="2" t="s">
        <v>506</v>
      </c>
      <c r="C83" s="2" t="str">
        <f>sheet1[[#This Row],[Nombre]]&amp;sheet1[[#This Row],[Bp Id]]</f>
        <v>Automation Anywhere RPATIE0002</v>
      </c>
      <c r="D83" s="2" t="str">
        <f>VLOOKUP(sheet1[[#This Row],[Columna1]],sheet13[[Columna1]:[Estado]],4,FALSE)</f>
        <v>Retirado</v>
      </c>
      <c r="E83" s="2" t="s">
        <v>507</v>
      </c>
      <c r="F83" s="2" t="s">
        <v>47</v>
      </c>
      <c r="G83" s="2" t="s">
        <v>48</v>
      </c>
      <c r="H83" s="2" t="s">
        <v>34</v>
      </c>
      <c r="I83" s="2" t="s">
        <v>487</v>
      </c>
      <c r="J83" s="2" t="s">
        <v>488</v>
      </c>
      <c r="K83" s="2" t="s">
        <v>508</v>
      </c>
      <c r="L83" s="2" t="s">
        <v>509</v>
      </c>
      <c r="M83" s="2" t="s">
        <v>161</v>
      </c>
      <c r="N83" s="2" t="s">
        <v>40</v>
      </c>
      <c r="O83" s="2" t="s">
        <v>41</v>
      </c>
      <c r="P83" s="2" t="s">
        <v>64</v>
      </c>
      <c r="Q83" s="2" t="s">
        <v>64</v>
      </c>
      <c r="R83" s="2" t="s">
        <v>43</v>
      </c>
      <c r="S83" s="2" t="s">
        <v>43</v>
      </c>
      <c r="T83" s="2"/>
      <c r="U83" s="3"/>
      <c r="V83" s="2"/>
      <c r="W83" s="2"/>
      <c r="X83" s="2"/>
      <c r="Y83" s="2"/>
      <c r="Z83" s="2"/>
      <c r="AA83" s="2"/>
      <c r="AB83" s="2"/>
      <c r="AC83" s="2"/>
    </row>
    <row r="84" spans="1:29" ht="20.100000000000001" customHeight="1">
      <c r="A84" s="2" t="s">
        <v>510</v>
      </c>
      <c r="B84" s="2" t="s">
        <v>511</v>
      </c>
      <c r="C84" s="2" t="str">
        <f>sheet1[[#This Row],[Nombre]]&amp;sheet1[[#This Row],[Bp Id]]</f>
        <v>AutorizadorPichinchaSEC0005</v>
      </c>
      <c r="D84" s="2" t="str">
        <f>VLOOKUP(sheet1[[#This Row],[Columna1]],sheet13[[Columna1]:[Estado]],4,FALSE)</f>
        <v>Operativo</v>
      </c>
      <c r="E84" s="2" t="s">
        <v>512</v>
      </c>
      <c r="F84" s="2" t="s">
        <v>32</v>
      </c>
      <c r="G84" s="2" t="s">
        <v>48</v>
      </c>
      <c r="H84" s="2" t="s">
        <v>34</v>
      </c>
      <c r="I84" s="2" t="s">
        <v>258</v>
      </c>
      <c r="J84" s="2" t="s">
        <v>259</v>
      </c>
      <c r="K84" s="2" t="s">
        <v>260</v>
      </c>
      <c r="L84" s="2" t="s">
        <v>261</v>
      </c>
      <c r="M84" s="2" t="s">
        <v>63</v>
      </c>
      <c r="N84" s="2" t="s">
        <v>40</v>
      </c>
      <c r="O84" s="2" t="s">
        <v>41</v>
      </c>
      <c r="P84" s="2" t="s">
        <v>42</v>
      </c>
      <c r="Q84" s="2" t="s">
        <v>42</v>
      </c>
      <c r="R84" s="2" t="s">
        <v>43</v>
      </c>
      <c r="S84" s="2" t="s">
        <v>43</v>
      </c>
      <c r="T84" s="2"/>
      <c r="U84" s="3"/>
      <c r="V84" s="2"/>
      <c r="W84" s="2"/>
      <c r="X84" s="2"/>
      <c r="Y84" s="2"/>
      <c r="Z84" s="2"/>
      <c r="AA84" s="2"/>
      <c r="AB84" s="2"/>
      <c r="AC84" s="2"/>
    </row>
    <row r="85" spans="1:29" ht="20.100000000000001" customHeight="1">
      <c r="A85" s="2" t="s">
        <v>513</v>
      </c>
      <c r="B85" s="2" t="s">
        <v>514</v>
      </c>
      <c r="C85" s="2" t="str">
        <f>sheet1[[#This Row],[Nombre]]&amp;sheet1[[#This Row],[Bp Id]]</f>
        <v>AVAYA AuraITM0003</v>
      </c>
      <c r="D85" s="2" t="str">
        <f>VLOOKUP(sheet1[[#This Row],[Columna1]],sheet13[[Columna1]:[Estado]],4,FALSE)</f>
        <v>Retirado</v>
      </c>
      <c r="E85" s="2" t="s">
        <v>515</v>
      </c>
      <c r="F85" s="2" t="s">
        <v>47</v>
      </c>
      <c r="G85" s="2" t="s">
        <v>58</v>
      </c>
      <c r="H85" s="2" t="s">
        <v>34</v>
      </c>
      <c r="I85" s="2" t="s">
        <v>68</v>
      </c>
      <c r="J85" s="2" t="s">
        <v>69</v>
      </c>
      <c r="K85" s="2" t="s">
        <v>516</v>
      </c>
      <c r="L85" s="2" t="s">
        <v>517</v>
      </c>
      <c r="M85" s="2" t="s">
        <v>63</v>
      </c>
      <c r="N85" s="2" t="s">
        <v>40</v>
      </c>
      <c r="O85" s="2" t="s">
        <v>41</v>
      </c>
      <c r="P85" s="2" t="s">
        <v>42</v>
      </c>
      <c r="Q85" s="2" t="s">
        <v>42</v>
      </c>
      <c r="R85" s="2" t="s">
        <v>43</v>
      </c>
      <c r="S85" s="2" t="s">
        <v>43</v>
      </c>
      <c r="T85" s="2"/>
      <c r="U85" s="3"/>
      <c r="V85" s="2"/>
      <c r="W85" s="2"/>
      <c r="X85" s="2"/>
      <c r="Y85" s="2"/>
      <c r="Z85" s="2"/>
      <c r="AA85" s="2"/>
      <c r="AB85" s="2"/>
      <c r="AC85" s="2"/>
    </row>
    <row r="86" spans="1:29" ht="20.100000000000001" customHeight="1">
      <c r="A86" s="2" t="s">
        <v>518</v>
      </c>
      <c r="B86" s="2" t="s">
        <v>519</v>
      </c>
      <c r="C86" s="2" t="str">
        <f>sheet1[[#This Row],[Nombre]]&amp;sheet1[[#This Row],[Bp Id]]</f>
        <v>Azure ADSEC0048</v>
      </c>
      <c r="D86" s="2" t="str">
        <f>VLOOKUP(sheet1[[#This Row],[Columna1]],sheet13[[Columna1]:[Estado]],4,FALSE)</f>
        <v>Operativo</v>
      </c>
      <c r="E86" s="2" t="s">
        <v>520</v>
      </c>
      <c r="F86" s="2" t="s">
        <v>32</v>
      </c>
      <c r="G86" s="2" t="s">
        <v>123</v>
      </c>
      <c r="H86" s="2" t="s">
        <v>59</v>
      </c>
      <c r="I86" s="2" t="s">
        <v>68</v>
      </c>
      <c r="J86" s="2" t="s">
        <v>69</v>
      </c>
      <c r="K86" s="2" t="s">
        <v>521</v>
      </c>
      <c r="L86" s="2" t="s">
        <v>522</v>
      </c>
      <c r="M86" s="2" t="s">
        <v>111</v>
      </c>
      <c r="N86" s="2" t="s">
        <v>40</v>
      </c>
      <c r="O86" s="2" t="s">
        <v>43</v>
      </c>
      <c r="P86" s="2" t="s">
        <v>64</v>
      </c>
      <c r="Q86" s="2" t="s">
        <v>64</v>
      </c>
      <c r="R86" s="2" t="s">
        <v>41</v>
      </c>
      <c r="S86" s="2" t="s">
        <v>43</v>
      </c>
      <c r="T86" s="2"/>
      <c r="U86" s="3"/>
      <c r="V86" s="2"/>
      <c r="W86" s="2"/>
      <c r="X86" s="2"/>
      <c r="Y86" s="2"/>
      <c r="Z86" s="2"/>
      <c r="AA86" s="2"/>
      <c r="AB86" s="2"/>
      <c r="AC86" s="2"/>
    </row>
    <row r="87" spans="1:29" ht="20.100000000000001" customHeight="1">
      <c r="A87" s="2" t="s">
        <v>523</v>
      </c>
      <c r="B87" s="2" t="s">
        <v>524</v>
      </c>
      <c r="C87" s="2" t="str">
        <f>sheet1[[#This Row],[Nombre]]&amp;sheet1[[#This Row],[Bp Id]]</f>
        <v>Cheque Image Server (CIS Totem)CHL0010</v>
      </c>
      <c r="D87" s="2" t="str">
        <f>VLOOKUP(sheet1[[#This Row],[Columna1]],sheet13[[Columna1]:[Estado]],4,FALSE)</f>
        <v>Operativo</v>
      </c>
      <c r="E87" s="2" t="s">
        <v>525</v>
      </c>
      <c r="F87" s="2" t="s">
        <v>32</v>
      </c>
      <c r="G87" s="2" t="s">
        <v>123</v>
      </c>
      <c r="H87" s="2" t="s">
        <v>34</v>
      </c>
      <c r="I87" s="2" t="s">
        <v>35</v>
      </c>
      <c r="J87" s="2" t="s">
        <v>36</v>
      </c>
      <c r="K87" s="2" t="s">
        <v>381</v>
      </c>
      <c r="L87" s="2" t="s">
        <v>382</v>
      </c>
      <c r="M87" s="2" t="s">
        <v>63</v>
      </c>
      <c r="N87" s="2" t="s">
        <v>40</v>
      </c>
      <c r="O87" s="2" t="s">
        <v>43</v>
      </c>
      <c r="P87" s="2" t="s">
        <v>53</v>
      </c>
      <c r="Q87" s="2" t="s">
        <v>53</v>
      </c>
      <c r="R87" s="2" t="s">
        <v>43</v>
      </c>
      <c r="S87" s="2" t="s">
        <v>43</v>
      </c>
      <c r="T87" s="2"/>
      <c r="U87" s="3"/>
      <c r="V87" s="2"/>
      <c r="W87" s="2"/>
      <c r="X87" s="2"/>
      <c r="Y87" s="2"/>
      <c r="Z87" s="2"/>
      <c r="AA87" s="2"/>
      <c r="AB87" s="2"/>
      <c r="AC87" s="2"/>
    </row>
    <row r="88" spans="1:29" ht="57.95" customHeight="1">
      <c r="A88" s="2" t="s">
        <v>526</v>
      </c>
      <c r="B88" s="2" t="s">
        <v>527</v>
      </c>
      <c r="C88" s="2" t="str">
        <f>sheet1[[#This Row],[Nombre]]&amp;sheet1[[#This Row],[Bp Id]]</f>
        <v>Cisco CollectorITM0004</v>
      </c>
      <c r="D88" s="2" t="str">
        <f>VLOOKUP(sheet1[[#This Row],[Columna1]],sheet13[[Columna1]:[Estado]],4,FALSE)</f>
        <v>Operativo</v>
      </c>
      <c r="E88" s="2" t="s">
        <v>528</v>
      </c>
      <c r="F88" s="2" t="s">
        <v>32</v>
      </c>
      <c r="G88" s="2" t="s">
        <v>48</v>
      </c>
      <c r="H88" s="2" t="s">
        <v>34</v>
      </c>
      <c r="I88" s="2" t="s">
        <v>68</v>
      </c>
      <c r="J88" s="2" t="s">
        <v>69</v>
      </c>
      <c r="K88" s="2" t="s">
        <v>516</v>
      </c>
      <c r="L88" s="2" t="s">
        <v>529</v>
      </c>
      <c r="M88" s="2" t="s">
        <v>52</v>
      </c>
      <c r="N88" s="2" t="s">
        <v>40</v>
      </c>
      <c r="O88" s="2" t="s">
        <v>41</v>
      </c>
      <c r="P88" s="2" t="s">
        <v>53</v>
      </c>
      <c r="Q88" s="2" t="s">
        <v>53</v>
      </c>
      <c r="R88" s="2" t="s">
        <v>43</v>
      </c>
      <c r="S88" s="2" t="s">
        <v>43</v>
      </c>
      <c r="T88" s="2"/>
      <c r="U88" s="3"/>
      <c r="V88" s="2"/>
      <c r="W88" s="2"/>
      <c r="X88" s="2"/>
      <c r="Y88" s="2"/>
      <c r="Z88" s="2"/>
      <c r="AA88" s="2"/>
      <c r="AB88" s="2"/>
      <c r="AC88" s="2"/>
    </row>
    <row r="89" spans="1:29" ht="20.100000000000001" customHeight="1">
      <c r="A89" s="2" t="s">
        <v>530</v>
      </c>
      <c r="B89" s="2" t="s">
        <v>531</v>
      </c>
      <c r="C89" s="2" t="str">
        <f>sheet1[[#This Row],[Nombre]]&amp;sheet1[[#This Row],[Bp Id]]</f>
        <v>CLIENT PUEXCHL0012</v>
      </c>
      <c r="D89" s="2" t="str">
        <f>VLOOKUP(sheet1[[#This Row],[Columna1]],sheet13[[Columna1]:[Estado]],4,FALSE)</f>
        <v>Retirado</v>
      </c>
      <c r="E89" s="2" t="s">
        <v>532</v>
      </c>
      <c r="F89" s="2" t="s">
        <v>47</v>
      </c>
      <c r="G89" s="2" t="s">
        <v>48</v>
      </c>
      <c r="H89" s="2" t="s">
        <v>34</v>
      </c>
      <c r="I89" s="2" t="s">
        <v>35</v>
      </c>
      <c r="J89" s="2" t="s">
        <v>349</v>
      </c>
      <c r="K89" s="2" t="s">
        <v>381</v>
      </c>
      <c r="L89" s="2" t="s">
        <v>350</v>
      </c>
      <c r="M89" s="2" t="s">
        <v>39</v>
      </c>
      <c r="N89" s="2" t="s">
        <v>40</v>
      </c>
      <c r="O89" s="2" t="s">
        <v>41</v>
      </c>
      <c r="P89" s="2" t="s">
        <v>533</v>
      </c>
      <c r="Q89" s="2" t="s">
        <v>42</v>
      </c>
      <c r="R89" s="2" t="s">
        <v>41</v>
      </c>
      <c r="S89" s="2" t="s">
        <v>43</v>
      </c>
      <c r="T89" s="2"/>
      <c r="U89" s="3"/>
      <c r="V89" s="2"/>
      <c r="W89" s="2"/>
      <c r="X89" s="2"/>
      <c r="Y89" s="2"/>
      <c r="Z89" s="2"/>
      <c r="AA89" s="2"/>
      <c r="AB89" s="2"/>
      <c r="AC89" s="2"/>
    </row>
    <row r="90" spans="1:29" ht="20.100000000000001" customHeight="1">
      <c r="A90" s="2" t="s">
        <v>534</v>
      </c>
      <c r="B90" s="2" t="s">
        <v>535</v>
      </c>
      <c r="C90" s="2" t="str">
        <f>sheet1[[#This Row],[Nombre]]&amp;sheet1[[#This Row],[Bp Id]]</f>
        <v>COBIS BANCA COMUNALPRD0052</v>
      </c>
      <c r="D90" s="2" t="str">
        <f>VLOOKUP(sheet1[[#This Row],[Columna1]],sheet13[[Columna1]:[Estado]],4,FALSE)</f>
        <v>Operativo</v>
      </c>
      <c r="E90" s="2" t="s">
        <v>536</v>
      </c>
      <c r="F90" s="2" t="s">
        <v>32</v>
      </c>
      <c r="G90" s="2" t="s">
        <v>76</v>
      </c>
      <c r="H90" s="2" t="s">
        <v>34</v>
      </c>
      <c r="I90" s="2" t="s">
        <v>309</v>
      </c>
      <c r="J90" s="2" t="s">
        <v>96</v>
      </c>
      <c r="K90" s="2" t="s">
        <v>537</v>
      </c>
      <c r="L90" s="2" t="s">
        <v>316</v>
      </c>
      <c r="M90" s="2" t="s">
        <v>39</v>
      </c>
      <c r="N90" s="2" t="s">
        <v>40</v>
      </c>
      <c r="O90" s="2" t="s">
        <v>41</v>
      </c>
      <c r="P90" s="2" t="s">
        <v>53</v>
      </c>
      <c r="Q90" s="2" t="s">
        <v>53</v>
      </c>
      <c r="R90" s="2" t="s">
        <v>41</v>
      </c>
      <c r="S90" s="2" t="s">
        <v>41</v>
      </c>
      <c r="T90" s="2"/>
      <c r="U90" s="3">
        <v>45200</v>
      </c>
      <c r="V90" s="2" t="s">
        <v>538</v>
      </c>
      <c r="W90" s="2" t="s">
        <v>187</v>
      </c>
      <c r="X90" s="2" t="s">
        <v>179</v>
      </c>
      <c r="Y90" s="2" t="s">
        <v>147</v>
      </c>
      <c r="Z90" s="2" t="s">
        <v>147</v>
      </c>
      <c r="AA90" s="2" t="s">
        <v>180</v>
      </c>
      <c r="AB90" s="2" t="s">
        <v>129</v>
      </c>
      <c r="AC90" s="2" t="s">
        <v>539</v>
      </c>
    </row>
    <row r="91" spans="1:29" ht="20.100000000000001" customHeight="1">
      <c r="A91" s="2" t="s">
        <v>540</v>
      </c>
      <c r="B91" s="2" t="s">
        <v>541</v>
      </c>
      <c r="C91" s="2" t="str">
        <f>sheet1[[#This Row],[Nombre]]&amp;sheet1[[#This Row],[Bp Id]]</f>
        <v>CollabNet SubversionITM0007</v>
      </c>
      <c r="D91" s="2" t="str">
        <f>VLOOKUP(sheet1[[#This Row],[Columna1]],sheet13[[Columna1]:[Estado]],4,FALSE)</f>
        <v>Retirado</v>
      </c>
      <c r="E91" s="2" t="s">
        <v>542</v>
      </c>
      <c r="F91" s="2" t="s">
        <v>47</v>
      </c>
      <c r="G91" s="2" t="s">
        <v>48</v>
      </c>
      <c r="H91" s="2" t="s">
        <v>34</v>
      </c>
      <c r="I91" s="2" t="s">
        <v>198</v>
      </c>
      <c r="J91" s="2" t="s">
        <v>199</v>
      </c>
      <c r="K91" s="2" t="s">
        <v>199</v>
      </c>
      <c r="L91" s="2" t="s">
        <v>199</v>
      </c>
      <c r="M91" s="2" t="s">
        <v>52</v>
      </c>
      <c r="N91" s="2" t="s">
        <v>40</v>
      </c>
      <c r="O91" s="2" t="s">
        <v>41</v>
      </c>
      <c r="P91" s="2" t="s">
        <v>53</v>
      </c>
      <c r="Q91" s="2" t="s">
        <v>53</v>
      </c>
      <c r="R91" s="2" t="s">
        <v>43</v>
      </c>
      <c r="S91" s="2" t="s">
        <v>43</v>
      </c>
      <c r="T91" s="2"/>
      <c r="U91" s="3"/>
      <c r="V91" s="2"/>
      <c r="W91" s="2"/>
      <c r="X91" s="2"/>
      <c r="Y91" s="2"/>
      <c r="Z91" s="2"/>
      <c r="AA91" s="2"/>
      <c r="AB91" s="2"/>
      <c r="AC91" s="2"/>
    </row>
    <row r="92" spans="1:29" ht="14.45" customHeight="1">
      <c r="A92" s="2" t="s">
        <v>543</v>
      </c>
      <c r="B92" s="2" t="s">
        <v>544</v>
      </c>
      <c r="C92" s="2" t="str">
        <f>sheet1[[#This Row],[Nombre]]&amp;sheet1[[#This Row],[Bp Id]]</f>
        <v>CompassSEC0076</v>
      </c>
      <c r="D92" s="2" t="str">
        <f>VLOOKUP(sheet1[[#This Row],[Columna1]],sheet13[[Columna1]:[Estado]],4,FALSE)</f>
        <v>Operativo</v>
      </c>
      <c r="E92" s="2" t="s">
        <v>545</v>
      </c>
      <c r="F92" s="2" t="s">
        <v>32</v>
      </c>
      <c r="G92" s="2" t="s">
        <v>76</v>
      </c>
      <c r="H92" s="2" t="s">
        <v>34</v>
      </c>
      <c r="I92" s="2" t="s">
        <v>107</v>
      </c>
      <c r="J92" s="2" t="s">
        <v>411</v>
      </c>
      <c r="K92" s="2" t="s">
        <v>176</v>
      </c>
      <c r="L92" s="2" t="s">
        <v>546</v>
      </c>
      <c r="M92" s="2" t="s">
        <v>111</v>
      </c>
      <c r="N92" s="2" t="s">
        <v>40</v>
      </c>
      <c r="O92" s="2" t="s">
        <v>41</v>
      </c>
      <c r="P92" s="2" t="s">
        <v>53</v>
      </c>
      <c r="Q92" s="2" t="s">
        <v>53</v>
      </c>
      <c r="R92" s="2" t="s">
        <v>41</v>
      </c>
      <c r="S92" s="2" t="s">
        <v>41</v>
      </c>
      <c r="T92" s="2" t="s">
        <v>547</v>
      </c>
      <c r="U92" s="3">
        <v>46104</v>
      </c>
      <c r="V92" s="2" t="s">
        <v>548</v>
      </c>
      <c r="W92" s="2" t="s">
        <v>369</v>
      </c>
      <c r="X92" s="2" t="s">
        <v>187</v>
      </c>
      <c r="Y92" s="2" t="s">
        <v>127</v>
      </c>
      <c r="Z92" s="2" t="s">
        <v>127</v>
      </c>
      <c r="AA92" s="2" t="s">
        <v>180</v>
      </c>
      <c r="AB92" s="2" t="s">
        <v>129</v>
      </c>
      <c r="AC92" s="2" t="s">
        <v>549</v>
      </c>
    </row>
    <row r="93" spans="1:29" ht="14.45" customHeight="1">
      <c r="A93" s="2" t="s">
        <v>550</v>
      </c>
      <c r="B93" s="2" t="s">
        <v>551</v>
      </c>
      <c r="C93" s="2" t="str">
        <f>sheet1[[#This Row],[Nombre]]&amp;sheet1[[#This Row],[Bp Id]]</f>
        <v>CompensacionSUP0025</v>
      </c>
      <c r="D93" s="2" t="str">
        <f>VLOOKUP(sheet1[[#This Row],[Columna1]],sheet13[[Columna1]:[Estado]],4,FALSE)</f>
        <v>Retirado</v>
      </c>
      <c r="E93" s="2" t="s">
        <v>552</v>
      </c>
      <c r="F93" s="2" t="s">
        <v>47</v>
      </c>
      <c r="G93" s="2" t="s">
        <v>58</v>
      </c>
      <c r="H93" s="2" t="s">
        <v>34</v>
      </c>
      <c r="I93" s="2" t="s">
        <v>553</v>
      </c>
      <c r="J93" s="2" t="s">
        <v>554</v>
      </c>
      <c r="K93" s="2" t="s">
        <v>555</v>
      </c>
      <c r="L93" s="2" t="s">
        <v>556</v>
      </c>
      <c r="M93" s="2" t="s">
        <v>63</v>
      </c>
      <c r="N93" s="2" t="s">
        <v>40</v>
      </c>
      <c r="O93" s="2" t="s">
        <v>41</v>
      </c>
      <c r="P93" s="2" t="s">
        <v>53</v>
      </c>
      <c r="Q93" s="2" t="s">
        <v>53</v>
      </c>
      <c r="R93" s="2" t="s">
        <v>41</v>
      </c>
      <c r="S93" s="2" t="s">
        <v>41</v>
      </c>
      <c r="T93" s="2" t="s">
        <v>119</v>
      </c>
      <c r="U93" s="3">
        <v>45199</v>
      </c>
      <c r="V93" s="2"/>
      <c r="W93" s="2" t="s">
        <v>100</v>
      </c>
      <c r="X93" s="2" t="s">
        <v>101</v>
      </c>
      <c r="Y93" s="2"/>
      <c r="Z93" s="2"/>
      <c r="AA93" s="2"/>
      <c r="AB93" s="2"/>
      <c r="AC93" s="2"/>
    </row>
    <row r="94" spans="1:29" ht="14.45" customHeight="1">
      <c r="A94" s="2" t="s">
        <v>557</v>
      </c>
      <c r="B94" s="2" t="s">
        <v>558</v>
      </c>
      <c r="C94" s="2" t="str">
        <f>sheet1[[#This Row],[Nombre]]&amp;sheet1[[#This Row],[Bp Id]]</f>
        <v>Compra de CarteraPRD0013</v>
      </c>
      <c r="D94" s="2" t="str">
        <f>VLOOKUP(sheet1[[#This Row],[Columna1]],sheet13[[Columna1]:[Estado]],4,FALSE)</f>
        <v>Operativo</v>
      </c>
      <c r="E94" s="2" t="s">
        <v>559</v>
      </c>
      <c r="F94" s="2" t="s">
        <v>32</v>
      </c>
      <c r="G94" s="2" t="s">
        <v>48</v>
      </c>
      <c r="H94" s="2" t="s">
        <v>34</v>
      </c>
      <c r="I94" s="2" t="s">
        <v>95</v>
      </c>
      <c r="J94" s="2" t="s">
        <v>96</v>
      </c>
      <c r="K94" s="2" t="s">
        <v>117</v>
      </c>
      <c r="L94" s="2" t="s">
        <v>560</v>
      </c>
      <c r="M94" s="2" t="s">
        <v>63</v>
      </c>
      <c r="N94" s="2" t="s">
        <v>40</v>
      </c>
      <c r="O94" s="2" t="s">
        <v>41</v>
      </c>
      <c r="P94" s="2" t="s">
        <v>53</v>
      </c>
      <c r="Q94" s="2" t="s">
        <v>53</v>
      </c>
      <c r="R94" s="2" t="s">
        <v>43</v>
      </c>
      <c r="S94" s="2" t="s">
        <v>43</v>
      </c>
      <c r="T94" s="2"/>
      <c r="U94" s="3"/>
      <c r="V94" s="2"/>
      <c r="W94" s="2"/>
      <c r="X94" s="2"/>
      <c r="Y94" s="2"/>
      <c r="Z94" s="2"/>
      <c r="AA94" s="2"/>
      <c r="AB94" s="2"/>
      <c r="AC94" s="2"/>
    </row>
    <row r="95" spans="1:29" ht="20.100000000000001" customHeight="1">
      <c r="A95" s="2" t="s">
        <v>561</v>
      </c>
      <c r="B95" s="2" t="s">
        <v>562</v>
      </c>
      <c r="C95" s="2" t="str">
        <f>sheet1[[#This Row],[Nombre]]&amp;sheet1[[#This Row],[Bp Id]]</f>
        <v>Conexión Empresas OnlinePAY0005</v>
      </c>
      <c r="D95" s="2" t="str">
        <f>VLOOKUP(sheet1[[#This Row],[Columna1]],sheet13[[Columna1]:[Estado]],4,FALSE)</f>
        <v>Operativo</v>
      </c>
      <c r="E95" s="2" t="s">
        <v>563</v>
      </c>
      <c r="F95" s="2" t="s">
        <v>32</v>
      </c>
      <c r="G95" s="2" t="s">
        <v>58</v>
      </c>
      <c r="H95" s="2" t="s">
        <v>140</v>
      </c>
      <c r="I95" s="2" t="s">
        <v>141</v>
      </c>
      <c r="J95" s="2" t="s">
        <v>151</v>
      </c>
      <c r="K95" s="2" t="s">
        <v>564</v>
      </c>
      <c r="L95" s="2" t="s">
        <v>565</v>
      </c>
      <c r="M95" s="2" t="s">
        <v>39</v>
      </c>
      <c r="N95" s="2" t="s">
        <v>91</v>
      </c>
      <c r="O95" s="2" t="s">
        <v>43</v>
      </c>
      <c r="P95" s="2" t="s">
        <v>53</v>
      </c>
      <c r="Q95" s="2" t="s">
        <v>53</v>
      </c>
      <c r="R95" s="2" t="s">
        <v>43</v>
      </c>
      <c r="S95" s="2" t="s">
        <v>43</v>
      </c>
      <c r="T95" s="2"/>
      <c r="U95" s="3"/>
      <c r="V95" s="2"/>
      <c r="W95" s="2"/>
      <c r="X95" s="2"/>
      <c r="Y95" s="2"/>
      <c r="Z95" s="2"/>
      <c r="AA95" s="2"/>
      <c r="AB95" s="2"/>
      <c r="AC95" s="2"/>
    </row>
    <row r="96" spans="1:29" ht="20.100000000000001" customHeight="1">
      <c r="A96" s="2" t="s">
        <v>566</v>
      </c>
      <c r="B96" s="2" t="s">
        <v>567</v>
      </c>
      <c r="C96" s="2" t="str">
        <f>sheet1[[#This Row],[Nombre]]&amp;sheet1[[#This Row],[Bp Id]]</f>
        <v>Conexión Personas OnlinePAY0006</v>
      </c>
      <c r="D96" s="2" t="str">
        <f>VLOOKUP(sheet1[[#This Row],[Columna1]],sheet13[[Columna1]:[Estado]],4,FALSE)</f>
        <v>Operativo</v>
      </c>
      <c r="E96" s="2" t="s">
        <v>563</v>
      </c>
      <c r="F96" s="2" t="s">
        <v>32</v>
      </c>
      <c r="G96" s="2" t="s">
        <v>58</v>
      </c>
      <c r="H96" s="2" t="s">
        <v>140</v>
      </c>
      <c r="I96" s="2" t="s">
        <v>141</v>
      </c>
      <c r="J96" s="2" t="s">
        <v>151</v>
      </c>
      <c r="K96" s="2" t="s">
        <v>564</v>
      </c>
      <c r="L96" s="2" t="s">
        <v>565</v>
      </c>
      <c r="M96" s="2" t="s">
        <v>39</v>
      </c>
      <c r="N96" s="2" t="s">
        <v>40</v>
      </c>
      <c r="O96" s="2" t="s">
        <v>41</v>
      </c>
      <c r="P96" s="2" t="s">
        <v>53</v>
      </c>
      <c r="Q96" s="2" t="s">
        <v>53</v>
      </c>
      <c r="R96" s="2" t="s">
        <v>41</v>
      </c>
      <c r="S96" s="2" t="s">
        <v>43</v>
      </c>
      <c r="T96" s="2"/>
      <c r="U96" s="3"/>
      <c r="V96" s="2"/>
      <c r="W96" s="2"/>
      <c r="X96" s="2"/>
      <c r="Y96" s="2"/>
      <c r="Z96" s="2"/>
      <c r="AA96" s="2"/>
      <c r="AB96" s="2"/>
      <c r="AC96" s="2"/>
    </row>
    <row r="97" spans="1:29" ht="29.1" customHeight="1">
      <c r="A97" s="2" t="s">
        <v>568</v>
      </c>
      <c r="B97" s="2" t="s">
        <v>569</v>
      </c>
      <c r="C97" s="2" t="str">
        <f>sheet1[[#This Row],[Nombre]]&amp;sheet1[[#This Row],[Bp Id]]</f>
        <v>Configuración CentralizadaSEC0008</v>
      </c>
      <c r="D97" s="2" t="str">
        <f>VLOOKUP(sheet1[[#This Row],[Columna1]],sheet13[[Columna1]:[Estado]],4,FALSE)</f>
        <v>Operativo</v>
      </c>
      <c r="E97" s="2" t="s">
        <v>570</v>
      </c>
      <c r="F97" s="2" t="s">
        <v>32</v>
      </c>
      <c r="G97" s="2" t="s">
        <v>123</v>
      </c>
      <c r="H97" s="2" t="s">
        <v>34</v>
      </c>
      <c r="I97" s="2" t="s">
        <v>258</v>
      </c>
      <c r="J97" s="2" t="s">
        <v>571</v>
      </c>
      <c r="K97" s="2" t="s">
        <v>260</v>
      </c>
      <c r="L97" s="2" t="s">
        <v>261</v>
      </c>
      <c r="M97" s="2" t="s">
        <v>111</v>
      </c>
      <c r="N97" s="2" t="s">
        <v>40</v>
      </c>
      <c r="O97" s="2" t="s">
        <v>43</v>
      </c>
      <c r="P97" s="2" t="s">
        <v>42</v>
      </c>
      <c r="Q97" s="2" t="s">
        <v>42</v>
      </c>
      <c r="R97" s="2" t="s">
        <v>41</v>
      </c>
      <c r="S97" s="2" t="s">
        <v>41</v>
      </c>
      <c r="T97" s="2"/>
      <c r="U97" s="3">
        <v>45200</v>
      </c>
      <c r="V97" s="2"/>
      <c r="W97" s="2" t="s">
        <v>125</v>
      </c>
      <c r="X97" s="2" t="s">
        <v>262</v>
      </c>
      <c r="Y97" s="2" t="s">
        <v>147</v>
      </c>
      <c r="Z97" s="2" t="s">
        <v>147</v>
      </c>
      <c r="AA97" s="2" t="s">
        <v>263</v>
      </c>
      <c r="AB97" s="2" t="s">
        <v>129</v>
      </c>
      <c r="AC97" s="2" t="s">
        <v>572</v>
      </c>
    </row>
    <row r="98" spans="1:29" ht="20.100000000000001" customHeight="1">
      <c r="A98" s="2" t="s">
        <v>573</v>
      </c>
      <c r="B98" s="2" t="s">
        <v>574</v>
      </c>
      <c r="C98" s="2" t="str">
        <f>sheet1[[#This Row],[Nombre]]&amp;sheet1[[#This Row],[Bp Id]]</f>
        <v>ConfluentOMN0002</v>
      </c>
      <c r="D98" s="2" t="str">
        <f>VLOOKUP(sheet1[[#This Row],[Columna1]],sheet13[[Columna1]:[Estado]],4,FALSE)</f>
        <v>Operativo</v>
      </c>
      <c r="E98" s="2" t="s">
        <v>139</v>
      </c>
      <c r="F98" s="2" t="s">
        <v>32</v>
      </c>
      <c r="G98" s="2" t="s">
        <v>48</v>
      </c>
      <c r="H98" s="2" t="s">
        <v>59</v>
      </c>
      <c r="I98" s="2" t="s">
        <v>328</v>
      </c>
      <c r="J98" s="2" t="s">
        <v>575</v>
      </c>
      <c r="K98" s="2" t="s">
        <v>576</v>
      </c>
      <c r="L98" s="2" t="s">
        <v>51</v>
      </c>
      <c r="M98" s="2" t="s">
        <v>63</v>
      </c>
      <c r="N98" s="2" t="s">
        <v>40</v>
      </c>
      <c r="O98" s="2" t="s">
        <v>41</v>
      </c>
      <c r="P98" s="2" t="s">
        <v>53</v>
      </c>
      <c r="Q98" s="2" t="s">
        <v>53</v>
      </c>
      <c r="R98" s="2" t="s">
        <v>43</v>
      </c>
      <c r="S98" s="2" t="s">
        <v>43</v>
      </c>
      <c r="T98" s="2"/>
      <c r="U98" s="3"/>
      <c r="V98" s="2"/>
      <c r="W98" s="2"/>
      <c r="X98" s="2"/>
      <c r="Y98" s="2"/>
      <c r="Z98" s="2"/>
      <c r="AA98" s="2"/>
      <c r="AB98" s="2"/>
      <c r="AC98" s="2"/>
    </row>
    <row r="99" spans="1:29" ht="20.100000000000001" customHeight="1">
      <c r="A99" s="2" t="s">
        <v>577</v>
      </c>
      <c r="B99" s="2" t="s">
        <v>578</v>
      </c>
      <c r="C99" s="2" t="str">
        <f>sheet1[[#This Row],[Nombre]]&amp;sheet1[[#This Row],[Bp Id]]</f>
        <v>Control-MITM0008</v>
      </c>
      <c r="D99" s="2" t="str">
        <f>VLOOKUP(sheet1[[#This Row],[Columna1]],sheet13[[Columna1]:[Estado]],4,FALSE)</f>
        <v>Operativo</v>
      </c>
      <c r="E99" s="2" t="s">
        <v>579</v>
      </c>
      <c r="F99" s="2" t="s">
        <v>32</v>
      </c>
      <c r="G99" s="2" t="s">
        <v>76</v>
      </c>
      <c r="H99" s="2" t="s">
        <v>345</v>
      </c>
      <c r="I99" s="2" t="s">
        <v>580</v>
      </c>
      <c r="J99" s="2" t="s">
        <v>581</v>
      </c>
      <c r="K99" s="2" t="s">
        <v>582</v>
      </c>
      <c r="L99" s="2" t="s">
        <v>90</v>
      </c>
      <c r="M99" s="2" t="s">
        <v>52</v>
      </c>
      <c r="N99" s="2" t="s">
        <v>40</v>
      </c>
      <c r="O99" s="2" t="s">
        <v>41</v>
      </c>
      <c r="P99" s="2" t="s">
        <v>53</v>
      </c>
      <c r="Q99" s="2" t="s">
        <v>53</v>
      </c>
      <c r="R99" s="2" t="s">
        <v>41</v>
      </c>
      <c r="S99" s="2" t="s">
        <v>43</v>
      </c>
      <c r="T99" s="2"/>
      <c r="U99" s="3"/>
      <c r="V99" s="2"/>
      <c r="W99" s="2"/>
      <c r="X99" s="2"/>
      <c r="Y99" s="2"/>
      <c r="Z99" s="2"/>
      <c r="AA99" s="2"/>
      <c r="AB99" s="2"/>
      <c r="AC99" s="2"/>
    </row>
    <row r="100" spans="1:29" ht="20.100000000000001" customHeight="1">
      <c r="A100" s="2" t="s">
        <v>583</v>
      </c>
      <c r="B100" s="2" t="s">
        <v>584</v>
      </c>
      <c r="C100" s="2" t="str">
        <f>sheet1[[#This Row],[Nombre]]&amp;sheet1[[#This Row],[Bp Id]]</f>
        <v>Copy Services ManagerITM0009</v>
      </c>
      <c r="D100" s="2" t="str">
        <f>VLOOKUP(sheet1[[#This Row],[Columna1]],sheet13[[Columna1]:[Estado]],4,FALSE)</f>
        <v>Operativo</v>
      </c>
      <c r="E100" s="2" t="s">
        <v>585</v>
      </c>
      <c r="F100" s="2" t="s">
        <v>32</v>
      </c>
      <c r="G100" s="2" t="s">
        <v>76</v>
      </c>
      <c r="H100" s="2" t="s">
        <v>34</v>
      </c>
      <c r="I100" s="2" t="s">
        <v>68</v>
      </c>
      <c r="J100" s="2" t="s">
        <v>69</v>
      </c>
      <c r="K100" s="2" t="s">
        <v>70</v>
      </c>
      <c r="L100" s="2" t="s">
        <v>586</v>
      </c>
      <c r="M100" s="2" t="s">
        <v>52</v>
      </c>
      <c r="N100" s="2" t="s">
        <v>40</v>
      </c>
      <c r="O100" s="2" t="s">
        <v>41</v>
      </c>
      <c r="P100" s="2" t="s">
        <v>53</v>
      </c>
      <c r="Q100" s="2" t="s">
        <v>53</v>
      </c>
      <c r="R100" s="2" t="s">
        <v>41</v>
      </c>
      <c r="S100" s="2" t="s">
        <v>43</v>
      </c>
      <c r="T100" s="2"/>
      <c r="U100" s="3"/>
      <c r="V100" s="2"/>
      <c r="W100" s="2"/>
      <c r="X100" s="2"/>
      <c r="Y100" s="2"/>
      <c r="Z100" s="2"/>
      <c r="AA100" s="2"/>
      <c r="AB100" s="2"/>
      <c r="AC100" s="2"/>
    </row>
    <row r="101" spans="1:29" ht="20.100000000000001" customHeight="1">
      <c r="A101" s="2" t="s">
        <v>587</v>
      </c>
      <c r="B101" s="2" t="s">
        <v>588</v>
      </c>
      <c r="C101" s="2" t="str">
        <f>sheet1[[#This Row],[Nombre]]&amp;sheet1[[#This Row],[Bp Id]]</f>
        <v>Coren WEBSEC0071</v>
      </c>
      <c r="D101" s="2" t="str">
        <f>VLOOKUP(sheet1[[#This Row],[Columna1]],sheet13[[Columna1]:[Estado]],4,FALSE)</f>
        <v>Operativo</v>
      </c>
      <c r="E101" s="2" t="s">
        <v>589</v>
      </c>
      <c r="F101" s="2" t="s">
        <v>32</v>
      </c>
      <c r="G101" s="2" t="s">
        <v>76</v>
      </c>
      <c r="H101" s="2" t="s">
        <v>34</v>
      </c>
      <c r="I101" s="2" t="s">
        <v>107</v>
      </c>
      <c r="J101" s="2" t="s">
        <v>412</v>
      </c>
      <c r="K101" s="2" t="s">
        <v>176</v>
      </c>
      <c r="L101" s="2" t="s">
        <v>411</v>
      </c>
      <c r="M101" s="2" t="s">
        <v>111</v>
      </c>
      <c r="N101" s="2" t="s">
        <v>40</v>
      </c>
      <c r="O101" s="2" t="s">
        <v>41</v>
      </c>
      <c r="P101" s="2" t="s">
        <v>53</v>
      </c>
      <c r="Q101" s="2" t="s">
        <v>53</v>
      </c>
      <c r="R101" s="2" t="s">
        <v>41</v>
      </c>
      <c r="S101" s="2" t="s">
        <v>41</v>
      </c>
      <c r="T101" s="2"/>
      <c r="U101" s="3">
        <v>45911</v>
      </c>
      <c r="V101" s="2"/>
      <c r="W101" s="2" t="s">
        <v>101</v>
      </c>
      <c r="X101" s="2" t="s">
        <v>590</v>
      </c>
      <c r="Y101" s="2" t="s">
        <v>147</v>
      </c>
      <c r="Z101" s="2" t="s">
        <v>147</v>
      </c>
      <c r="AA101" s="2" t="s">
        <v>180</v>
      </c>
      <c r="AB101" s="2" t="s">
        <v>129</v>
      </c>
      <c r="AC101" s="2" t="s">
        <v>591</v>
      </c>
    </row>
    <row r="102" spans="1:29" ht="20.100000000000001" customHeight="1">
      <c r="A102" s="2" t="s">
        <v>592</v>
      </c>
      <c r="B102" s="2" t="s">
        <v>593</v>
      </c>
      <c r="C102" s="2" t="str">
        <f>sheet1[[#This Row],[Nombre]]&amp;sheet1[[#This Row],[Bp Id]]</f>
        <v>CreditLensRIS0004</v>
      </c>
      <c r="D102" s="2" t="str">
        <f>VLOOKUP(sheet1[[#This Row],[Columna1]],sheet13[[Columna1]:[Estado]],4,FALSE)</f>
        <v>Operativo</v>
      </c>
      <c r="E102" s="2" t="s">
        <v>594</v>
      </c>
      <c r="F102" s="2" t="s">
        <v>32</v>
      </c>
      <c r="G102" s="2" t="s">
        <v>48</v>
      </c>
      <c r="H102" s="2" t="s">
        <v>59</v>
      </c>
      <c r="I102" s="2" t="s">
        <v>320</v>
      </c>
      <c r="J102" s="2" t="s">
        <v>321</v>
      </c>
      <c r="K102" s="2" t="s">
        <v>322</v>
      </c>
      <c r="L102" s="2" t="s">
        <v>595</v>
      </c>
      <c r="M102" s="2" t="s">
        <v>39</v>
      </c>
      <c r="N102" s="2" t="s">
        <v>40</v>
      </c>
      <c r="O102" s="2" t="s">
        <v>41</v>
      </c>
      <c r="P102" s="2" t="s">
        <v>53</v>
      </c>
      <c r="Q102" s="2" t="s">
        <v>53</v>
      </c>
      <c r="R102" s="2" t="s">
        <v>41</v>
      </c>
      <c r="S102" s="2" t="s">
        <v>41</v>
      </c>
      <c r="T102" s="2" t="s">
        <v>596</v>
      </c>
      <c r="U102" s="3">
        <v>45200</v>
      </c>
      <c r="V102" s="2" t="s">
        <v>597</v>
      </c>
      <c r="W102" s="2" t="s">
        <v>590</v>
      </c>
      <c r="X102" s="2" t="s">
        <v>590</v>
      </c>
      <c r="Y102" s="2" t="s">
        <v>363</v>
      </c>
      <c r="Z102" s="2" t="s">
        <v>363</v>
      </c>
      <c r="AA102" s="2" t="s">
        <v>598</v>
      </c>
      <c r="AB102" s="2" t="s">
        <v>129</v>
      </c>
      <c r="AC102" s="2" t="s">
        <v>599</v>
      </c>
    </row>
    <row r="103" spans="1:29" ht="20.100000000000001" customHeight="1">
      <c r="A103" s="2" t="s">
        <v>600</v>
      </c>
      <c r="B103" s="2" t="s">
        <v>601</v>
      </c>
      <c r="C103" s="2" t="str">
        <f>sheet1[[#This Row],[Nombre]]&amp;sheet1[[#This Row],[Bp Id]]</f>
        <v>CREDITO EN LINEAPRD0046</v>
      </c>
      <c r="D103" s="2" t="str">
        <f>VLOOKUP(sheet1[[#This Row],[Columna1]],sheet13[[Columna1]:[Estado]],4,FALSE)</f>
        <v>Operativo</v>
      </c>
      <c r="E103" s="2" t="s">
        <v>602</v>
      </c>
      <c r="F103" s="2" t="s">
        <v>32</v>
      </c>
      <c r="G103" s="2" t="s">
        <v>58</v>
      </c>
      <c r="H103" s="2" t="s">
        <v>59</v>
      </c>
      <c r="I103" s="2" t="s">
        <v>95</v>
      </c>
      <c r="J103" s="2" t="s">
        <v>96</v>
      </c>
      <c r="K103" s="2" t="s">
        <v>603</v>
      </c>
      <c r="L103" s="2" t="s">
        <v>98</v>
      </c>
      <c r="M103" s="2" t="s">
        <v>39</v>
      </c>
      <c r="N103" s="2" t="s">
        <v>91</v>
      </c>
      <c r="O103" s="2" t="s">
        <v>41</v>
      </c>
      <c r="P103" s="2" t="s">
        <v>64</v>
      </c>
      <c r="Q103" s="2" t="s">
        <v>64</v>
      </c>
      <c r="R103" s="2" t="s">
        <v>43</v>
      </c>
      <c r="S103" s="2" t="s">
        <v>43</v>
      </c>
      <c r="T103" s="2"/>
      <c r="U103" s="3"/>
      <c r="V103" s="2"/>
      <c r="W103" s="2"/>
      <c r="X103" s="2"/>
      <c r="Y103" s="2"/>
      <c r="Z103" s="2"/>
      <c r="AA103" s="2"/>
      <c r="AB103" s="2"/>
      <c r="AC103" s="2"/>
    </row>
    <row r="104" spans="1:29" ht="20.100000000000001" customHeight="1">
      <c r="A104" s="2" t="s">
        <v>604</v>
      </c>
      <c r="B104" s="2" t="s">
        <v>605</v>
      </c>
      <c r="C104" s="2" t="str">
        <f>sheet1[[#This Row],[Nombre]]&amp;sheet1[[#This Row],[Bp Id]]</f>
        <v>Crédito HipotecarioPRD0047</v>
      </c>
      <c r="D104" s="2" t="str">
        <f>VLOOKUP(sheet1[[#This Row],[Columna1]],sheet13[[Columna1]:[Estado]],4,FALSE)</f>
        <v>Operativo</v>
      </c>
      <c r="E104" s="2" t="s">
        <v>606</v>
      </c>
      <c r="F104" s="2" t="s">
        <v>32</v>
      </c>
      <c r="G104" s="2" t="s">
        <v>48</v>
      </c>
      <c r="H104" s="2" t="s">
        <v>59</v>
      </c>
      <c r="I104" s="2" t="s">
        <v>95</v>
      </c>
      <c r="J104" s="2" t="s">
        <v>96</v>
      </c>
      <c r="K104" s="2" t="s">
        <v>607</v>
      </c>
      <c r="L104" s="2" t="s">
        <v>98</v>
      </c>
      <c r="M104" s="2" t="s">
        <v>39</v>
      </c>
      <c r="N104" s="2" t="s">
        <v>91</v>
      </c>
      <c r="O104" s="2" t="s">
        <v>41</v>
      </c>
      <c r="P104" s="2" t="s">
        <v>53</v>
      </c>
      <c r="Q104" s="2" t="s">
        <v>53</v>
      </c>
      <c r="R104" s="2" t="s">
        <v>43</v>
      </c>
      <c r="S104" s="2" t="s">
        <v>43</v>
      </c>
      <c r="T104" s="2"/>
      <c r="U104" s="3"/>
      <c r="V104" s="2"/>
      <c r="W104" s="2"/>
      <c r="X104" s="2"/>
      <c r="Y104" s="2"/>
      <c r="Z104" s="2"/>
      <c r="AA104" s="2"/>
      <c r="AB104" s="2"/>
      <c r="AC104" s="2"/>
    </row>
    <row r="105" spans="1:29" ht="20.100000000000001" customHeight="1">
      <c r="A105" s="2" t="s">
        <v>608</v>
      </c>
      <c r="B105" s="2" t="s">
        <v>609</v>
      </c>
      <c r="C105" s="2" t="str">
        <f>sheet1[[#This Row],[Nombre]]&amp;sheet1[[#This Row],[Bp Id]]</f>
        <v>Azure DevopsITM0072</v>
      </c>
      <c r="D105" s="2" t="str">
        <f>VLOOKUP(sheet1[[#This Row],[Columna1]],sheet13[[Columna1]:[Estado]],4,FALSE)</f>
        <v>Operativo</v>
      </c>
      <c r="E105" s="2" t="s">
        <v>610</v>
      </c>
      <c r="F105" s="2" t="s">
        <v>32</v>
      </c>
      <c r="G105" s="2" t="s">
        <v>48</v>
      </c>
      <c r="H105" s="2" t="s">
        <v>59</v>
      </c>
      <c r="I105" s="2" t="s">
        <v>198</v>
      </c>
      <c r="J105" s="2" t="s">
        <v>199</v>
      </c>
      <c r="K105" s="2" t="s">
        <v>199</v>
      </c>
      <c r="L105" s="2" t="s">
        <v>199</v>
      </c>
      <c r="M105" s="2" t="s">
        <v>52</v>
      </c>
      <c r="N105" s="2" t="s">
        <v>40</v>
      </c>
      <c r="O105" s="2" t="s">
        <v>41</v>
      </c>
      <c r="P105" s="2" t="s">
        <v>64</v>
      </c>
      <c r="Q105" s="2" t="s">
        <v>64</v>
      </c>
      <c r="R105" s="2" t="s">
        <v>41</v>
      </c>
      <c r="S105" s="2" t="s">
        <v>43</v>
      </c>
      <c r="T105" s="2"/>
      <c r="U105" s="3"/>
      <c r="V105" s="2"/>
      <c r="W105" s="2"/>
      <c r="X105" s="2"/>
      <c r="Y105" s="2"/>
      <c r="Z105" s="2"/>
      <c r="AA105" s="2"/>
      <c r="AB105" s="2"/>
      <c r="AC105" s="2"/>
    </row>
    <row r="106" spans="1:29" ht="20.100000000000001" customHeight="1">
      <c r="A106" s="2" t="s">
        <v>611</v>
      </c>
      <c r="B106" s="2" t="s">
        <v>612</v>
      </c>
      <c r="C106" s="2" t="str">
        <f>sheet1[[#This Row],[Nombre]]&amp;sheet1[[#This Row],[Bp Id]]</f>
        <v>Deuna BackofficeSUP0030</v>
      </c>
      <c r="D106" s="2" t="str">
        <f>VLOOKUP(sheet1[[#This Row],[Columna1]],sheet13[[Columna1]:[Estado]],4,FALSE)</f>
        <v>Operativo</v>
      </c>
      <c r="E106" s="2" t="s">
        <v>613</v>
      </c>
      <c r="F106" s="2" t="s">
        <v>32</v>
      </c>
      <c r="G106" s="2" t="s">
        <v>58</v>
      </c>
      <c r="H106" s="2" t="s">
        <v>59</v>
      </c>
      <c r="I106" s="2" t="s">
        <v>208</v>
      </c>
      <c r="J106" s="2" t="s">
        <v>209</v>
      </c>
      <c r="K106" s="2" t="s">
        <v>445</v>
      </c>
      <c r="L106" s="2" t="s">
        <v>209</v>
      </c>
      <c r="M106" s="2" t="s">
        <v>39</v>
      </c>
      <c r="N106" s="2" t="s">
        <v>91</v>
      </c>
      <c r="O106" s="2" t="s">
        <v>41</v>
      </c>
      <c r="P106" s="2" t="s">
        <v>64</v>
      </c>
      <c r="Q106" s="2" t="s">
        <v>64</v>
      </c>
      <c r="R106" s="2" t="s">
        <v>43</v>
      </c>
      <c r="S106" s="2" t="s">
        <v>43</v>
      </c>
      <c r="T106" s="2"/>
      <c r="U106" s="3"/>
      <c r="V106" s="2"/>
      <c r="W106" s="2"/>
      <c r="X106" s="2"/>
      <c r="Y106" s="2"/>
      <c r="Z106" s="2"/>
      <c r="AA106" s="2"/>
      <c r="AB106" s="2"/>
      <c r="AC106" s="2"/>
    </row>
    <row r="107" spans="1:29" ht="20.100000000000001" customHeight="1">
      <c r="A107" s="2" t="s">
        <v>614</v>
      </c>
      <c r="B107" s="2" t="s">
        <v>615</v>
      </c>
      <c r="C107" s="2" t="str">
        <f>sheet1[[#This Row],[Nombre]]&amp;sheet1[[#This Row],[Bp Id]]</f>
        <v>BactraderSUP0004</v>
      </c>
      <c r="D107" s="2" t="str">
        <f>VLOOKUP(sheet1[[#This Row],[Columna1]],sheet13[[Columna1]:[Estado]],4,FALSE)</f>
        <v>Operativo</v>
      </c>
      <c r="E107" s="2" t="s">
        <v>616</v>
      </c>
      <c r="F107" s="2" t="s">
        <v>32</v>
      </c>
      <c r="G107" s="2" t="s">
        <v>48</v>
      </c>
      <c r="H107" s="2" t="s">
        <v>345</v>
      </c>
      <c r="I107" s="2" t="s">
        <v>225</v>
      </c>
      <c r="J107" s="2" t="s">
        <v>226</v>
      </c>
      <c r="K107" s="2" t="s">
        <v>617</v>
      </c>
      <c r="L107" s="2" t="s">
        <v>304</v>
      </c>
      <c r="M107" s="2" t="s">
        <v>39</v>
      </c>
      <c r="N107" s="2" t="s">
        <v>40</v>
      </c>
      <c r="O107" s="2" t="s">
        <v>41</v>
      </c>
      <c r="P107" s="2" t="s">
        <v>53</v>
      </c>
      <c r="Q107" s="2" t="s">
        <v>53</v>
      </c>
      <c r="R107" s="2" t="s">
        <v>41</v>
      </c>
      <c r="S107" s="2" t="s">
        <v>43</v>
      </c>
      <c r="T107" s="2"/>
      <c r="U107" s="3"/>
      <c r="V107" s="2"/>
      <c r="W107" s="2"/>
      <c r="X107" s="2"/>
      <c r="Y107" s="2"/>
      <c r="Z107" s="2"/>
      <c r="AA107" s="2"/>
      <c r="AB107" s="2"/>
      <c r="AC107" s="2"/>
    </row>
    <row r="108" spans="1:29" ht="57.95" customHeight="1">
      <c r="A108" s="2" t="s">
        <v>618</v>
      </c>
      <c r="B108" s="2" t="s">
        <v>619</v>
      </c>
      <c r="C108" s="2" t="str">
        <f>sheet1[[#This Row],[Nombre]]&amp;sheet1[[#This Row],[Bp Id]]</f>
        <v>BancsCOR0004</v>
      </c>
      <c r="D108" s="2" t="str">
        <f>VLOOKUP(sheet1[[#This Row],[Columna1]],sheet13[[Columna1]:[Estado]],4,FALSE)</f>
        <v>Operativo</v>
      </c>
      <c r="E108" s="2" t="s">
        <v>620</v>
      </c>
      <c r="F108" s="2" t="s">
        <v>32</v>
      </c>
      <c r="G108" s="2" t="s">
        <v>123</v>
      </c>
      <c r="H108" s="2" t="s">
        <v>34</v>
      </c>
      <c r="I108" s="2" t="s">
        <v>339</v>
      </c>
      <c r="J108" s="2" t="s">
        <v>50</v>
      </c>
      <c r="K108" s="2" t="s">
        <v>405</v>
      </c>
      <c r="L108" s="2" t="s">
        <v>50</v>
      </c>
      <c r="M108" s="2" t="s">
        <v>621</v>
      </c>
      <c r="N108" s="2" t="s">
        <v>40</v>
      </c>
      <c r="O108" s="2" t="s">
        <v>43</v>
      </c>
      <c r="P108" s="2" t="s">
        <v>53</v>
      </c>
      <c r="Q108" s="2" t="s">
        <v>53</v>
      </c>
      <c r="R108" s="2" t="s">
        <v>43</v>
      </c>
      <c r="S108" s="2" t="s">
        <v>43</v>
      </c>
      <c r="T108" s="2"/>
      <c r="U108" s="3"/>
      <c r="V108" s="2"/>
      <c r="W108" s="2"/>
      <c r="X108" s="2"/>
      <c r="Y108" s="2"/>
      <c r="Z108" s="2"/>
      <c r="AA108" s="2"/>
      <c r="AB108" s="2"/>
      <c r="AC108" s="2"/>
    </row>
    <row r="109" spans="1:29" ht="29.1" customHeight="1">
      <c r="A109" s="2" t="s">
        <v>622</v>
      </c>
      <c r="B109" s="2" t="s">
        <v>623</v>
      </c>
      <c r="C109" s="2" t="str">
        <f>sheet1[[#This Row],[Nombre]]&amp;sheet1[[#This Row],[Bp Id]]</f>
        <v>BancsLinkCOR0005</v>
      </c>
      <c r="D109" s="2" t="str">
        <f>VLOOKUP(sheet1[[#This Row],[Columna1]],sheet13[[Columna1]:[Estado]],4,FALSE)</f>
        <v>Operativo</v>
      </c>
      <c r="E109" s="2" t="s">
        <v>624</v>
      </c>
      <c r="F109" s="2" t="s">
        <v>32</v>
      </c>
      <c r="G109" s="2" t="s">
        <v>123</v>
      </c>
      <c r="H109" s="2" t="s">
        <v>34</v>
      </c>
      <c r="I109" s="2" t="s">
        <v>339</v>
      </c>
      <c r="J109" s="2" t="s">
        <v>50</v>
      </c>
      <c r="K109" s="2" t="s">
        <v>405</v>
      </c>
      <c r="L109" s="2" t="s">
        <v>50</v>
      </c>
      <c r="M109" s="2" t="s">
        <v>39</v>
      </c>
      <c r="N109" s="2" t="s">
        <v>40</v>
      </c>
      <c r="O109" s="2" t="s">
        <v>41</v>
      </c>
      <c r="P109" s="2" t="s">
        <v>42</v>
      </c>
      <c r="Q109" s="2" t="s">
        <v>53</v>
      </c>
      <c r="R109" s="2" t="s">
        <v>41</v>
      </c>
      <c r="S109" s="2" t="s">
        <v>41</v>
      </c>
      <c r="T109" s="2" t="s">
        <v>625</v>
      </c>
      <c r="U109" s="3">
        <v>45200</v>
      </c>
      <c r="V109" s="2"/>
      <c r="W109" s="2" t="s">
        <v>626</v>
      </c>
      <c r="X109" s="2" t="s">
        <v>252</v>
      </c>
      <c r="Y109" s="2" t="s">
        <v>147</v>
      </c>
      <c r="Z109" s="2" t="s">
        <v>363</v>
      </c>
      <c r="AA109" s="2" t="s">
        <v>180</v>
      </c>
      <c r="AB109" s="2" t="s">
        <v>129</v>
      </c>
      <c r="AC109" s="2" t="s">
        <v>627</v>
      </c>
    </row>
    <row r="110" spans="1:29" ht="20.100000000000001" customHeight="1">
      <c r="A110" s="2" t="s">
        <v>628</v>
      </c>
      <c r="B110" s="2" t="s">
        <v>629</v>
      </c>
      <c r="C110" s="2" t="str">
        <f>sheet1[[#This Row],[Nombre]]&amp;sheet1[[#This Row],[Bp Id]]</f>
        <v>Banner CampañasCUS0018</v>
      </c>
      <c r="D110" s="2" t="str">
        <f>VLOOKUP(sheet1[[#This Row],[Columna1]],sheet13[[Columna1]:[Estado]],4,FALSE)</f>
        <v>Operativo</v>
      </c>
      <c r="E110" s="2" t="s">
        <v>630</v>
      </c>
      <c r="F110" s="2" t="s">
        <v>32</v>
      </c>
      <c r="G110" s="2" t="s">
        <v>48</v>
      </c>
      <c r="H110" s="2" t="s">
        <v>59</v>
      </c>
      <c r="I110" s="2" t="s">
        <v>87</v>
      </c>
      <c r="J110" s="2" t="s">
        <v>88</v>
      </c>
      <c r="K110" s="2" t="s">
        <v>479</v>
      </c>
      <c r="L110" s="2" t="s">
        <v>88</v>
      </c>
      <c r="M110" s="2" t="s">
        <v>161</v>
      </c>
      <c r="N110" s="2" t="s">
        <v>91</v>
      </c>
      <c r="O110" s="2" t="s">
        <v>43</v>
      </c>
      <c r="P110" s="2" t="s">
        <v>53</v>
      </c>
      <c r="Q110" s="2" t="s">
        <v>53</v>
      </c>
      <c r="R110" s="2" t="s">
        <v>43</v>
      </c>
      <c r="S110" s="2" t="s">
        <v>43</v>
      </c>
      <c r="T110" s="2"/>
      <c r="U110" s="3"/>
      <c r="V110" s="2"/>
      <c r="W110" s="2"/>
      <c r="X110" s="2"/>
      <c r="Y110" s="2"/>
      <c r="Z110" s="2"/>
      <c r="AA110" s="2"/>
      <c r="AB110" s="2"/>
      <c r="AC110" s="2"/>
    </row>
    <row r="111" spans="1:29" ht="20.100000000000001" customHeight="1">
      <c r="A111" s="2" t="s">
        <v>631</v>
      </c>
      <c r="B111" s="2" t="s">
        <v>632</v>
      </c>
      <c r="C111" s="2" t="str">
        <f>sheet1[[#This Row],[Nombre]]&amp;sheet1[[#This Row],[Bp Id]]</f>
        <v>Banred ON2 (Pago directo)PRD0037</v>
      </c>
      <c r="D111" s="2" t="str">
        <f>VLOOKUP(sheet1[[#This Row],[Columna1]],sheet13[[Columna1]:[Estado]],4,FALSE)</f>
        <v>Operativo</v>
      </c>
      <c r="E111" s="2" t="s">
        <v>465</v>
      </c>
      <c r="F111" s="2" t="s">
        <v>32</v>
      </c>
      <c r="G111" s="2" t="s">
        <v>48</v>
      </c>
      <c r="H111" s="2" t="s">
        <v>140</v>
      </c>
      <c r="I111" s="2" t="s">
        <v>49</v>
      </c>
      <c r="J111" s="2" t="s">
        <v>50</v>
      </c>
      <c r="K111" s="2" t="s">
        <v>633</v>
      </c>
      <c r="L111" s="2" t="s">
        <v>634</v>
      </c>
      <c r="M111" s="2" t="s">
        <v>39</v>
      </c>
      <c r="N111" s="2" t="s">
        <v>40</v>
      </c>
      <c r="O111" s="2" t="s">
        <v>41</v>
      </c>
      <c r="P111" s="2" t="s">
        <v>53</v>
      </c>
      <c r="Q111" s="2" t="s">
        <v>53</v>
      </c>
      <c r="R111" s="2" t="s">
        <v>41</v>
      </c>
      <c r="S111" s="2" t="s">
        <v>43</v>
      </c>
      <c r="T111" s="2"/>
      <c r="U111" s="3"/>
      <c r="V111" s="2"/>
      <c r="W111" s="2"/>
      <c r="X111" s="2"/>
      <c r="Y111" s="2"/>
      <c r="Z111" s="2"/>
      <c r="AA111" s="2"/>
      <c r="AB111" s="2"/>
      <c r="AC111" s="2"/>
    </row>
    <row r="112" spans="1:29" ht="20.100000000000001" customHeight="1">
      <c r="A112" s="2" t="s">
        <v>635</v>
      </c>
      <c r="B112" s="2" t="s">
        <v>636</v>
      </c>
      <c r="C112" s="2" t="str">
        <f>sheet1[[#This Row],[Nombre]]&amp;sheet1[[#This Row],[Bp Id]]</f>
        <v>Banred Switch Bono de Desarrollo HumanoPRD0005</v>
      </c>
      <c r="D112" s="2" t="str">
        <f>VLOOKUP(sheet1[[#This Row],[Columna1]],sheet13[[Columna1]:[Estado]],4,FALSE)</f>
        <v>Retirado</v>
      </c>
      <c r="E112" s="2" t="s">
        <v>139</v>
      </c>
      <c r="F112" s="2" t="s">
        <v>47</v>
      </c>
      <c r="G112" s="2" t="s">
        <v>48</v>
      </c>
      <c r="H112" s="2" t="s">
        <v>140</v>
      </c>
      <c r="I112" s="2" t="s">
        <v>553</v>
      </c>
      <c r="J112" s="2" t="s">
        <v>554</v>
      </c>
      <c r="K112" s="2" t="s">
        <v>555</v>
      </c>
      <c r="L112" s="2" t="s">
        <v>556</v>
      </c>
      <c r="M112" s="2" t="s">
        <v>621</v>
      </c>
      <c r="N112" s="2" t="s">
        <v>40</v>
      </c>
      <c r="O112" s="2" t="s">
        <v>43</v>
      </c>
      <c r="P112" s="2" t="s">
        <v>53</v>
      </c>
      <c r="Q112" s="2" t="s">
        <v>53</v>
      </c>
      <c r="R112" s="2" t="s">
        <v>43</v>
      </c>
      <c r="S112" s="2" t="s">
        <v>43</v>
      </c>
      <c r="T112" s="2"/>
      <c r="U112" s="3"/>
      <c r="V112" s="2"/>
      <c r="W112" s="2"/>
      <c r="X112" s="2"/>
      <c r="Y112" s="2"/>
      <c r="Z112" s="2"/>
      <c r="AA112" s="2"/>
      <c r="AB112" s="2"/>
      <c r="AC112" s="2"/>
    </row>
    <row r="113" spans="1:29" ht="20.100000000000001" customHeight="1">
      <c r="A113" s="2" t="s">
        <v>637</v>
      </c>
      <c r="B113" s="2" t="s">
        <v>638</v>
      </c>
      <c r="C113" s="2" t="str">
        <f>sheet1[[#This Row],[Nombre]]&amp;sheet1[[#This Row],[Bp Id]]</f>
        <v>Banred Switch IESSPRD0006</v>
      </c>
      <c r="D113" s="2" t="str">
        <f>VLOOKUP(sheet1[[#This Row],[Columna1]],sheet13[[Columna1]:[Estado]],4,FALSE)</f>
        <v>Retirado</v>
      </c>
      <c r="E113" s="2" t="s">
        <v>139</v>
      </c>
      <c r="F113" s="2" t="s">
        <v>47</v>
      </c>
      <c r="G113" s="2" t="s">
        <v>48</v>
      </c>
      <c r="H113" s="2" t="s">
        <v>140</v>
      </c>
      <c r="I113" s="2" t="s">
        <v>553</v>
      </c>
      <c r="J113" s="2" t="s">
        <v>554</v>
      </c>
      <c r="K113" s="2" t="s">
        <v>555</v>
      </c>
      <c r="L113" s="2" t="s">
        <v>556</v>
      </c>
      <c r="M113" s="2" t="s">
        <v>621</v>
      </c>
      <c r="N113" s="2" t="s">
        <v>40</v>
      </c>
      <c r="O113" s="2" t="s">
        <v>43</v>
      </c>
      <c r="P113" s="2" t="s">
        <v>53</v>
      </c>
      <c r="Q113" s="2" t="s">
        <v>53</v>
      </c>
      <c r="R113" s="2" t="s">
        <v>43</v>
      </c>
      <c r="S113" s="2" t="s">
        <v>43</v>
      </c>
      <c r="T113" s="2"/>
      <c r="U113" s="3"/>
      <c r="V113" s="2"/>
      <c r="W113" s="2"/>
      <c r="X113" s="2"/>
      <c r="Y113" s="2"/>
      <c r="Z113" s="2"/>
      <c r="AA113" s="2"/>
      <c r="AB113" s="2"/>
      <c r="AC113" s="2"/>
    </row>
    <row r="114" spans="1:29" ht="20.100000000000001" customHeight="1">
      <c r="A114" s="2" t="s">
        <v>639</v>
      </c>
      <c r="B114" s="2" t="s">
        <v>640</v>
      </c>
      <c r="C114" s="2" t="str">
        <f>sheet1[[#This Row],[Nombre]]&amp;sheet1[[#This Row],[Bp Id]]</f>
        <v>Banred Switch SENAEPRD0007</v>
      </c>
      <c r="D114" s="2" t="str">
        <f>VLOOKUP(sheet1[[#This Row],[Columna1]],sheet13[[Columna1]:[Estado]],4,FALSE)</f>
        <v>Retirado</v>
      </c>
      <c r="E114" s="2" t="s">
        <v>139</v>
      </c>
      <c r="F114" s="2" t="s">
        <v>47</v>
      </c>
      <c r="G114" s="2" t="s">
        <v>48</v>
      </c>
      <c r="H114" s="2" t="s">
        <v>140</v>
      </c>
      <c r="I114" s="2" t="s">
        <v>553</v>
      </c>
      <c r="J114" s="2" t="s">
        <v>554</v>
      </c>
      <c r="K114" s="2" t="s">
        <v>555</v>
      </c>
      <c r="L114" s="2" t="s">
        <v>556</v>
      </c>
      <c r="M114" s="2" t="s">
        <v>621</v>
      </c>
      <c r="N114" s="2" t="s">
        <v>40</v>
      </c>
      <c r="O114" s="2" t="s">
        <v>43</v>
      </c>
      <c r="P114" s="2" t="s">
        <v>53</v>
      </c>
      <c r="Q114" s="2" t="s">
        <v>53</v>
      </c>
      <c r="R114" s="2" t="s">
        <v>43</v>
      </c>
      <c r="S114" s="2" t="s">
        <v>43</v>
      </c>
      <c r="T114" s="2"/>
      <c r="U114" s="3"/>
      <c r="V114" s="2"/>
      <c r="W114" s="2"/>
      <c r="X114" s="2"/>
      <c r="Y114" s="2"/>
      <c r="Z114" s="2"/>
      <c r="AA114" s="2"/>
      <c r="AB114" s="2"/>
      <c r="AC114" s="2"/>
    </row>
    <row r="115" spans="1:29" ht="20.100000000000001" customHeight="1">
      <c r="A115" s="2" t="s">
        <v>641</v>
      </c>
      <c r="B115" s="2" t="s">
        <v>642</v>
      </c>
      <c r="C115" s="2" t="str">
        <f>sheet1[[#This Row],[Nombre]]&amp;sheet1[[#This Row],[Bp Id]]</f>
        <v>Banred Switch UPPPRD0008</v>
      </c>
      <c r="D115" s="2" t="str">
        <f>VLOOKUP(sheet1[[#This Row],[Columna1]],sheet13[[Columna1]:[Estado]],4,FALSE)</f>
        <v>Retirado</v>
      </c>
      <c r="E115" s="2" t="s">
        <v>139</v>
      </c>
      <c r="F115" s="2" t="s">
        <v>47</v>
      </c>
      <c r="G115" s="2" t="s">
        <v>48</v>
      </c>
      <c r="H115" s="2" t="s">
        <v>140</v>
      </c>
      <c r="I115" s="2" t="s">
        <v>553</v>
      </c>
      <c r="J115" s="2" t="s">
        <v>554</v>
      </c>
      <c r="K115" s="2" t="s">
        <v>555</v>
      </c>
      <c r="L115" s="2" t="s">
        <v>556</v>
      </c>
      <c r="M115" s="2" t="s">
        <v>621</v>
      </c>
      <c r="N115" s="2" t="s">
        <v>40</v>
      </c>
      <c r="O115" s="2" t="s">
        <v>43</v>
      </c>
      <c r="P115" s="2" t="s">
        <v>53</v>
      </c>
      <c r="Q115" s="2" t="s">
        <v>53</v>
      </c>
      <c r="R115" s="2" t="s">
        <v>43</v>
      </c>
      <c r="S115" s="2" t="s">
        <v>43</v>
      </c>
      <c r="T115" s="2"/>
      <c r="U115" s="3"/>
      <c r="V115" s="2"/>
      <c r="W115" s="2"/>
      <c r="X115" s="2"/>
      <c r="Y115" s="2"/>
      <c r="Z115" s="2"/>
      <c r="AA115" s="2"/>
      <c r="AB115" s="2"/>
      <c r="AC115" s="2"/>
    </row>
    <row r="116" spans="1:29" ht="14.45" customHeight="1">
      <c r="A116" s="2" t="s">
        <v>643</v>
      </c>
      <c r="B116" s="2" t="s">
        <v>644</v>
      </c>
      <c r="C116" s="2" t="str">
        <f>sheet1[[#This Row],[Nombre]]&amp;sheet1[[#This Row],[Bp Id]]</f>
        <v>Procesamiento Datos OnpremiseDAT0002</v>
      </c>
      <c r="D116" s="2" t="str">
        <f>VLOOKUP(sheet1[[#This Row],[Columna1]],sheet13[[Columna1]:[Estado]],4,FALSE)</f>
        <v>Operativo</v>
      </c>
      <c r="E116" s="2" t="s">
        <v>645</v>
      </c>
      <c r="F116" s="2" t="s">
        <v>32</v>
      </c>
      <c r="G116" s="2" t="s">
        <v>58</v>
      </c>
      <c r="H116" s="2" t="s">
        <v>34</v>
      </c>
      <c r="I116" s="2" t="s">
        <v>328</v>
      </c>
      <c r="J116" s="2" t="s">
        <v>646</v>
      </c>
      <c r="K116" s="2" t="s">
        <v>575</v>
      </c>
      <c r="L116" s="2" t="s">
        <v>647</v>
      </c>
      <c r="M116" s="2" t="s">
        <v>648</v>
      </c>
      <c r="N116" s="2" t="s">
        <v>40</v>
      </c>
      <c r="O116" s="2" t="s">
        <v>41</v>
      </c>
      <c r="P116" s="2" t="s">
        <v>533</v>
      </c>
      <c r="Q116" s="2" t="s">
        <v>42</v>
      </c>
      <c r="R116" s="2" t="s">
        <v>41</v>
      </c>
      <c r="S116" s="2" t="s">
        <v>43</v>
      </c>
      <c r="T116" s="2"/>
      <c r="U116" s="3"/>
      <c r="V116" s="2"/>
      <c r="W116" s="2"/>
      <c r="X116" s="2"/>
      <c r="Y116" s="2"/>
      <c r="Z116" s="2"/>
      <c r="AA116" s="2"/>
      <c r="AB116" s="2"/>
      <c r="AC116" s="2"/>
    </row>
    <row r="117" spans="1:29" ht="20.100000000000001" customHeight="1">
      <c r="A117" s="2" t="s">
        <v>649</v>
      </c>
      <c r="B117" s="2" t="s">
        <v>650</v>
      </c>
      <c r="C117" s="2" t="str">
        <f>sheet1[[#This Row],[Nombre]]&amp;sheet1[[#This Row],[Bp Id]]</f>
        <v>BECLEVERRIS0003</v>
      </c>
      <c r="D117" s="2" t="str">
        <f>VLOOKUP(sheet1[[#This Row],[Columna1]],sheet13[[Columna1]:[Estado]],4,FALSE)</f>
        <v>Operativo</v>
      </c>
      <c r="E117" s="2" t="s">
        <v>651</v>
      </c>
      <c r="F117" s="2" t="s">
        <v>32</v>
      </c>
      <c r="G117" s="2" t="s">
        <v>76</v>
      </c>
      <c r="H117" s="2" t="s">
        <v>59</v>
      </c>
      <c r="I117" s="2" t="s">
        <v>320</v>
      </c>
      <c r="J117" s="2" t="s">
        <v>321</v>
      </c>
      <c r="K117" s="2" t="s">
        <v>322</v>
      </c>
      <c r="L117" s="2" t="s">
        <v>595</v>
      </c>
      <c r="M117" s="2" t="s">
        <v>63</v>
      </c>
      <c r="N117" s="2" t="s">
        <v>40</v>
      </c>
      <c r="O117" s="2" t="s">
        <v>41</v>
      </c>
      <c r="P117" s="2" t="s">
        <v>53</v>
      </c>
      <c r="Q117" s="2" t="s">
        <v>53</v>
      </c>
      <c r="R117" s="2" t="s">
        <v>43</v>
      </c>
      <c r="S117" s="2" t="s">
        <v>43</v>
      </c>
      <c r="T117" s="2"/>
      <c r="U117" s="3"/>
      <c r="V117" s="2"/>
      <c r="W117" s="2"/>
      <c r="X117" s="2"/>
      <c r="Y117" s="2"/>
      <c r="Z117" s="2"/>
      <c r="AA117" s="2"/>
      <c r="AB117" s="2"/>
      <c r="AC117" s="2"/>
    </row>
    <row r="118" spans="1:29" ht="20.100000000000001" customHeight="1">
      <c r="A118" s="2" t="s">
        <v>652</v>
      </c>
      <c r="B118" s="2" t="s">
        <v>653</v>
      </c>
      <c r="C118" s="2" t="str">
        <f>sheet1[[#This Row],[Nombre]]&amp;sheet1[[#This Row],[Bp Id]]</f>
        <v>Billetera PichinchaCHL0033</v>
      </c>
      <c r="D118" s="2" t="str">
        <f>VLOOKUP(sheet1[[#This Row],[Columna1]],sheet13[[Columna1]:[Estado]],4,FALSE)</f>
        <v>Operativo</v>
      </c>
      <c r="E118" s="2" t="s">
        <v>654</v>
      </c>
      <c r="F118" s="2" t="s">
        <v>32</v>
      </c>
      <c r="G118" s="2" t="s">
        <v>48</v>
      </c>
      <c r="H118" s="2" t="s">
        <v>59</v>
      </c>
      <c r="I118" s="2" t="s">
        <v>208</v>
      </c>
      <c r="J118" s="2" t="s">
        <v>209</v>
      </c>
      <c r="K118" s="2" t="s">
        <v>445</v>
      </c>
      <c r="L118" s="2" t="s">
        <v>209</v>
      </c>
      <c r="M118" s="2" t="s">
        <v>39</v>
      </c>
      <c r="N118" s="2" t="s">
        <v>91</v>
      </c>
      <c r="O118" s="2" t="s">
        <v>41</v>
      </c>
      <c r="P118" s="2" t="s">
        <v>53</v>
      </c>
      <c r="Q118" s="2" t="s">
        <v>53</v>
      </c>
      <c r="R118" s="2" t="s">
        <v>43</v>
      </c>
      <c r="S118" s="2" t="s">
        <v>43</v>
      </c>
      <c r="T118" s="2"/>
      <c r="U118" s="3"/>
      <c r="V118" s="2"/>
      <c r="W118" s="2"/>
      <c r="X118" s="2"/>
      <c r="Y118" s="2"/>
      <c r="Z118" s="2"/>
      <c r="AA118" s="2"/>
      <c r="AB118" s="2"/>
      <c r="AC118" s="2"/>
    </row>
    <row r="119" spans="1:29" ht="57.95" customHeight="1">
      <c r="A119" s="2" t="s">
        <v>655</v>
      </c>
      <c r="B119" s="2" t="s">
        <v>656</v>
      </c>
      <c r="C119" s="2" t="str">
        <f>sheet1[[#This Row],[Nombre]]&amp;sheet1[[#This Row],[Bp Id]]</f>
        <v>BiocatchSEC0006</v>
      </c>
      <c r="D119" s="2" t="str">
        <f>VLOOKUP(sheet1[[#This Row],[Columna1]],sheet13[[Columna1]:[Estado]],4,FALSE)</f>
        <v>Operativo</v>
      </c>
      <c r="E119" s="2" t="s">
        <v>657</v>
      </c>
      <c r="F119" s="2" t="s">
        <v>32</v>
      </c>
      <c r="G119" s="2" t="s">
        <v>76</v>
      </c>
      <c r="H119" s="2" t="s">
        <v>59</v>
      </c>
      <c r="I119" s="2" t="s">
        <v>258</v>
      </c>
      <c r="J119" s="2" t="s">
        <v>214</v>
      </c>
      <c r="K119" s="2" t="s">
        <v>658</v>
      </c>
      <c r="L119" s="2" t="s">
        <v>658</v>
      </c>
      <c r="M119" s="2" t="s">
        <v>111</v>
      </c>
      <c r="N119" s="2" t="s">
        <v>40</v>
      </c>
      <c r="O119" s="2" t="s">
        <v>41</v>
      </c>
      <c r="P119" s="2" t="s">
        <v>64</v>
      </c>
      <c r="Q119" s="2" t="s">
        <v>42</v>
      </c>
      <c r="R119" s="2" t="s">
        <v>41</v>
      </c>
      <c r="S119" s="2" t="s">
        <v>41</v>
      </c>
      <c r="T119" s="2" t="s">
        <v>659</v>
      </c>
      <c r="U119" s="3">
        <v>45448</v>
      </c>
      <c r="V119" s="2" t="s">
        <v>660</v>
      </c>
      <c r="W119" s="2" t="s">
        <v>146</v>
      </c>
      <c r="X119" s="2" t="s">
        <v>626</v>
      </c>
      <c r="Y119" s="2" t="s">
        <v>376</v>
      </c>
      <c r="Z119" s="2" t="s">
        <v>127</v>
      </c>
      <c r="AA119" s="2" t="s">
        <v>661</v>
      </c>
      <c r="AB119" s="2" t="s">
        <v>129</v>
      </c>
      <c r="AC119" s="2" t="s">
        <v>662</v>
      </c>
    </row>
    <row r="120" spans="1:29" ht="20.100000000000001" customHeight="1">
      <c r="A120" s="2" t="s">
        <v>663</v>
      </c>
      <c r="B120" s="2" t="s">
        <v>664</v>
      </c>
      <c r="C120" s="2" t="str">
        <f>sheet1[[#This Row],[Nombre]]&amp;sheet1[[#This Row],[Bp Id]]</f>
        <v>BIZAGI (Deshabilitado)TIE0003</v>
      </c>
      <c r="D120" s="2" t="e">
        <f>VLOOKUP(sheet1[[#This Row],[Columna1]],sheet13[[Columna1]:[Estado]],4,FALSE)</f>
        <v>#N/A</v>
      </c>
      <c r="E120" s="2" t="s">
        <v>665</v>
      </c>
      <c r="F120" s="2" t="s">
        <v>47</v>
      </c>
      <c r="G120" s="2" t="s">
        <v>33</v>
      </c>
      <c r="H120" s="2" t="s">
        <v>34</v>
      </c>
      <c r="I120" s="2" t="s">
        <v>487</v>
      </c>
      <c r="J120" s="2" t="s">
        <v>488</v>
      </c>
      <c r="K120" s="2" t="s">
        <v>666</v>
      </c>
      <c r="L120" s="2" t="s">
        <v>490</v>
      </c>
      <c r="M120" s="2" t="s">
        <v>39</v>
      </c>
      <c r="N120" s="2" t="s">
        <v>40</v>
      </c>
      <c r="O120" s="2" t="s">
        <v>43</v>
      </c>
      <c r="P120" s="2" t="s">
        <v>311</v>
      </c>
      <c r="Q120" s="2" t="s">
        <v>311</v>
      </c>
      <c r="R120" s="2" t="s">
        <v>43</v>
      </c>
      <c r="S120" s="2" t="s">
        <v>43</v>
      </c>
      <c r="T120" s="2"/>
      <c r="U120" s="3"/>
      <c r="V120" s="2"/>
      <c r="W120" s="2"/>
      <c r="X120" s="2"/>
      <c r="Y120" s="2"/>
      <c r="Z120" s="2"/>
      <c r="AA120" s="2"/>
      <c r="AB120" s="2"/>
      <c r="AC120" s="2"/>
    </row>
    <row r="121" spans="1:29" ht="20.100000000000001" customHeight="1">
      <c r="A121" s="2" t="s">
        <v>667</v>
      </c>
      <c r="B121" s="2" t="s">
        <v>668</v>
      </c>
      <c r="C121" s="2" t="str">
        <f>sheet1[[#This Row],[Nombre]]&amp;sheet1[[#This Row],[Bp Id]]</f>
        <v>BMC TSSAITM0076</v>
      </c>
      <c r="D121" s="2" t="str">
        <f>VLOOKUP(sheet1[[#This Row],[Columna1]],sheet13[[Columna1]:[Estado]],4,FALSE)</f>
        <v>Operativo</v>
      </c>
      <c r="E121" s="2" t="s">
        <v>669</v>
      </c>
      <c r="F121" s="2" t="s">
        <v>32</v>
      </c>
      <c r="G121" s="2" t="s">
        <v>48</v>
      </c>
      <c r="H121" s="2" t="s">
        <v>34</v>
      </c>
      <c r="I121" s="2" t="s">
        <v>670</v>
      </c>
      <c r="J121" s="2" t="s">
        <v>450</v>
      </c>
      <c r="K121" s="2" t="s">
        <v>671</v>
      </c>
      <c r="L121" s="2" t="s">
        <v>672</v>
      </c>
      <c r="M121" s="2" t="s">
        <v>52</v>
      </c>
      <c r="N121" s="2" t="s">
        <v>40</v>
      </c>
      <c r="O121" s="2" t="s">
        <v>41</v>
      </c>
      <c r="P121" s="2" t="s">
        <v>53</v>
      </c>
      <c r="Q121" s="2" t="s">
        <v>53</v>
      </c>
      <c r="R121" s="2" t="s">
        <v>43</v>
      </c>
      <c r="S121" s="2" t="s">
        <v>43</v>
      </c>
      <c r="T121" s="2"/>
      <c r="U121" s="3"/>
      <c r="V121" s="2"/>
      <c r="W121" s="2"/>
      <c r="X121" s="2"/>
      <c r="Y121" s="2"/>
      <c r="Z121" s="2"/>
      <c r="AA121" s="2"/>
      <c r="AB121" s="2"/>
      <c r="AC121" s="2"/>
    </row>
    <row r="122" spans="1:29" ht="29.1" customHeight="1">
      <c r="A122" s="2" t="s">
        <v>673</v>
      </c>
      <c r="B122" s="2" t="s">
        <v>674</v>
      </c>
      <c r="C122" s="2" t="str">
        <f>sheet1[[#This Row],[Nombre]]&amp;sheet1[[#This Row],[Bp Id]]</f>
        <v>BP-MOVILCHL0007</v>
      </c>
      <c r="D122" s="2" t="str">
        <f>VLOOKUP(sheet1[[#This Row],[Columna1]],sheet13[[Columna1]:[Estado]],4,FALSE)</f>
        <v>Operativo</v>
      </c>
      <c r="E122" s="2" t="s">
        <v>675</v>
      </c>
      <c r="F122" s="2" t="s">
        <v>32</v>
      </c>
      <c r="G122" s="2" t="s">
        <v>33</v>
      </c>
      <c r="H122" s="2" t="s">
        <v>59</v>
      </c>
      <c r="I122" s="2" t="s">
        <v>35</v>
      </c>
      <c r="J122" s="2" t="s">
        <v>394</v>
      </c>
      <c r="K122" s="2" t="s">
        <v>395</v>
      </c>
      <c r="L122" s="2" t="s">
        <v>394</v>
      </c>
      <c r="M122" s="2" t="s">
        <v>39</v>
      </c>
      <c r="N122" s="2" t="s">
        <v>91</v>
      </c>
      <c r="O122" s="2" t="s">
        <v>41</v>
      </c>
      <c r="P122" s="2" t="s">
        <v>53</v>
      </c>
      <c r="Q122" s="2" t="s">
        <v>53</v>
      </c>
      <c r="R122" s="2" t="s">
        <v>43</v>
      </c>
      <c r="S122" s="2" t="s">
        <v>43</v>
      </c>
      <c r="T122" s="2"/>
      <c r="U122" s="3"/>
      <c r="V122" s="2"/>
      <c r="W122" s="2"/>
      <c r="X122" s="2"/>
      <c r="Y122" s="2"/>
      <c r="Z122" s="2"/>
      <c r="AA122" s="2"/>
      <c r="AB122" s="2"/>
      <c r="AC122" s="2"/>
    </row>
    <row r="123" spans="1:29" ht="290.10000000000002" customHeight="1">
      <c r="A123" s="2" t="s">
        <v>676</v>
      </c>
      <c r="B123" s="2" t="s">
        <v>677</v>
      </c>
      <c r="C123" s="2" t="str">
        <f>sheet1[[#This Row],[Nombre]]&amp;sheet1[[#This Row],[Bp Id]]</f>
        <v>BPOneCHL0045</v>
      </c>
      <c r="D123" s="2" t="str">
        <f>VLOOKUP(sheet1[[#This Row],[Columna1]],sheet13[[Columna1]:[Estado]],4,FALSE)</f>
        <v>Operativo</v>
      </c>
      <c r="E123" s="2" t="s">
        <v>678</v>
      </c>
      <c r="F123" s="2" t="s">
        <v>32</v>
      </c>
      <c r="G123" s="2" t="s">
        <v>123</v>
      </c>
      <c r="H123" s="2" t="s">
        <v>59</v>
      </c>
      <c r="I123" s="2" t="s">
        <v>35</v>
      </c>
      <c r="J123" s="2" t="s">
        <v>36</v>
      </c>
      <c r="K123" s="2" t="s">
        <v>679</v>
      </c>
      <c r="L123" s="2" t="s">
        <v>680</v>
      </c>
      <c r="M123" s="2" t="s">
        <v>39</v>
      </c>
      <c r="N123" s="2" t="s">
        <v>40</v>
      </c>
      <c r="O123" s="2" t="s">
        <v>43</v>
      </c>
      <c r="P123" s="2" t="s">
        <v>64</v>
      </c>
      <c r="Q123" s="2" t="s">
        <v>64</v>
      </c>
      <c r="R123" s="2" t="s">
        <v>43</v>
      </c>
      <c r="S123" s="2" t="s">
        <v>43</v>
      </c>
      <c r="T123" s="2" t="s">
        <v>681</v>
      </c>
      <c r="U123" s="3">
        <v>45993</v>
      </c>
      <c r="V123" s="2" t="s">
        <v>682</v>
      </c>
      <c r="W123" s="2"/>
      <c r="X123" s="2"/>
      <c r="Y123" s="2"/>
      <c r="Z123" s="2"/>
      <c r="AA123" s="2"/>
      <c r="AB123" s="2"/>
      <c r="AC123" s="2" t="s">
        <v>683</v>
      </c>
    </row>
    <row r="124" spans="1:29" ht="29.1" customHeight="1">
      <c r="A124" s="2" t="s">
        <v>684</v>
      </c>
      <c r="B124" s="2" t="s">
        <v>685</v>
      </c>
      <c r="C124" s="2" t="str">
        <f>sheet1[[#This Row],[Nombre]]&amp;sheet1[[#This Row],[Bp Id]]</f>
        <v>Bridger Insight XG EnterpriseGOB0011</v>
      </c>
      <c r="D124" s="2" t="str">
        <f>VLOOKUP(sheet1[[#This Row],[Columna1]],sheet13[[Columna1]:[Estado]],4,FALSE)</f>
        <v>Operativo</v>
      </c>
      <c r="E124" s="2" t="s">
        <v>686</v>
      </c>
      <c r="F124" s="2" t="s">
        <v>32</v>
      </c>
      <c r="G124" s="2" t="s">
        <v>123</v>
      </c>
      <c r="H124" s="2" t="s">
        <v>59</v>
      </c>
      <c r="I124" s="2" t="s">
        <v>225</v>
      </c>
      <c r="J124" s="2" t="s">
        <v>226</v>
      </c>
      <c r="K124" s="2" t="s">
        <v>687</v>
      </c>
      <c r="L124" s="2" t="s">
        <v>228</v>
      </c>
      <c r="M124" s="2" t="s">
        <v>39</v>
      </c>
      <c r="N124" s="2" t="s">
        <v>40</v>
      </c>
      <c r="O124" s="2" t="s">
        <v>41</v>
      </c>
      <c r="P124" s="2" t="s">
        <v>64</v>
      </c>
      <c r="Q124" s="2" t="s">
        <v>53</v>
      </c>
      <c r="R124" s="2" t="s">
        <v>41</v>
      </c>
      <c r="S124" s="2" t="s">
        <v>41</v>
      </c>
      <c r="T124" s="2"/>
      <c r="U124" s="3">
        <v>45834</v>
      </c>
      <c r="V124" s="2"/>
      <c r="W124" s="2" t="s">
        <v>187</v>
      </c>
      <c r="X124" s="2" t="s">
        <v>253</v>
      </c>
      <c r="Y124" s="2" t="s">
        <v>127</v>
      </c>
      <c r="Z124" s="2" t="s">
        <v>127</v>
      </c>
      <c r="AA124" s="2" t="s">
        <v>180</v>
      </c>
      <c r="AB124" s="2" t="s">
        <v>415</v>
      </c>
      <c r="AC124" s="2" t="s">
        <v>688</v>
      </c>
    </row>
    <row r="125" spans="1:29" ht="14.45" customHeight="1">
      <c r="A125" s="2" t="s">
        <v>689</v>
      </c>
      <c r="B125" s="2" t="s">
        <v>690</v>
      </c>
      <c r="C125" s="2" t="str">
        <f>sheet1[[#This Row],[Nombre]]&amp;sheet1[[#This Row],[Bp Id]]</f>
        <v>Cadenas de ValorPRD0062</v>
      </c>
      <c r="D125" s="2" t="str">
        <f>VLOOKUP(sheet1[[#This Row],[Columna1]],sheet13[[Columna1]:[Estado]],4,FALSE)</f>
        <v>Operativo</v>
      </c>
      <c r="E125" s="2" t="s">
        <v>691</v>
      </c>
      <c r="F125" s="2" t="s">
        <v>32</v>
      </c>
      <c r="G125" s="2" t="s">
        <v>48</v>
      </c>
      <c r="H125" s="2" t="s">
        <v>59</v>
      </c>
      <c r="I125" s="2" t="s">
        <v>116</v>
      </c>
      <c r="J125" s="2" t="s">
        <v>62</v>
      </c>
      <c r="K125" s="2" t="s">
        <v>117</v>
      </c>
      <c r="L125" s="2" t="s">
        <v>118</v>
      </c>
      <c r="M125" s="2" t="s">
        <v>39</v>
      </c>
      <c r="N125" s="2" t="s">
        <v>91</v>
      </c>
      <c r="O125" s="2" t="s">
        <v>41</v>
      </c>
      <c r="P125" s="2" t="s">
        <v>53</v>
      </c>
      <c r="Q125" s="2" t="s">
        <v>53</v>
      </c>
      <c r="R125" s="2" t="s">
        <v>43</v>
      </c>
      <c r="S125" s="2" t="s">
        <v>43</v>
      </c>
      <c r="T125" s="2"/>
      <c r="U125" s="3"/>
      <c r="V125" s="2"/>
      <c r="W125" s="2"/>
      <c r="X125" s="2"/>
      <c r="Y125" s="2"/>
      <c r="Z125" s="2"/>
      <c r="AA125" s="2"/>
      <c r="AB125" s="2"/>
      <c r="AC125" s="2"/>
    </row>
    <row r="126" spans="1:29" ht="174" customHeight="1">
      <c r="A126" s="2" t="s">
        <v>692</v>
      </c>
      <c r="B126" s="2" t="s">
        <v>693</v>
      </c>
      <c r="C126" s="2" t="str">
        <f>sheet1[[#This Row],[Nombre]]&amp;sheet1[[#This Row],[Bp Id]]</f>
        <v>CAFServer (TOTEM)PAY0003</v>
      </c>
      <c r="D126" s="2" t="str">
        <f>VLOOKUP(sheet1[[#This Row],[Columna1]],sheet13[[Columna1]:[Estado]],4,FALSE)</f>
        <v>Operativo</v>
      </c>
      <c r="E126" s="2" t="s">
        <v>694</v>
      </c>
      <c r="F126" s="2" t="s">
        <v>32</v>
      </c>
      <c r="G126" s="2" t="s">
        <v>123</v>
      </c>
      <c r="H126" s="2" t="s">
        <v>34</v>
      </c>
      <c r="I126" s="2" t="s">
        <v>141</v>
      </c>
      <c r="J126" s="2" t="s">
        <v>151</v>
      </c>
      <c r="K126" s="2" t="s">
        <v>564</v>
      </c>
      <c r="L126" s="2" t="s">
        <v>565</v>
      </c>
      <c r="M126" s="2" t="s">
        <v>39</v>
      </c>
      <c r="N126" s="2" t="s">
        <v>40</v>
      </c>
      <c r="O126" s="2" t="s">
        <v>43</v>
      </c>
      <c r="P126" s="2" t="s">
        <v>53</v>
      </c>
      <c r="Q126" s="2" t="s">
        <v>53</v>
      </c>
      <c r="R126" s="2" t="s">
        <v>43</v>
      </c>
      <c r="S126" s="2" t="s">
        <v>43</v>
      </c>
      <c r="T126" s="2" t="s">
        <v>695</v>
      </c>
      <c r="U126" s="3">
        <v>45945</v>
      </c>
      <c r="V126" s="2" t="s">
        <v>163</v>
      </c>
      <c r="W126" s="2"/>
      <c r="X126" s="2"/>
      <c r="Y126" s="2"/>
      <c r="Z126" s="2"/>
      <c r="AA126" s="2" t="s">
        <v>696</v>
      </c>
      <c r="AB126" s="2"/>
      <c r="AC126" s="2"/>
    </row>
    <row r="127" spans="1:29" ht="14.45" customHeight="1">
      <c r="A127" s="2" t="s">
        <v>697</v>
      </c>
      <c r="B127" s="2" t="s">
        <v>698</v>
      </c>
      <c r="C127" s="2" t="str">
        <f>sheet1[[#This Row],[Nombre]]&amp;sheet1[[#This Row],[Bp Id]]</f>
        <v>Calificación CrediticiaRIS0018</v>
      </c>
      <c r="D127" s="2" t="str">
        <f>VLOOKUP(sheet1[[#This Row],[Columna1]],sheet13[[Columna1]:[Estado]],4,FALSE)</f>
        <v>Operativo</v>
      </c>
      <c r="E127" s="2" t="s">
        <v>699</v>
      </c>
      <c r="F127" s="2" t="s">
        <v>32</v>
      </c>
      <c r="G127" s="2" t="s">
        <v>48</v>
      </c>
      <c r="H127" s="2" t="s">
        <v>59</v>
      </c>
      <c r="I127" s="2" t="s">
        <v>320</v>
      </c>
      <c r="J127" s="2" t="s">
        <v>321</v>
      </c>
      <c r="K127" s="2" t="s">
        <v>672</v>
      </c>
      <c r="L127" s="2" t="s">
        <v>323</v>
      </c>
      <c r="M127" s="2" t="s">
        <v>63</v>
      </c>
      <c r="N127" s="2" t="s">
        <v>40</v>
      </c>
      <c r="O127" s="2" t="s">
        <v>41</v>
      </c>
      <c r="P127" s="2" t="s">
        <v>64</v>
      </c>
      <c r="Q127" s="2" t="s">
        <v>53</v>
      </c>
      <c r="R127" s="2" t="s">
        <v>43</v>
      </c>
      <c r="S127" s="2" t="s">
        <v>43</v>
      </c>
      <c r="T127" s="2"/>
      <c r="U127" s="3"/>
      <c r="V127" s="2"/>
      <c r="W127" s="2"/>
      <c r="X127" s="2"/>
      <c r="Y127" s="2"/>
      <c r="Z127" s="2"/>
      <c r="AA127" s="2"/>
      <c r="AB127" s="2"/>
      <c r="AC127" s="2"/>
    </row>
    <row r="128" spans="1:29" ht="20.100000000000001" customHeight="1">
      <c r="A128" s="2" t="s">
        <v>700</v>
      </c>
      <c r="B128" s="2" t="s">
        <v>701</v>
      </c>
      <c r="C128" s="2" t="str">
        <f>sheet1[[#This Row],[Nombre]]&amp;sheet1[[#This Row],[Bp Id]]</f>
        <v>Callme backCUS0003</v>
      </c>
      <c r="D128" s="2" t="str">
        <f>VLOOKUP(sheet1[[#This Row],[Columna1]],sheet13[[Columna1]:[Estado]],4,FALSE)</f>
        <v>Operativo</v>
      </c>
      <c r="E128" s="2" t="s">
        <v>139</v>
      </c>
      <c r="F128" s="2" t="s">
        <v>32</v>
      </c>
      <c r="G128" s="2" t="s">
        <v>48</v>
      </c>
      <c r="H128" s="2" t="s">
        <v>59</v>
      </c>
      <c r="I128" s="2" t="s">
        <v>87</v>
      </c>
      <c r="J128" s="2" t="s">
        <v>88</v>
      </c>
      <c r="K128" s="2" t="s">
        <v>479</v>
      </c>
      <c r="L128" s="2" t="s">
        <v>88</v>
      </c>
      <c r="M128" s="2" t="s">
        <v>161</v>
      </c>
      <c r="N128" s="2" t="s">
        <v>40</v>
      </c>
      <c r="O128" s="2" t="s">
        <v>43</v>
      </c>
      <c r="P128" s="2" t="s">
        <v>53</v>
      </c>
      <c r="Q128" s="2" t="s">
        <v>53</v>
      </c>
      <c r="R128" s="2" t="s">
        <v>43</v>
      </c>
      <c r="S128" s="2" t="s">
        <v>43</v>
      </c>
      <c r="T128" s="2"/>
      <c r="U128" s="3"/>
      <c r="V128" s="2"/>
      <c r="W128" s="2"/>
      <c r="X128" s="2"/>
      <c r="Y128" s="2"/>
      <c r="Z128" s="2"/>
      <c r="AA128" s="2"/>
      <c r="AB128" s="2"/>
      <c r="AC128" s="2"/>
    </row>
    <row r="129" spans="1:29" ht="20.100000000000001" customHeight="1">
      <c r="A129" s="2" t="s">
        <v>702</v>
      </c>
      <c r="B129" s="2" t="s">
        <v>703</v>
      </c>
      <c r="C129" s="2" t="str">
        <f>sheet1[[#This Row],[Nombre]]&amp;sheet1[[#This Row],[Bp Id]]</f>
        <v>Campañas SMS AnywayCUS0004</v>
      </c>
      <c r="D129" s="2" t="str">
        <f>VLOOKUP(sheet1[[#This Row],[Columna1]],sheet13[[Columna1]:[Estado]],4,FALSE)</f>
        <v>Retirado</v>
      </c>
      <c r="E129" s="2" t="s">
        <v>465</v>
      </c>
      <c r="F129" s="2" t="s">
        <v>47</v>
      </c>
      <c r="G129" s="2" t="s">
        <v>48</v>
      </c>
      <c r="H129" s="2" t="s">
        <v>140</v>
      </c>
      <c r="I129" s="2" t="s">
        <v>134</v>
      </c>
      <c r="J129" s="2" t="s">
        <v>88</v>
      </c>
      <c r="K129" s="2" t="s">
        <v>479</v>
      </c>
      <c r="L129" s="2" t="s">
        <v>480</v>
      </c>
      <c r="M129" s="2" t="s">
        <v>39</v>
      </c>
      <c r="N129" s="2" t="s">
        <v>40</v>
      </c>
      <c r="O129" s="2" t="s">
        <v>43</v>
      </c>
      <c r="P129" s="2" t="s">
        <v>704</v>
      </c>
      <c r="Q129" s="2" t="s">
        <v>53</v>
      </c>
      <c r="R129" s="2" t="s">
        <v>43</v>
      </c>
      <c r="S129" s="2" t="s">
        <v>43</v>
      </c>
      <c r="T129" s="2"/>
      <c r="U129" s="3"/>
      <c r="V129" s="2"/>
      <c r="W129" s="2"/>
      <c r="X129" s="2"/>
      <c r="Y129" s="2"/>
      <c r="Z129" s="2"/>
      <c r="AA129" s="2"/>
      <c r="AB129" s="2"/>
      <c r="AC129" s="2"/>
    </row>
    <row r="130" spans="1:29" ht="14.45" customHeight="1">
      <c r="A130" s="2" t="s">
        <v>705</v>
      </c>
      <c r="B130" s="2" t="s">
        <v>706</v>
      </c>
      <c r="C130" s="2" t="str">
        <f>sheet1[[#This Row],[Nombre]]&amp;sheet1[[#This Row],[Bp Id]]</f>
        <v>CapturadeFirmasTIE0004</v>
      </c>
      <c r="D130" s="2" t="str">
        <f>VLOOKUP(sheet1[[#This Row],[Columna1]],sheet13[[Columna1]:[Estado]],4,FALSE)</f>
        <v>Operativo</v>
      </c>
      <c r="E130" s="2" t="s">
        <v>707</v>
      </c>
      <c r="F130" s="2" t="s">
        <v>32</v>
      </c>
      <c r="G130" s="2" t="s">
        <v>76</v>
      </c>
      <c r="H130" s="2" t="s">
        <v>59</v>
      </c>
      <c r="I130" s="2" t="s">
        <v>487</v>
      </c>
      <c r="J130" s="2" t="s">
        <v>488</v>
      </c>
      <c r="K130" s="2" t="s">
        <v>489</v>
      </c>
      <c r="L130" s="2" t="s">
        <v>490</v>
      </c>
      <c r="M130" s="2" t="s">
        <v>39</v>
      </c>
      <c r="N130" s="2" t="s">
        <v>40</v>
      </c>
      <c r="O130" s="2" t="s">
        <v>41</v>
      </c>
      <c r="P130" s="2" t="s">
        <v>246</v>
      </c>
      <c r="Q130" s="2" t="s">
        <v>247</v>
      </c>
      <c r="R130" s="2" t="s">
        <v>41</v>
      </c>
      <c r="S130" s="2" t="s">
        <v>43</v>
      </c>
      <c r="T130" s="2"/>
      <c r="U130" s="3"/>
      <c r="V130" s="2"/>
      <c r="W130" s="2"/>
      <c r="X130" s="2"/>
      <c r="Y130" s="2"/>
      <c r="Z130" s="2"/>
      <c r="AA130" s="2"/>
      <c r="AB130" s="2"/>
      <c r="AC130" s="2"/>
    </row>
    <row r="131" spans="1:29" ht="20.100000000000001" customHeight="1">
      <c r="A131" s="2" t="s">
        <v>708</v>
      </c>
      <c r="B131" s="2" t="s">
        <v>709</v>
      </c>
      <c r="C131" s="2" t="str">
        <f>sheet1[[#This Row],[Nombre]]&amp;sheet1[[#This Row],[Bp Id]]</f>
        <v>CAR Sectorial DigitalPRD0010</v>
      </c>
      <c r="D131" s="2" t="str">
        <f>VLOOKUP(sheet1[[#This Row],[Columna1]],sheet13[[Columna1]:[Estado]],4,FALSE)</f>
        <v>Operativo</v>
      </c>
      <c r="E131" s="2" t="s">
        <v>710</v>
      </c>
      <c r="F131" s="2" t="s">
        <v>32</v>
      </c>
      <c r="G131" s="2" t="s">
        <v>48</v>
      </c>
      <c r="H131" s="2" t="s">
        <v>59</v>
      </c>
      <c r="I131" s="2" t="s">
        <v>320</v>
      </c>
      <c r="J131" s="2" t="s">
        <v>321</v>
      </c>
      <c r="K131" s="2" t="s">
        <v>322</v>
      </c>
      <c r="L131" s="2" t="s">
        <v>323</v>
      </c>
      <c r="M131" s="2" t="s">
        <v>63</v>
      </c>
      <c r="N131" s="2" t="s">
        <v>40</v>
      </c>
      <c r="O131" s="2" t="s">
        <v>41</v>
      </c>
      <c r="P131" s="2" t="s">
        <v>53</v>
      </c>
      <c r="Q131" s="2" t="s">
        <v>53</v>
      </c>
      <c r="R131" s="2" t="s">
        <v>43</v>
      </c>
      <c r="S131" s="2" t="s">
        <v>43</v>
      </c>
      <c r="T131" s="2"/>
      <c r="U131" s="3"/>
      <c r="V131" s="2"/>
      <c r="W131" s="2"/>
      <c r="X131" s="2"/>
      <c r="Y131" s="2"/>
      <c r="Z131" s="2"/>
      <c r="AA131" s="2"/>
      <c r="AB131" s="2"/>
      <c r="AC131" s="2"/>
    </row>
    <row r="132" spans="1:29" ht="29.1" customHeight="1">
      <c r="A132" s="2" t="s">
        <v>711</v>
      </c>
      <c r="B132" s="2" t="s">
        <v>712</v>
      </c>
      <c r="C132" s="2" t="str">
        <f>sheet1[[#This Row],[Nombre]]&amp;sheet1[[#This Row],[Bp Id]]</f>
        <v>CardHolderPAY0004</v>
      </c>
      <c r="D132" s="2" t="str">
        <f>VLOOKUP(sheet1[[#This Row],[Columna1]],sheet13[[Columna1]:[Estado]],4,FALSE)</f>
        <v>Operativo</v>
      </c>
      <c r="E132" s="2" t="s">
        <v>713</v>
      </c>
      <c r="F132" s="2" t="s">
        <v>32</v>
      </c>
      <c r="G132" s="2" t="s">
        <v>76</v>
      </c>
      <c r="H132" s="2" t="s">
        <v>34</v>
      </c>
      <c r="I132" s="2" t="s">
        <v>141</v>
      </c>
      <c r="J132" s="2" t="s">
        <v>151</v>
      </c>
      <c r="K132" s="2" t="s">
        <v>564</v>
      </c>
      <c r="L132" s="2" t="s">
        <v>565</v>
      </c>
      <c r="M132" s="2" t="s">
        <v>39</v>
      </c>
      <c r="N132" s="2" t="s">
        <v>40</v>
      </c>
      <c r="O132" s="2" t="s">
        <v>41</v>
      </c>
      <c r="P132" s="2" t="s">
        <v>42</v>
      </c>
      <c r="Q132" s="2" t="s">
        <v>53</v>
      </c>
      <c r="R132" s="2" t="s">
        <v>41</v>
      </c>
      <c r="S132" s="2" t="s">
        <v>41</v>
      </c>
      <c r="T132" s="2" t="s">
        <v>714</v>
      </c>
      <c r="U132" s="3">
        <v>45199</v>
      </c>
      <c r="V132" s="2"/>
      <c r="W132" s="2" t="s">
        <v>100</v>
      </c>
      <c r="X132" s="2"/>
      <c r="Y132" s="2"/>
      <c r="Z132" s="2"/>
      <c r="AA132" s="2"/>
      <c r="AB132" s="2"/>
      <c r="AC132" s="2" t="s">
        <v>715</v>
      </c>
    </row>
    <row r="133" spans="1:29" ht="20.100000000000001" customHeight="1">
      <c r="A133" s="2" t="s">
        <v>716</v>
      </c>
      <c r="B133" s="2" t="s">
        <v>717</v>
      </c>
      <c r="C133" s="2" t="str">
        <f>sheet1[[#This Row],[Nombre]]&amp;sheet1[[#This Row],[Bp Id]]</f>
        <v>CARTERA_CASTIGADARIS0020</v>
      </c>
      <c r="D133" s="2" t="str">
        <f>VLOOKUP(sheet1[[#This Row],[Columna1]],sheet13[[Columna1]:[Estado]],4,FALSE)</f>
        <v>Operativo</v>
      </c>
      <c r="E133" s="2" t="s">
        <v>432</v>
      </c>
      <c r="F133" s="2" t="s">
        <v>32</v>
      </c>
      <c r="G133" s="2" t="s">
        <v>48</v>
      </c>
      <c r="H133" s="2" t="s">
        <v>34</v>
      </c>
      <c r="I133" s="2" t="s">
        <v>320</v>
      </c>
      <c r="J133" s="2" t="s">
        <v>321</v>
      </c>
      <c r="K133" s="2" t="s">
        <v>322</v>
      </c>
      <c r="L133" s="2" t="s">
        <v>323</v>
      </c>
      <c r="M133" s="2" t="s">
        <v>39</v>
      </c>
      <c r="N133" s="2" t="s">
        <v>40</v>
      </c>
      <c r="O133" s="2" t="s">
        <v>41</v>
      </c>
      <c r="P133" s="2" t="s">
        <v>247</v>
      </c>
      <c r="Q133" s="2" t="s">
        <v>247</v>
      </c>
      <c r="R133" s="2" t="s">
        <v>41</v>
      </c>
      <c r="S133" s="2" t="s">
        <v>43</v>
      </c>
      <c r="T133" s="2"/>
      <c r="U133" s="3"/>
      <c r="V133" s="2"/>
      <c r="W133" s="2"/>
      <c r="X133" s="2"/>
      <c r="Y133" s="2"/>
      <c r="Z133" s="2"/>
      <c r="AA133" s="2"/>
      <c r="AB133" s="2"/>
      <c r="AC133" s="2"/>
    </row>
    <row r="134" spans="1:29" ht="20.100000000000001" customHeight="1">
      <c r="A134" s="2" t="s">
        <v>718</v>
      </c>
      <c r="B134" s="2" t="s">
        <v>719</v>
      </c>
      <c r="C134" s="2" t="str">
        <f>sheet1[[#This Row],[Nombre]]&amp;sheet1[[#This Row],[Bp Id]]</f>
        <v>CashAppPRD0011</v>
      </c>
      <c r="D134" s="2" t="str">
        <f>VLOOKUP(sheet1[[#This Row],[Columna1]],sheet13[[Columna1]:[Estado]],4,FALSE)</f>
        <v>Retirado</v>
      </c>
      <c r="E134" s="2" t="s">
        <v>720</v>
      </c>
      <c r="F134" s="2" t="s">
        <v>47</v>
      </c>
      <c r="G134" s="2" t="s">
        <v>48</v>
      </c>
      <c r="H134" s="2" t="s">
        <v>59</v>
      </c>
      <c r="I134" s="2" t="s">
        <v>553</v>
      </c>
      <c r="J134" s="2" t="s">
        <v>50</v>
      </c>
      <c r="K134" s="2" t="s">
        <v>721</v>
      </c>
      <c r="L134" s="2" t="s">
        <v>722</v>
      </c>
      <c r="M134" s="2" t="s">
        <v>296</v>
      </c>
      <c r="N134" s="2" t="s">
        <v>40</v>
      </c>
      <c r="O134" s="2" t="s">
        <v>43</v>
      </c>
      <c r="P134" s="2" t="s">
        <v>723</v>
      </c>
      <c r="Q134" s="2" t="s">
        <v>53</v>
      </c>
      <c r="R134" s="2" t="s">
        <v>43</v>
      </c>
      <c r="S134" s="2" t="s">
        <v>43</v>
      </c>
      <c r="T134" s="2"/>
      <c r="U134" s="3"/>
      <c r="V134" s="2"/>
      <c r="W134" s="2"/>
      <c r="X134" s="2"/>
      <c r="Y134" s="2"/>
      <c r="Z134" s="2"/>
      <c r="AA134" s="2"/>
      <c r="AB134" s="2"/>
      <c r="AC134" s="2"/>
    </row>
    <row r="135" spans="1:29" ht="20.100000000000001" customHeight="1">
      <c r="A135" s="2" t="s">
        <v>724</v>
      </c>
      <c r="B135" s="2" t="s">
        <v>725</v>
      </c>
      <c r="C135" s="2" t="str">
        <f>sheet1[[#This Row],[Nombre]]&amp;sheet1[[#This Row],[Bp Id]]</f>
        <v>CashManagementPRD0012</v>
      </c>
      <c r="D135" s="2" t="str">
        <f>VLOOKUP(sheet1[[#This Row],[Columna1]],sheet13[[Columna1]:[Estado]],4,FALSE)</f>
        <v>Operativo</v>
      </c>
      <c r="E135" s="2" t="s">
        <v>726</v>
      </c>
      <c r="F135" s="2" t="s">
        <v>32</v>
      </c>
      <c r="G135" s="2" t="s">
        <v>33</v>
      </c>
      <c r="H135" s="2" t="s">
        <v>34</v>
      </c>
      <c r="I135" s="2" t="s">
        <v>116</v>
      </c>
      <c r="J135" s="2" t="s">
        <v>62</v>
      </c>
      <c r="K135" s="2" t="s">
        <v>721</v>
      </c>
      <c r="L135" s="2" t="s">
        <v>62</v>
      </c>
      <c r="M135" s="2" t="s">
        <v>39</v>
      </c>
      <c r="N135" s="2" t="s">
        <v>40</v>
      </c>
      <c r="O135" s="2" t="s">
        <v>41</v>
      </c>
      <c r="P135" s="2" t="s">
        <v>42</v>
      </c>
      <c r="Q135" s="2" t="s">
        <v>53</v>
      </c>
      <c r="R135" s="2" t="s">
        <v>41</v>
      </c>
      <c r="S135" s="2" t="s">
        <v>41</v>
      </c>
      <c r="T135" s="2" t="s">
        <v>727</v>
      </c>
      <c r="U135" s="3">
        <v>45200</v>
      </c>
      <c r="V135" s="2" t="s">
        <v>728</v>
      </c>
      <c r="W135" s="2" t="s">
        <v>262</v>
      </c>
      <c r="X135" s="2" t="s">
        <v>146</v>
      </c>
      <c r="Y135" s="2" t="s">
        <v>147</v>
      </c>
      <c r="Z135" s="2" t="s">
        <v>147</v>
      </c>
      <c r="AA135" s="2" t="s">
        <v>180</v>
      </c>
      <c r="AB135" s="2" t="s">
        <v>129</v>
      </c>
      <c r="AC135" s="2" t="s">
        <v>729</v>
      </c>
    </row>
    <row r="136" spans="1:29" ht="14.45" customHeight="1">
      <c r="A136" s="2" t="s">
        <v>730</v>
      </c>
      <c r="B136" s="2" t="s">
        <v>731</v>
      </c>
      <c r="C136" s="2" t="str">
        <f>sheet1[[#This Row],[Nombre]]&amp;sheet1[[#This Row],[Bp Id]]</f>
        <v>CelonisTIE0022</v>
      </c>
      <c r="D136" s="2" t="str">
        <f>VLOOKUP(sheet1[[#This Row],[Columna1]],sheet13[[Columna1]:[Estado]],4,FALSE)</f>
        <v>Operativo</v>
      </c>
      <c r="E136" s="2" t="s">
        <v>732</v>
      </c>
      <c r="F136" s="2" t="s">
        <v>32</v>
      </c>
      <c r="G136" s="2" t="s">
        <v>48</v>
      </c>
      <c r="H136" s="2" t="s">
        <v>59</v>
      </c>
      <c r="I136" s="2" t="s">
        <v>487</v>
      </c>
      <c r="J136" s="2" t="s">
        <v>488</v>
      </c>
      <c r="K136" s="2" t="s">
        <v>733</v>
      </c>
      <c r="L136" s="2" t="s">
        <v>490</v>
      </c>
      <c r="M136" s="2" t="s">
        <v>63</v>
      </c>
      <c r="N136" s="2" t="s">
        <v>40</v>
      </c>
      <c r="O136" s="2" t="s">
        <v>43</v>
      </c>
      <c r="P136" s="2" t="s">
        <v>64</v>
      </c>
      <c r="Q136" s="2" t="s">
        <v>64</v>
      </c>
      <c r="R136" s="2" t="s">
        <v>41</v>
      </c>
      <c r="S136" s="2" t="s">
        <v>43</v>
      </c>
      <c r="T136" s="2" t="s">
        <v>734</v>
      </c>
      <c r="U136" s="3">
        <v>46062</v>
      </c>
      <c r="V136" s="2" t="s">
        <v>735</v>
      </c>
      <c r="W136" s="2"/>
      <c r="X136" s="2"/>
      <c r="Y136" s="2"/>
      <c r="Z136" s="2"/>
      <c r="AA136" s="2" t="s">
        <v>736</v>
      </c>
      <c r="AB136" s="2"/>
      <c r="AC136" s="2"/>
    </row>
    <row r="137" spans="1:29" ht="20.100000000000001" customHeight="1">
      <c r="A137" s="2" t="s">
        <v>737</v>
      </c>
      <c r="B137" s="2" t="s">
        <v>738</v>
      </c>
      <c r="C137" s="2" t="str">
        <f>sheet1[[#This Row],[Nombre]]&amp;sheet1[[#This Row],[Bp Id]]</f>
        <v>CheqscanPAY0002</v>
      </c>
      <c r="D137" s="2" t="str">
        <f>VLOOKUP(sheet1[[#This Row],[Columna1]],sheet13[[Columna1]:[Estado]],4,FALSE)</f>
        <v>Operativo</v>
      </c>
      <c r="E137" s="2" t="s">
        <v>739</v>
      </c>
      <c r="F137" s="2" t="s">
        <v>32</v>
      </c>
      <c r="G137" s="2" t="s">
        <v>123</v>
      </c>
      <c r="H137" s="2" t="s">
        <v>34</v>
      </c>
      <c r="I137" s="2" t="s">
        <v>167</v>
      </c>
      <c r="J137" s="2" t="s">
        <v>96</v>
      </c>
      <c r="K137" s="2" t="s">
        <v>740</v>
      </c>
      <c r="L137" s="2" t="s">
        <v>169</v>
      </c>
      <c r="M137" s="2" t="s">
        <v>39</v>
      </c>
      <c r="N137" s="2" t="s">
        <v>40</v>
      </c>
      <c r="O137" s="2" t="s">
        <v>41</v>
      </c>
      <c r="P137" s="2" t="s">
        <v>53</v>
      </c>
      <c r="Q137" s="2" t="s">
        <v>53</v>
      </c>
      <c r="R137" s="2" t="s">
        <v>41</v>
      </c>
      <c r="S137" s="2" t="s">
        <v>41</v>
      </c>
      <c r="T137" s="2" t="s">
        <v>119</v>
      </c>
      <c r="U137" s="3">
        <v>45199</v>
      </c>
      <c r="V137" s="2"/>
      <c r="W137" s="2" t="s">
        <v>100</v>
      </c>
      <c r="X137" s="2"/>
      <c r="Y137" s="2"/>
      <c r="Z137" s="2"/>
      <c r="AA137" s="2"/>
      <c r="AB137" s="2"/>
      <c r="AC137" s="2"/>
    </row>
    <row r="138" spans="1:29" ht="20.100000000000001" customHeight="1">
      <c r="A138" s="2" t="s">
        <v>741</v>
      </c>
      <c r="B138" s="2" t="s">
        <v>742</v>
      </c>
      <c r="C138" s="2" t="str">
        <f>sheet1[[#This Row],[Nombre]]&amp;sheet1[[#This Row],[Bp Id]]</f>
        <v>Cheque Image ClientCHL0009</v>
      </c>
      <c r="D138" s="2" t="str">
        <f>VLOOKUP(sheet1[[#This Row],[Columna1]],sheet13[[Columna1]:[Estado]],4,FALSE)</f>
        <v>Retirado</v>
      </c>
      <c r="E138" s="2" t="s">
        <v>465</v>
      </c>
      <c r="F138" s="2" t="s">
        <v>47</v>
      </c>
      <c r="G138" s="2" t="s">
        <v>48</v>
      </c>
      <c r="H138" s="2" t="s">
        <v>34</v>
      </c>
      <c r="I138" s="2" t="s">
        <v>35</v>
      </c>
      <c r="J138" s="2" t="s">
        <v>349</v>
      </c>
      <c r="K138" s="2" t="s">
        <v>381</v>
      </c>
      <c r="L138" s="2" t="s">
        <v>350</v>
      </c>
      <c r="M138" s="2" t="s">
        <v>63</v>
      </c>
      <c r="N138" s="2" t="s">
        <v>40</v>
      </c>
      <c r="O138" s="2" t="s">
        <v>41</v>
      </c>
      <c r="P138" s="2" t="s">
        <v>53</v>
      </c>
      <c r="Q138" s="2" t="s">
        <v>53</v>
      </c>
      <c r="R138" s="2" t="s">
        <v>43</v>
      </c>
      <c r="S138" s="2" t="s">
        <v>43</v>
      </c>
      <c r="T138" s="2"/>
      <c r="U138" s="3"/>
      <c r="V138" s="2"/>
      <c r="W138" s="2"/>
      <c r="X138" s="2"/>
      <c r="Y138" s="2"/>
      <c r="Z138" s="2"/>
      <c r="AA138" s="2"/>
      <c r="AB138" s="2"/>
      <c r="AC138" s="2"/>
    </row>
    <row r="139" spans="1:29" ht="29.1" customHeight="1">
      <c r="A139" s="2" t="s">
        <v>743</v>
      </c>
      <c r="B139" s="2" t="s">
        <v>744</v>
      </c>
      <c r="C139" s="2" t="str">
        <f>sheet1[[#This Row],[Nombre]]&amp;sheet1[[#This Row],[Bp Id]]</f>
        <v>ACL Robotics EnterpriseGOB0010</v>
      </c>
      <c r="D139" s="2" t="str">
        <f>VLOOKUP(sheet1[[#This Row],[Columna1]],sheet13[[Columna1]:[Estado]],4,FALSE)</f>
        <v>Operativo</v>
      </c>
      <c r="E139" s="2" t="s">
        <v>745</v>
      </c>
      <c r="F139" s="2" t="s">
        <v>32</v>
      </c>
      <c r="G139" s="2" t="s">
        <v>48</v>
      </c>
      <c r="H139" s="2" t="s">
        <v>59</v>
      </c>
      <c r="I139" s="2" t="s">
        <v>225</v>
      </c>
      <c r="J139" s="2" t="s">
        <v>226</v>
      </c>
      <c r="K139" s="2" t="s">
        <v>227</v>
      </c>
      <c r="L139" s="2" t="s">
        <v>228</v>
      </c>
      <c r="M139" s="2" t="s">
        <v>63</v>
      </c>
      <c r="N139" s="2" t="s">
        <v>40</v>
      </c>
      <c r="O139" s="2" t="s">
        <v>41</v>
      </c>
      <c r="P139" s="2" t="s">
        <v>42</v>
      </c>
      <c r="Q139" s="2" t="s">
        <v>42</v>
      </c>
      <c r="R139" s="2" t="s">
        <v>43</v>
      </c>
      <c r="S139" s="2" t="s">
        <v>43</v>
      </c>
      <c r="T139" s="2"/>
      <c r="U139" s="3"/>
      <c r="V139" s="2"/>
      <c r="W139" s="2"/>
      <c r="X139" s="2"/>
      <c r="Y139" s="2"/>
      <c r="Z139" s="2"/>
      <c r="AA139" s="2"/>
      <c r="AB139" s="2"/>
      <c r="AC139" s="2"/>
    </row>
    <row r="140" spans="1:29" ht="29.1" customHeight="1">
      <c r="A140" s="2" t="s">
        <v>42</v>
      </c>
      <c r="B140" s="2" t="s">
        <v>746</v>
      </c>
      <c r="C140" s="2" t="str">
        <f>sheet1[[#This Row],[Nombre]]&amp;sheet1[[#This Row],[Bp Id]]</f>
        <v>Active DirectorySEC0047</v>
      </c>
      <c r="D140" s="2" t="str">
        <f>VLOOKUP(sheet1[[#This Row],[Columna1]],sheet13[[Columna1]:[Estado]],4,FALSE)</f>
        <v>Operativo</v>
      </c>
      <c r="E140" s="2" t="s">
        <v>747</v>
      </c>
      <c r="F140" s="2" t="s">
        <v>32</v>
      </c>
      <c r="G140" s="2" t="s">
        <v>123</v>
      </c>
      <c r="H140" s="2" t="s">
        <v>34</v>
      </c>
      <c r="I140" s="2" t="s">
        <v>68</v>
      </c>
      <c r="J140" s="2" t="s">
        <v>69</v>
      </c>
      <c r="K140" s="2" t="s">
        <v>82</v>
      </c>
      <c r="L140" s="2" t="s">
        <v>335</v>
      </c>
      <c r="M140" s="2" t="s">
        <v>111</v>
      </c>
      <c r="N140" s="2" t="s">
        <v>40</v>
      </c>
      <c r="O140" s="2" t="s">
        <v>43</v>
      </c>
      <c r="P140" s="2" t="s">
        <v>42</v>
      </c>
      <c r="Q140" s="2" t="s">
        <v>42</v>
      </c>
      <c r="R140" s="2" t="s">
        <v>41</v>
      </c>
      <c r="S140" s="2" t="s">
        <v>41</v>
      </c>
      <c r="T140" s="2" t="s">
        <v>748</v>
      </c>
      <c r="U140" s="3">
        <v>45200</v>
      </c>
      <c r="V140" s="2"/>
      <c r="W140" s="2" t="s">
        <v>125</v>
      </c>
      <c r="X140" s="2" t="s">
        <v>626</v>
      </c>
      <c r="Y140" s="2" t="s">
        <v>147</v>
      </c>
      <c r="Z140" s="2" t="s">
        <v>311</v>
      </c>
      <c r="AA140" s="2" t="s">
        <v>263</v>
      </c>
      <c r="AB140" s="2" t="s">
        <v>129</v>
      </c>
      <c r="AC140" s="2" t="s">
        <v>749</v>
      </c>
    </row>
    <row r="141" spans="1:29" ht="57.95" customHeight="1">
      <c r="A141" s="2" t="s">
        <v>750</v>
      </c>
      <c r="B141" s="2" t="s">
        <v>751</v>
      </c>
      <c r="C141" s="2" t="str">
        <f>sheet1[[#This Row],[Nombre]]&amp;sheet1[[#This Row],[Bp Id]]</f>
        <v>Administración de ContratosSUP0038</v>
      </c>
      <c r="D141" s="2" t="str">
        <f>VLOOKUP(sheet1[[#This Row],[Columna1]],sheet13[[Columna1]:[Estado]],4,FALSE)</f>
        <v>Operativo</v>
      </c>
      <c r="E141" s="2" t="s">
        <v>752</v>
      </c>
      <c r="F141" s="2" t="s">
        <v>32</v>
      </c>
      <c r="G141" s="2" t="s">
        <v>48</v>
      </c>
      <c r="H141" s="2" t="s">
        <v>34</v>
      </c>
      <c r="I141" s="2" t="s">
        <v>225</v>
      </c>
      <c r="J141" s="2" t="s">
        <v>226</v>
      </c>
      <c r="K141" s="2" t="s">
        <v>753</v>
      </c>
      <c r="L141" s="2" t="s">
        <v>268</v>
      </c>
      <c r="M141" s="2" t="s">
        <v>39</v>
      </c>
      <c r="N141" s="2" t="s">
        <v>40</v>
      </c>
      <c r="O141" s="2" t="s">
        <v>43</v>
      </c>
      <c r="P141" s="2" t="s">
        <v>53</v>
      </c>
      <c r="Q141" s="2" t="s">
        <v>53</v>
      </c>
      <c r="R141" s="2" t="s">
        <v>43</v>
      </c>
      <c r="S141" s="2" t="s">
        <v>43</v>
      </c>
      <c r="T141" s="2" t="s">
        <v>754</v>
      </c>
      <c r="U141" s="3"/>
      <c r="V141" s="2"/>
      <c r="W141" s="2"/>
      <c r="X141" s="2"/>
      <c r="Y141" s="2"/>
      <c r="Z141" s="2"/>
      <c r="AA141" s="2"/>
      <c r="AB141" s="2"/>
      <c r="AC141" s="2"/>
    </row>
    <row r="142" spans="1:29" ht="116.1" customHeight="1">
      <c r="A142" s="2" t="s">
        <v>755</v>
      </c>
      <c r="B142" s="2" t="s">
        <v>756</v>
      </c>
      <c r="C142" s="2" t="str">
        <f>sheet1[[#This Row],[Nombre]]&amp;sheet1[[#This Row],[Bp Id]]</f>
        <v>Administrador de CréditoRIS0001</v>
      </c>
      <c r="D142" s="2" t="str">
        <f>VLOOKUP(sheet1[[#This Row],[Columna1]],sheet13[[Columna1]:[Estado]],4,FALSE)</f>
        <v>Operativo</v>
      </c>
      <c r="E142" s="2" t="s">
        <v>757</v>
      </c>
      <c r="F142" s="2" t="s">
        <v>32</v>
      </c>
      <c r="G142" s="2" t="s">
        <v>48</v>
      </c>
      <c r="H142" s="2" t="s">
        <v>34</v>
      </c>
      <c r="I142" s="2" t="s">
        <v>320</v>
      </c>
      <c r="J142" s="2" t="s">
        <v>321</v>
      </c>
      <c r="K142" s="2" t="s">
        <v>672</v>
      </c>
      <c r="L142" s="2" t="s">
        <v>323</v>
      </c>
      <c r="M142" s="2" t="s">
        <v>39</v>
      </c>
      <c r="N142" s="2" t="s">
        <v>40</v>
      </c>
      <c r="O142" s="2" t="s">
        <v>43</v>
      </c>
      <c r="P142" s="2" t="s">
        <v>42</v>
      </c>
      <c r="Q142" s="2" t="s">
        <v>42</v>
      </c>
      <c r="R142" s="2" t="s">
        <v>41</v>
      </c>
      <c r="S142" s="2" t="s">
        <v>41</v>
      </c>
      <c r="T142" s="2" t="s">
        <v>748</v>
      </c>
      <c r="U142" s="3">
        <v>45200</v>
      </c>
      <c r="V142" s="2"/>
      <c r="W142" s="2" t="s">
        <v>125</v>
      </c>
      <c r="X142" s="2" t="s">
        <v>262</v>
      </c>
      <c r="Y142" s="2" t="s">
        <v>147</v>
      </c>
      <c r="Z142" s="2" t="s">
        <v>127</v>
      </c>
      <c r="AA142" s="2" t="s">
        <v>758</v>
      </c>
      <c r="AB142" s="2" t="s">
        <v>129</v>
      </c>
      <c r="AC142" s="2" t="s">
        <v>759</v>
      </c>
    </row>
    <row r="143" spans="1:29" ht="14.45" customHeight="1">
      <c r="A143" s="2" t="s">
        <v>760</v>
      </c>
      <c r="B143" s="2" t="s">
        <v>761</v>
      </c>
      <c r="C143" s="2" t="str">
        <f>sheet1[[#This Row],[Nombre]]&amp;sheet1[[#This Row],[Bp Id]]</f>
        <v>Administrador de Débitos AutomáticosRIS0013</v>
      </c>
      <c r="D143" s="2" t="str">
        <f>VLOOKUP(sheet1[[#This Row],[Columna1]],sheet13[[Columna1]:[Estado]],4,FALSE)</f>
        <v>Operativo</v>
      </c>
      <c r="E143" s="2" t="s">
        <v>762</v>
      </c>
      <c r="F143" s="2" t="s">
        <v>32</v>
      </c>
      <c r="G143" s="2" t="s">
        <v>48</v>
      </c>
      <c r="H143" s="2" t="s">
        <v>59</v>
      </c>
      <c r="I143" s="2" t="s">
        <v>320</v>
      </c>
      <c r="J143" s="2" t="s">
        <v>321</v>
      </c>
      <c r="K143" s="2" t="s">
        <v>672</v>
      </c>
      <c r="L143" s="2" t="s">
        <v>323</v>
      </c>
      <c r="M143" s="2" t="s">
        <v>39</v>
      </c>
      <c r="N143" s="2"/>
      <c r="O143" s="2"/>
      <c r="P143" s="2"/>
      <c r="Q143" s="2"/>
      <c r="R143" s="2"/>
      <c r="S143" s="2"/>
      <c r="T143" s="2"/>
      <c r="U143" s="3"/>
      <c r="V143" s="2"/>
      <c r="W143" s="2"/>
      <c r="X143" s="2"/>
      <c r="Y143" s="2"/>
      <c r="Z143" s="2"/>
      <c r="AA143" s="2"/>
      <c r="AB143" s="2"/>
      <c r="AC143" s="2"/>
    </row>
    <row r="144" spans="1:29" ht="14.45" customHeight="1">
      <c r="A144" s="2" t="s">
        <v>763</v>
      </c>
      <c r="B144" s="2" t="s">
        <v>764</v>
      </c>
      <c r="C144" s="2" t="str">
        <f>sheet1[[#This Row],[Nombre]]&amp;sheet1[[#This Row],[Bp Id]]</f>
        <v>Administrador de Líneas de CréditoRIS0002</v>
      </c>
      <c r="D144" s="2" t="str">
        <f>VLOOKUP(sheet1[[#This Row],[Columna1]],sheet13[[Columna1]:[Estado]],4,FALSE)</f>
        <v>Operativo</v>
      </c>
      <c r="E144" s="2" t="s">
        <v>765</v>
      </c>
      <c r="F144" s="2" t="s">
        <v>32</v>
      </c>
      <c r="G144" s="2" t="s">
        <v>48</v>
      </c>
      <c r="H144" s="2" t="s">
        <v>34</v>
      </c>
      <c r="I144" s="2" t="s">
        <v>320</v>
      </c>
      <c r="J144" s="2" t="s">
        <v>321</v>
      </c>
      <c r="K144" s="2" t="s">
        <v>672</v>
      </c>
      <c r="L144" s="2" t="s">
        <v>323</v>
      </c>
      <c r="M144" s="2" t="s">
        <v>39</v>
      </c>
      <c r="N144" s="2" t="s">
        <v>40</v>
      </c>
      <c r="O144" s="2" t="s">
        <v>41</v>
      </c>
      <c r="P144" s="2" t="s">
        <v>53</v>
      </c>
      <c r="Q144" s="2" t="s">
        <v>53</v>
      </c>
      <c r="R144" s="2" t="s">
        <v>41</v>
      </c>
      <c r="S144" s="2" t="s">
        <v>41</v>
      </c>
      <c r="T144" s="2" t="s">
        <v>119</v>
      </c>
      <c r="U144" s="3">
        <v>45199</v>
      </c>
      <c r="V144" s="2"/>
      <c r="W144" s="2" t="s">
        <v>100</v>
      </c>
      <c r="X144" s="2" t="s">
        <v>101</v>
      </c>
      <c r="Y144" s="2" t="s">
        <v>147</v>
      </c>
      <c r="Z144" s="2" t="s">
        <v>147</v>
      </c>
      <c r="AA144" s="2"/>
      <c r="AB144" s="2"/>
      <c r="AC144" s="2"/>
    </row>
    <row r="145" spans="1:29" ht="14.45" customHeight="1">
      <c r="A145" s="2" t="s">
        <v>766</v>
      </c>
      <c r="B145" s="2" t="s">
        <v>767</v>
      </c>
      <c r="C145" s="2" t="str">
        <f>sheet1[[#This Row],[Nombre]]&amp;sheet1[[#This Row],[Bp Id]]</f>
        <v>Administrador de ParámetrosPRD0034</v>
      </c>
      <c r="D145" s="2" t="str">
        <f>VLOOKUP(sheet1[[#This Row],[Columna1]],sheet13[[Columna1]:[Estado]],4,FALSE)</f>
        <v>Operativo</v>
      </c>
      <c r="E145" s="2" t="s">
        <v>768</v>
      </c>
      <c r="F145" s="2" t="s">
        <v>32</v>
      </c>
      <c r="G145" s="2" t="s">
        <v>76</v>
      </c>
      <c r="H145" s="2" t="s">
        <v>34</v>
      </c>
      <c r="I145" s="2" t="s">
        <v>141</v>
      </c>
      <c r="J145" s="2" t="s">
        <v>151</v>
      </c>
      <c r="K145" s="2" t="s">
        <v>769</v>
      </c>
      <c r="L145" s="2" t="s">
        <v>770</v>
      </c>
      <c r="M145" s="2" t="s">
        <v>39</v>
      </c>
      <c r="N145" s="2" t="s">
        <v>40</v>
      </c>
      <c r="O145" s="2" t="s">
        <v>41</v>
      </c>
      <c r="P145" s="2" t="s">
        <v>42</v>
      </c>
      <c r="Q145" s="2" t="s">
        <v>247</v>
      </c>
      <c r="R145" s="2" t="s">
        <v>41</v>
      </c>
      <c r="S145" s="2" t="s">
        <v>43</v>
      </c>
      <c r="T145" s="2"/>
      <c r="U145" s="3"/>
      <c r="V145" s="2"/>
      <c r="W145" s="2"/>
      <c r="X145" s="2"/>
      <c r="Y145" s="2"/>
      <c r="Z145" s="2"/>
      <c r="AA145" s="2" t="s">
        <v>771</v>
      </c>
      <c r="AB145" s="2"/>
      <c r="AC145" s="2" t="s">
        <v>264</v>
      </c>
    </row>
    <row r="146" spans="1:29" ht="20.100000000000001" customHeight="1">
      <c r="A146" s="2" t="s">
        <v>772</v>
      </c>
      <c r="B146" s="2" t="s">
        <v>773</v>
      </c>
      <c r="C146" s="2" t="str">
        <f>sheet1[[#This Row],[Nombre]]&amp;sheet1[[#This Row],[Bp Id]]</f>
        <v>Administrador de ReportesGOB0001</v>
      </c>
      <c r="D146" s="2" t="str">
        <f>VLOOKUP(sheet1[[#This Row],[Columna1]],sheet13[[Columna1]:[Estado]],4,FALSE)</f>
        <v>Retirado</v>
      </c>
      <c r="E146" s="2" t="s">
        <v>774</v>
      </c>
      <c r="F146" s="2" t="s">
        <v>47</v>
      </c>
      <c r="G146" s="2" t="s">
        <v>48</v>
      </c>
      <c r="H146" s="2" t="s">
        <v>34</v>
      </c>
      <c r="I146" s="2" t="s">
        <v>328</v>
      </c>
      <c r="J146" s="2" t="s">
        <v>329</v>
      </c>
      <c r="K146" s="2" t="s">
        <v>646</v>
      </c>
      <c r="L146" s="2" t="s">
        <v>775</v>
      </c>
      <c r="M146" s="2" t="s">
        <v>39</v>
      </c>
      <c r="N146" s="2" t="s">
        <v>40</v>
      </c>
      <c r="O146" s="2" t="s">
        <v>41</v>
      </c>
      <c r="P146" s="2"/>
      <c r="Q146" s="2"/>
      <c r="R146" s="2" t="s">
        <v>41</v>
      </c>
      <c r="S146" s="2" t="s">
        <v>43</v>
      </c>
      <c r="T146" s="2" t="s">
        <v>193</v>
      </c>
      <c r="U146" s="3"/>
      <c r="V146" s="2"/>
      <c r="W146" s="2"/>
      <c r="X146" s="2"/>
      <c r="Y146" s="2"/>
      <c r="Z146" s="2"/>
      <c r="AA146" s="2"/>
      <c r="AB146" s="2"/>
      <c r="AC146" s="2"/>
    </row>
    <row r="147" spans="1:29" ht="14.45" customHeight="1">
      <c r="A147" s="2" t="s">
        <v>776</v>
      </c>
      <c r="B147" s="2" t="s">
        <v>777</v>
      </c>
      <c r="C147" s="2" t="str">
        <f>sheet1[[#This Row],[Nombre]]&amp;sheet1[[#This Row],[Bp Id]]</f>
        <v>Administrador OmnicanalCHL0003</v>
      </c>
      <c r="D147" s="2" t="str">
        <f>VLOOKUP(sheet1[[#This Row],[Columna1]],sheet13[[Columna1]:[Estado]],4,FALSE)</f>
        <v>Operativo</v>
      </c>
      <c r="E147" s="2" t="s">
        <v>778</v>
      </c>
      <c r="F147" s="2" t="s">
        <v>32</v>
      </c>
      <c r="G147" s="2" t="s">
        <v>76</v>
      </c>
      <c r="H147" s="2" t="s">
        <v>34</v>
      </c>
      <c r="I147" s="2" t="s">
        <v>35</v>
      </c>
      <c r="J147" s="2" t="s">
        <v>394</v>
      </c>
      <c r="K147" s="2" t="s">
        <v>395</v>
      </c>
      <c r="L147" s="2" t="s">
        <v>394</v>
      </c>
      <c r="M147" s="2" t="s">
        <v>39</v>
      </c>
      <c r="N147" s="2" t="s">
        <v>40</v>
      </c>
      <c r="O147" s="2" t="s">
        <v>43</v>
      </c>
      <c r="P147" s="2" t="s">
        <v>42</v>
      </c>
      <c r="Q147" s="2" t="s">
        <v>42</v>
      </c>
      <c r="R147" s="2" t="s">
        <v>41</v>
      </c>
      <c r="S147" s="2" t="s">
        <v>41</v>
      </c>
      <c r="T147" s="2" t="s">
        <v>779</v>
      </c>
      <c r="U147" s="3">
        <v>45200</v>
      </c>
      <c r="V147" s="2" t="s">
        <v>780</v>
      </c>
      <c r="W147" s="2" t="s">
        <v>125</v>
      </c>
      <c r="X147" s="2" t="s">
        <v>262</v>
      </c>
      <c r="Y147" s="2" t="s">
        <v>147</v>
      </c>
      <c r="Z147" s="2" t="s">
        <v>127</v>
      </c>
      <c r="AA147" s="2" t="s">
        <v>263</v>
      </c>
      <c r="AB147" s="2" t="s">
        <v>129</v>
      </c>
      <c r="AC147" s="2" t="s">
        <v>781</v>
      </c>
    </row>
    <row r="148" spans="1:29" ht="14.45" customHeight="1">
      <c r="A148" s="2" t="s">
        <v>782</v>
      </c>
      <c r="B148" s="2" t="s">
        <v>783</v>
      </c>
      <c r="C148" s="2" t="str">
        <f>sheet1[[#This Row],[Nombre]]&amp;sheet1[[#This Row],[Bp Id]]</f>
        <v>Administrador ReferenciasPRD0001</v>
      </c>
      <c r="D148" s="2" t="str">
        <f>VLOOKUP(sheet1[[#This Row],[Columna1]],sheet13[[Columna1]:[Estado]],4,FALSE)</f>
        <v>Retirado</v>
      </c>
      <c r="E148" s="2" t="s">
        <v>784</v>
      </c>
      <c r="F148" s="2" t="s">
        <v>47</v>
      </c>
      <c r="G148" s="2" t="s">
        <v>48</v>
      </c>
      <c r="H148" s="2" t="s">
        <v>34</v>
      </c>
      <c r="I148" s="2" t="s">
        <v>553</v>
      </c>
      <c r="J148" s="2" t="s">
        <v>554</v>
      </c>
      <c r="K148" s="2" t="s">
        <v>117</v>
      </c>
      <c r="L148" s="2" t="s">
        <v>785</v>
      </c>
      <c r="M148" s="2" t="s">
        <v>39</v>
      </c>
      <c r="N148" s="2" t="s">
        <v>40</v>
      </c>
      <c r="O148" s="2" t="s">
        <v>41</v>
      </c>
      <c r="P148" s="2" t="s">
        <v>53</v>
      </c>
      <c r="Q148" s="2" t="s">
        <v>53</v>
      </c>
      <c r="R148" s="2" t="s">
        <v>41</v>
      </c>
      <c r="S148" s="2" t="s">
        <v>41</v>
      </c>
      <c r="T148" s="2" t="s">
        <v>786</v>
      </c>
      <c r="U148" s="3">
        <v>45199</v>
      </c>
      <c r="V148" s="2"/>
      <c r="W148" s="2" t="s">
        <v>100</v>
      </c>
      <c r="X148" s="2" t="s">
        <v>101</v>
      </c>
      <c r="Y148" s="2"/>
      <c r="Z148" s="2"/>
      <c r="AA148" s="2"/>
      <c r="AB148" s="2"/>
      <c r="AC148" s="2"/>
    </row>
    <row r="149" spans="1:29" ht="29.1" customHeight="1">
      <c r="A149" s="2" t="s">
        <v>787</v>
      </c>
      <c r="B149" s="2" t="s">
        <v>788</v>
      </c>
      <c r="C149" s="2" t="str">
        <f>sheet1[[#This Row],[Nombre]]&amp;sheet1[[#This Row],[Bp Id]]</f>
        <v>Operación de Estructuras Normativas UAFE / RMLGOB0002</v>
      </c>
      <c r="D149" s="2" t="str">
        <f>VLOOKUP(sheet1[[#This Row],[Columna1]],sheet13[[Columna1]:[Estado]],4,FALSE)</f>
        <v>Operativo</v>
      </c>
      <c r="E149" s="2" t="s">
        <v>789</v>
      </c>
      <c r="F149" s="2" t="s">
        <v>32</v>
      </c>
      <c r="G149" s="2" t="s">
        <v>48</v>
      </c>
      <c r="H149" s="2" t="s">
        <v>34</v>
      </c>
      <c r="I149" s="2" t="s">
        <v>328</v>
      </c>
      <c r="J149" s="2" t="s">
        <v>329</v>
      </c>
      <c r="K149" s="2" t="s">
        <v>790</v>
      </c>
      <c r="L149" s="2" t="s">
        <v>775</v>
      </c>
      <c r="M149" s="2" t="s">
        <v>39</v>
      </c>
      <c r="N149" s="2" t="s">
        <v>40</v>
      </c>
      <c r="O149" s="2" t="s">
        <v>43</v>
      </c>
      <c r="P149" s="2" t="s">
        <v>247</v>
      </c>
      <c r="Q149" s="2" t="s">
        <v>247</v>
      </c>
      <c r="R149" s="2" t="s">
        <v>43</v>
      </c>
      <c r="S149" s="2" t="s">
        <v>43</v>
      </c>
      <c r="T149" s="2" t="s">
        <v>791</v>
      </c>
      <c r="U149" s="3"/>
      <c r="V149" s="2"/>
      <c r="W149" s="2"/>
      <c r="X149" s="2"/>
      <c r="Y149" s="2"/>
      <c r="Z149" s="2"/>
      <c r="AA149" s="2"/>
      <c r="AB149" s="2"/>
      <c r="AC149" s="2"/>
    </row>
    <row r="150" spans="1:29" ht="20.100000000000001" customHeight="1">
      <c r="A150" s="2" t="s">
        <v>792</v>
      </c>
      <c r="B150" s="2" t="s">
        <v>793</v>
      </c>
      <c r="C150" s="2" t="str">
        <f>sheet1[[#This Row],[Nombre]]&amp;sheet1[[#This Row],[Bp Id]]</f>
        <v>Adobe suiteEDC0001</v>
      </c>
      <c r="D150" s="2" t="str">
        <f>VLOOKUP(sheet1[[#This Row],[Columna1]],sheet13[[Columna1]:[Estado]],4,FALSE)</f>
        <v>Operativo</v>
      </c>
      <c r="E150" s="2" t="s">
        <v>794</v>
      </c>
      <c r="F150" s="2" t="s">
        <v>32</v>
      </c>
      <c r="G150" s="2" t="s">
        <v>48</v>
      </c>
      <c r="H150" s="2" t="s">
        <v>59</v>
      </c>
      <c r="I150" s="2" t="s">
        <v>294</v>
      </c>
      <c r="J150" s="2" t="s">
        <v>88</v>
      </c>
      <c r="K150" s="2" t="s">
        <v>295</v>
      </c>
      <c r="L150" s="2" t="s">
        <v>295</v>
      </c>
      <c r="M150" s="2" t="s">
        <v>296</v>
      </c>
      <c r="N150" s="2" t="s">
        <v>40</v>
      </c>
      <c r="O150" s="2" t="s">
        <v>41</v>
      </c>
      <c r="P150" s="2" t="s">
        <v>53</v>
      </c>
      <c r="Q150" s="2" t="s">
        <v>53</v>
      </c>
      <c r="R150" s="2" t="s">
        <v>43</v>
      </c>
      <c r="S150" s="2" t="s">
        <v>43</v>
      </c>
      <c r="T150" s="2"/>
      <c r="U150" s="3"/>
      <c r="V150" s="2"/>
      <c r="W150" s="2"/>
      <c r="X150" s="2"/>
      <c r="Y150" s="2"/>
      <c r="Z150" s="2"/>
      <c r="AA150" s="2"/>
      <c r="AB150" s="2"/>
      <c r="AC150" s="2"/>
    </row>
    <row r="151" spans="1:29" ht="20.100000000000001" customHeight="1">
      <c r="A151" s="2" t="s">
        <v>795</v>
      </c>
      <c r="B151" s="2" t="s">
        <v>796</v>
      </c>
      <c r="C151" s="2" t="str">
        <f>sheet1[[#This Row],[Nombre]]&amp;sheet1[[#This Row],[Bp Id]]</f>
        <v>Akamai WAFSEC0002</v>
      </c>
      <c r="D151" s="2" t="str">
        <f>VLOOKUP(sheet1[[#This Row],[Columna1]],sheet13[[Columna1]:[Estado]],4,FALSE)</f>
        <v>Operativo</v>
      </c>
      <c r="E151" s="2" t="s">
        <v>139</v>
      </c>
      <c r="F151" s="2" t="s">
        <v>32</v>
      </c>
      <c r="G151" s="2" t="s">
        <v>123</v>
      </c>
      <c r="H151" s="2" t="s">
        <v>59</v>
      </c>
      <c r="I151" s="2" t="s">
        <v>107</v>
      </c>
      <c r="J151" s="2" t="s">
        <v>213</v>
      </c>
      <c r="K151" s="2" t="s">
        <v>176</v>
      </c>
      <c r="L151" s="2" t="s">
        <v>218</v>
      </c>
      <c r="M151" s="2" t="s">
        <v>111</v>
      </c>
      <c r="N151" s="2" t="s">
        <v>40</v>
      </c>
      <c r="O151" s="2" t="s">
        <v>41</v>
      </c>
      <c r="P151" s="2" t="s">
        <v>64</v>
      </c>
      <c r="Q151" s="2" t="s">
        <v>53</v>
      </c>
      <c r="R151" s="2" t="s">
        <v>41</v>
      </c>
      <c r="S151" s="2" t="s">
        <v>41</v>
      </c>
      <c r="T151" s="2"/>
      <c r="U151" s="3">
        <v>45730</v>
      </c>
      <c r="V151" s="2"/>
      <c r="W151" s="2" t="s">
        <v>252</v>
      </c>
      <c r="X151" s="2" t="s">
        <v>100</v>
      </c>
      <c r="Y151" s="2" t="s">
        <v>127</v>
      </c>
      <c r="Z151" s="2" t="s">
        <v>127</v>
      </c>
      <c r="AA151" s="2" t="s">
        <v>180</v>
      </c>
      <c r="AB151" s="2" t="s">
        <v>129</v>
      </c>
      <c r="AC151" s="2" t="s">
        <v>797</v>
      </c>
    </row>
    <row r="152" spans="1:29" ht="20.100000000000001" customHeight="1">
      <c r="A152" s="2" t="s">
        <v>798</v>
      </c>
      <c r="B152" s="2" t="s">
        <v>799</v>
      </c>
      <c r="C152" s="2" t="str">
        <f>sheet1[[#This Row],[Nombre]]&amp;sheet1[[#This Row],[Bp Id]]</f>
        <v>AlarmnetSEC0043</v>
      </c>
      <c r="D152" s="2" t="str">
        <f>VLOOKUP(sheet1[[#This Row],[Columna1]],sheet13[[Columna1]:[Estado]],4,FALSE)</f>
        <v>Operativo</v>
      </c>
      <c r="E152" s="2" t="s">
        <v>800</v>
      </c>
      <c r="F152" s="2" t="s">
        <v>32</v>
      </c>
      <c r="G152" s="2" t="s">
        <v>48</v>
      </c>
      <c r="H152" s="2" t="s">
        <v>34</v>
      </c>
      <c r="I152" s="2" t="s">
        <v>107</v>
      </c>
      <c r="J152" s="2" t="s">
        <v>546</v>
      </c>
      <c r="K152" s="2" t="s">
        <v>176</v>
      </c>
      <c r="L152" s="2" t="s">
        <v>412</v>
      </c>
      <c r="M152" s="2" t="s">
        <v>63</v>
      </c>
      <c r="N152" s="2" t="s">
        <v>40</v>
      </c>
      <c r="O152" s="2" t="s">
        <v>41</v>
      </c>
      <c r="P152" s="2" t="s">
        <v>53</v>
      </c>
      <c r="Q152" s="2" t="s">
        <v>53</v>
      </c>
      <c r="R152" s="2" t="s">
        <v>43</v>
      </c>
      <c r="S152" s="2" t="s">
        <v>43</v>
      </c>
      <c r="T152" s="2"/>
      <c r="U152" s="3"/>
      <c r="V152" s="2"/>
      <c r="W152" s="2"/>
      <c r="X152" s="2"/>
      <c r="Y152" s="2"/>
      <c r="Z152" s="2"/>
      <c r="AA152" s="2"/>
      <c r="AB152" s="2"/>
      <c r="AC152" s="2"/>
    </row>
    <row r="153" spans="1:29" ht="20.100000000000001" customHeight="1">
      <c r="A153" s="2" t="s">
        <v>801</v>
      </c>
      <c r="B153" s="2" t="s">
        <v>802</v>
      </c>
      <c r="C153" s="2" t="str">
        <f>sheet1[[#This Row],[Nombre]]&amp;sheet1[[#This Row],[Bp Id]]</f>
        <v>FIREEYE AFO_DSEC0067</v>
      </c>
      <c r="D153" s="2" t="str">
        <f>VLOOKUP(sheet1[[#This Row],[Columna1]],sheet13[[Columna1]:[Estado]],4,FALSE)</f>
        <v>Retirado</v>
      </c>
      <c r="E153" s="2" t="s">
        <v>432</v>
      </c>
      <c r="F153" s="2" t="s">
        <v>47</v>
      </c>
      <c r="G153" s="2" t="s">
        <v>48</v>
      </c>
      <c r="H153" s="2" t="s">
        <v>34</v>
      </c>
      <c r="I153" s="2" t="s">
        <v>107</v>
      </c>
      <c r="J153" s="2" t="s">
        <v>176</v>
      </c>
      <c r="K153" s="2"/>
      <c r="L153" s="2" t="s">
        <v>803</v>
      </c>
      <c r="M153" s="2" t="s">
        <v>111</v>
      </c>
      <c r="N153" s="2" t="s">
        <v>40</v>
      </c>
      <c r="O153" s="2" t="s">
        <v>41</v>
      </c>
      <c r="P153" s="2" t="s">
        <v>42</v>
      </c>
      <c r="Q153" s="2" t="s">
        <v>42</v>
      </c>
      <c r="R153" s="2" t="s">
        <v>41</v>
      </c>
      <c r="S153" s="2" t="s">
        <v>43</v>
      </c>
      <c r="T153" s="2"/>
      <c r="U153" s="3"/>
      <c r="V153" s="2"/>
      <c r="W153" s="2"/>
      <c r="X153" s="2"/>
      <c r="Y153" s="2"/>
      <c r="Z153" s="2"/>
      <c r="AA153" s="2"/>
      <c r="AB153" s="2"/>
      <c r="AC153" s="2"/>
    </row>
    <row r="154" spans="1:29" ht="14.45" customHeight="1">
      <c r="A154" s="2" t="s">
        <v>804</v>
      </c>
      <c r="B154" s="2" t="s">
        <v>805</v>
      </c>
      <c r="C154" s="2" t="str">
        <f>sheet1[[#This Row],[Nombre]]&amp;sheet1[[#This Row],[Bp Id]]</f>
        <v>FiremonSEC0021</v>
      </c>
      <c r="D154" s="2" t="str">
        <f>VLOOKUP(sheet1[[#This Row],[Columna1]],sheet13[[Columna1]:[Estado]],4,FALSE)</f>
        <v>Operativo</v>
      </c>
      <c r="E154" s="2" t="s">
        <v>806</v>
      </c>
      <c r="F154" s="2" t="s">
        <v>32</v>
      </c>
      <c r="G154" s="2" t="s">
        <v>48</v>
      </c>
      <c r="H154" s="2" t="s">
        <v>34</v>
      </c>
      <c r="I154" s="2" t="s">
        <v>107</v>
      </c>
      <c r="J154" s="2" t="s">
        <v>177</v>
      </c>
      <c r="K154" s="2" t="s">
        <v>176</v>
      </c>
      <c r="L154" s="2" t="s">
        <v>219</v>
      </c>
      <c r="M154" s="2" t="s">
        <v>111</v>
      </c>
      <c r="N154" s="2" t="s">
        <v>40</v>
      </c>
      <c r="O154" s="2" t="s">
        <v>41</v>
      </c>
      <c r="P154" s="2" t="s">
        <v>53</v>
      </c>
      <c r="Q154" s="2" t="s">
        <v>53</v>
      </c>
      <c r="R154" s="2" t="s">
        <v>41</v>
      </c>
      <c r="S154" s="2" t="s">
        <v>41</v>
      </c>
      <c r="T154" s="2"/>
      <c r="U154" s="3">
        <v>45665</v>
      </c>
      <c r="V154" s="2" t="s">
        <v>186</v>
      </c>
      <c r="W154" s="2" t="s">
        <v>252</v>
      </c>
      <c r="X154" s="2"/>
      <c r="Y154" s="2" t="s">
        <v>127</v>
      </c>
      <c r="Z154" s="2" t="s">
        <v>127</v>
      </c>
      <c r="AA154" s="2" t="s">
        <v>180</v>
      </c>
      <c r="AB154" s="2"/>
      <c r="AC154" s="2" t="s">
        <v>807</v>
      </c>
    </row>
    <row r="155" spans="1:29" ht="20.100000000000001" customHeight="1">
      <c r="A155" s="2" t="s">
        <v>808</v>
      </c>
      <c r="B155" s="2" t="s">
        <v>809</v>
      </c>
      <c r="C155" s="2" t="str">
        <f>sheet1[[#This Row],[Nombre]]&amp;sheet1[[#This Row],[Bp Id]]</f>
        <v>Firma ElectrónicaEDC0009</v>
      </c>
      <c r="D155" s="2" t="str">
        <f>VLOOKUP(sheet1[[#This Row],[Columna1]],sheet13[[Columna1]:[Estado]],4,FALSE)</f>
        <v>Operativo</v>
      </c>
      <c r="E155" s="2" t="s">
        <v>810</v>
      </c>
      <c r="F155" s="2" t="s">
        <v>32</v>
      </c>
      <c r="G155" s="2" t="s">
        <v>48</v>
      </c>
      <c r="H155" s="2" t="s">
        <v>34</v>
      </c>
      <c r="I155" s="2" t="s">
        <v>487</v>
      </c>
      <c r="J155" s="2" t="s">
        <v>488</v>
      </c>
      <c r="K155" s="2" t="s">
        <v>489</v>
      </c>
      <c r="L155" s="2" t="s">
        <v>490</v>
      </c>
      <c r="M155" s="2" t="s">
        <v>161</v>
      </c>
      <c r="N155" s="2" t="s">
        <v>40</v>
      </c>
      <c r="O155" s="2" t="s">
        <v>41</v>
      </c>
      <c r="P155" s="2" t="s">
        <v>42</v>
      </c>
      <c r="Q155" s="2" t="s">
        <v>42</v>
      </c>
      <c r="R155" s="2" t="s">
        <v>43</v>
      </c>
      <c r="S155" s="2" t="s">
        <v>43</v>
      </c>
      <c r="T155" s="2"/>
      <c r="U155" s="3"/>
      <c r="V155" s="2"/>
      <c r="W155" s="2"/>
      <c r="X155" s="2"/>
      <c r="Y155" s="2"/>
      <c r="Z155" s="2"/>
      <c r="AA155" s="2"/>
      <c r="AB155" s="2"/>
      <c r="AC155" s="2"/>
    </row>
    <row r="156" spans="1:29" ht="20.100000000000001" customHeight="1">
      <c r="A156" s="2" t="s">
        <v>811</v>
      </c>
      <c r="B156" s="2" t="s">
        <v>812</v>
      </c>
      <c r="C156" s="2" t="str">
        <f>sheet1[[#This Row],[Nombre]]&amp;sheet1[[#This Row],[Bp Id]]</f>
        <v>FLUID ARMSEC0054</v>
      </c>
      <c r="D156" s="2" t="str">
        <f>VLOOKUP(sheet1[[#This Row],[Columna1]],sheet13[[Columna1]:[Estado]],4,FALSE)</f>
        <v>Retirado</v>
      </c>
      <c r="E156" s="2" t="s">
        <v>813</v>
      </c>
      <c r="F156" s="2" t="s">
        <v>47</v>
      </c>
      <c r="G156" s="2" t="s">
        <v>58</v>
      </c>
      <c r="H156" s="2" t="s">
        <v>140</v>
      </c>
      <c r="I156" s="2" t="s">
        <v>107</v>
      </c>
      <c r="J156" s="2" t="s">
        <v>814</v>
      </c>
      <c r="K156" s="2" t="s">
        <v>815</v>
      </c>
      <c r="L156" s="2" t="s">
        <v>814</v>
      </c>
      <c r="M156" s="2" t="s">
        <v>111</v>
      </c>
      <c r="N156" s="2" t="s">
        <v>40</v>
      </c>
      <c r="O156" s="2" t="s">
        <v>41</v>
      </c>
      <c r="P156" s="2" t="s">
        <v>53</v>
      </c>
      <c r="Q156" s="2" t="s">
        <v>53</v>
      </c>
      <c r="R156" s="2" t="s">
        <v>41</v>
      </c>
      <c r="S156" s="2" t="s">
        <v>43</v>
      </c>
      <c r="T156" s="2"/>
      <c r="U156" s="3"/>
      <c r="V156" s="2"/>
      <c r="W156" s="2"/>
      <c r="X156" s="2"/>
      <c r="Y156" s="2"/>
      <c r="Z156" s="2"/>
      <c r="AA156" s="2"/>
      <c r="AB156" s="2"/>
      <c r="AC156" s="2"/>
    </row>
    <row r="157" spans="1:29" ht="57.95" customHeight="1">
      <c r="A157" s="2" t="s">
        <v>816</v>
      </c>
      <c r="B157" s="2" t="s">
        <v>817</v>
      </c>
      <c r="C157" s="2" t="str">
        <f>sheet1[[#This Row],[Nombre]]&amp;sheet1[[#This Row],[Bp Id]]</f>
        <v>Forcepoint DLPSEC0022</v>
      </c>
      <c r="D157" s="2" t="str">
        <f>VLOOKUP(sheet1[[#This Row],[Columna1]],sheet13[[Columna1]:[Estado]],4,FALSE)</f>
        <v>Operativo</v>
      </c>
      <c r="E157" s="2" t="s">
        <v>818</v>
      </c>
      <c r="F157" s="2" t="s">
        <v>32</v>
      </c>
      <c r="G157" s="2" t="s">
        <v>48</v>
      </c>
      <c r="H157" s="2" t="s">
        <v>34</v>
      </c>
      <c r="I157" s="2" t="s">
        <v>107</v>
      </c>
      <c r="J157" s="2" t="s">
        <v>218</v>
      </c>
      <c r="K157" s="2" t="s">
        <v>176</v>
      </c>
      <c r="L157" s="2" t="s">
        <v>219</v>
      </c>
      <c r="M157" s="2" t="s">
        <v>111</v>
      </c>
      <c r="N157" s="2" t="s">
        <v>40</v>
      </c>
      <c r="O157" s="2" t="s">
        <v>41</v>
      </c>
      <c r="P157" s="2" t="s">
        <v>42</v>
      </c>
      <c r="Q157" s="2" t="s">
        <v>53</v>
      </c>
      <c r="R157" s="2" t="s">
        <v>41</v>
      </c>
      <c r="S157" s="2" t="s">
        <v>41</v>
      </c>
      <c r="T157" s="2" t="s">
        <v>819</v>
      </c>
      <c r="U157" s="3">
        <v>45657</v>
      </c>
      <c r="V157" s="2" t="s">
        <v>820</v>
      </c>
      <c r="W157" s="2" t="s">
        <v>375</v>
      </c>
      <c r="X157" s="2" t="s">
        <v>253</v>
      </c>
      <c r="Y157" s="2" t="s">
        <v>127</v>
      </c>
      <c r="Z157" s="2" t="s">
        <v>127</v>
      </c>
      <c r="AA157" s="2" t="s">
        <v>180</v>
      </c>
      <c r="AB157" s="2" t="s">
        <v>129</v>
      </c>
      <c r="AC157" s="2" t="s">
        <v>821</v>
      </c>
    </row>
    <row r="158" spans="1:29" ht="20.100000000000001" customHeight="1">
      <c r="A158" s="2" t="s">
        <v>822</v>
      </c>
      <c r="B158" s="2" t="s">
        <v>823</v>
      </c>
      <c r="C158" s="2" t="str">
        <f>sheet1[[#This Row],[Nombre]]&amp;sheet1[[#This Row],[Bp Id]]</f>
        <v>Formularios del PortalCUS0009</v>
      </c>
      <c r="D158" s="2" t="str">
        <f>VLOOKUP(sheet1[[#This Row],[Columna1]],sheet13[[Columna1]:[Estado]],4,FALSE)</f>
        <v>Retirado</v>
      </c>
      <c r="E158" s="2" t="s">
        <v>139</v>
      </c>
      <c r="F158" s="2" t="s">
        <v>47</v>
      </c>
      <c r="G158" s="2" t="s">
        <v>48</v>
      </c>
      <c r="H158" s="2" t="s">
        <v>59</v>
      </c>
      <c r="I158" s="2" t="s">
        <v>134</v>
      </c>
      <c r="J158" s="2" t="s">
        <v>88</v>
      </c>
      <c r="K158" s="2" t="s">
        <v>135</v>
      </c>
      <c r="L158" s="2" t="s">
        <v>480</v>
      </c>
      <c r="M158" s="2" t="s">
        <v>161</v>
      </c>
      <c r="N158" s="2" t="s">
        <v>40</v>
      </c>
      <c r="O158" s="2" t="s">
        <v>43</v>
      </c>
      <c r="P158" s="2" t="s">
        <v>53</v>
      </c>
      <c r="Q158" s="2" t="s">
        <v>53</v>
      </c>
      <c r="R158" s="2" t="s">
        <v>43</v>
      </c>
      <c r="S158" s="2" t="s">
        <v>43</v>
      </c>
      <c r="T158" s="2"/>
      <c r="U158" s="3"/>
      <c r="V158" s="2"/>
      <c r="W158" s="2"/>
      <c r="X158" s="2"/>
      <c r="Y158" s="2"/>
      <c r="Z158" s="2"/>
      <c r="AA158" s="2"/>
      <c r="AB158" s="2"/>
      <c r="AC158" s="2"/>
    </row>
    <row r="159" spans="1:29" ht="57.95" customHeight="1">
      <c r="A159" s="2" t="s">
        <v>824</v>
      </c>
      <c r="B159" s="2" t="s">
        <v>825</v>
      </c>
      <c r="C159" s="2" t="str">
        <f>sheet1[[#This Row],[Nombre]]&amp;sheet1[[#This Row],[Bp Id]]</f>
        <v>FortifySEC0023</v>
      </c>
      <c r="D159" s="2" t="str">
        <f>VLOOKUP(sheet1[[#This Row],[Columna1]],sheet13[[Columna1]:[Estado]],4,FALSE)</f>
        <v>Retirado</v>
      </c>
      <c r="E159" s="2" t="s">
        <v>826</v>
      </c>
      <c r="F159" s="2" t="s">
        <v>47</v>
      </c>
      <c r="G159" s="2" t="s">
        <v>76</v>
      </c>
      <c r="H159" s="2" t="s">
        <v>34</v>
      </c>
      <c r="I159" s="2" t="s">
        <v>107</v>
      </c>
      <c r="J159" s="2" t="s">
        <v>272</v>
      </c>
      <c r="K159" s="2" t="s">
        <v>176</v>
      </c>
      <c r="L159" s="2" t="s">
        <v>214</v>
      </c>
      <c r="M159" s="2" t="s">
        <v>111</v>
      </c>
      <c r="N159" s="2" t="s">
        <v>40</v>
      </c>
      <c r="O159" s="2" t="s">
        <v>41</v>
      </c>
      <c r="P159" s="2" t="s">
        <v>53</v>
      </c>
      <c r="Q159" s="2" t="s">
        <v>53</v>
      </c>
      <c r="R159" s="2" t="s">
        <v>41</v>
      </c>
      <c r="S159" s="2" t="s">
        <v>43</v>
      </c>
      <c r="T159" s="2"/>
      <c r="U159" s="3"/>
      <c r="V159" s="2"/>
      <c r="W159" s="2"/>
      <c r="X159" s="2"/>
      <c r="Y159" s="2"/>
      <c r="Z159" s="2"/>
      <c r="AA159" s="2"/>
      <c r="AB159" s="2"/>
      <c r="AC159" s="2"/>
    </row>
    <row r="160" spans="1:29" ht="20.100000000000001" customHeight="1">
      <c r="A160" s="2" t="s">
        <v>827</v>
      </c>
      <c r="B160" s="2" t="s">
        <v>828</v>
      </c>
      <c r="C160" s="2" t="str">
        <f>sheet1[[#This Row],[Nombre]]&amp;sheet1[[#This Row],[Bp Id]]</f>
        <v>FrontifyEDC0003</v>
      </c>
      <c r="D160" s="2" t="str">
        <f>VLOOKUP(sheet1[[#This Row],[Columna1]],sheet13[[Columna1]:[Estado]],4,FALSE)</f>
        <v>Operativo</v>
      </c>
      <c r="E160" s="2" t="s">
        <v>829</v>
      </c>
      <c r="F160" s="2" t="s">
        <v>32</v>
      </c>
      <c r="G160" s="2" t="s">
        <v>48</v>
      </c>
      <c r="H160" s="2" t="s">
        <v>59</v>
      </c>
      <c r="I160" s="2" t="s">
        <v>294</v>
      </c>
      <c r="J160" s="2" t="s">
        <v>88</v>
      </c>
      <c r="K160" s="2" t="s">
        <v>295</v>
      </c>
      <c r="L160" s="2" t="s">
        <v>136</v>
      </c>
      <c r="M160" s="2" t="s">
        <v>296</v>
      </c>
      <c r="N160" s="2" t="s">
        <v>40</v>
      </c>
      <c r="O160" s="2" t="s">
        <v>41</v>
      </c>
      <c r="P160" s="2" t="s">
        <v>64</v>
      </c>
      <c r="Q160" s="2" t="s">
        <v>64</v>
      </c>
      <c r="R160" s="2" t="s">
        <v>43</v>
      </c>
      <c r="S160" s="2" t="s">
        <v>43</v>
      </c>
      <c r="T160" s="2"/>
      <c r="U160" s="3"/>
      <c r="V160" s="2"/>
      <c r="W160" s="2"/>
      <c r="X160" s="2"/>
      <c r="Y160" s="2"/>
      <c r="Z160" s="2"/>
      <c r="AA160" s="2"/>
      <c r="AB160" s="2"/>
      <c r="AC160" s="2"/>
    </row>
    <row r="161" spans="1:29" ht="57.95" customHeight="1">
      <c r="A161" s="2" t="s">
        <v>830</v>
      </c>
      <c r="B161" s="2" t="s">
        <v>831</v>
      </c>
      <c r="C161" s="2" t="str">
        <f>sheet1[[#This Row],[Nombre]]&amp;sheet1[[#This Row],[Bp Id]]</f>
        <v>GAFCOR0007</v>
      </c>
      <c r="D161" s="2" t="str">
        <f>VLOOKUP(sheet1[[#This Row],[Columna1]],sheet13[[Columna1]:[Estado]],4,FALSE)</f>
        <v>Operativo</v>
      </c>
      <c r="E161" s="2" t="s">
        <v>832</v>
      </c>
      <c r="F161" s="2" t="s">
        <v>32</v>
      </c>
      <c r="G161" s="2" t="s">
        <v>76</v>
      </c>
      <c r="H161" s="2" t="s">
        <v>34</v>
      </c>
      <c r="I161" s="2" t="s">
        <v>339</v>
      </c>
      <c r="J161" s="2" t="s">
        <v>50</v>
      </c>
      <c r="K161" s="2" t="s">
        <v>833</v>
      </c>
      <c r="L161" s="2" t="s">
        <v>50</v>
      </c>
      <c r="M161" s="2" t="s">
        <v>39</v>
      </c>
      <c r="N161" s="2" t="s">
        <v>40</v>
      </c>
      <c r="O161" s="2" t="s">
        <v>41</v>
      </c>
      <c r="P161" s="2" t="s">
        <v>53</v>
      </c>
      <c r="Q161" s="2" t="s">
        <v>53</v>
      </c>
      <c r="R161" s="2" t="s">
        <v>41</v>
      </c>
      <c r="S161" s="2" t="s">
        <v>41</v>
      </c>
      <c r="T161" s="2"/>
      <c r="U161" s="3">
        <v>45200</v>
      </c>
      <c r="V161" s="2"/>
      <c r="W161" s="2" t="s">
        <v>146</v>
      </c>
      <c r="X161" s="2" t="s">
        <v>590</v>
      </c>
      <c r="Y161" s="2" t="s">
        <v>147</v>
      </c>
      <c r="Z161" s="2" t="s">
        <v>147</v>
      </c>
      <c r="AA161" s="2" t="s">
        <v>180</v>
      </c>
      <c r="AB161" s="2" t="s">
        <v>129</v>
      </c>
      <c r="AC161" s="2" t="s">
        <v>834</v>
      </c>
    </row>
    <row r="162" spans="1:29" ht="20.100000000000001" customHeight="1">
      <c r="A162" s="2" t="s">
        <v>835</v>
      </c>
      <c r="B162" s="2" t="s">
        <v>836</v>
      </c>
      <c r="C162" s="2" t="str">
        <f>sheet1[[#This Row],[Nombre]]&amp;sheet1[[#This Row],[Bp Id]]</f>
        <v>GEENERASUP0007</v>
      </c>
      <c r="D162" s="2" t="str">
        <f>VLOOKUP(sheet1[[#This Row],[Columna1]],sheet13[[Columna1]:[Estado]],4,FALSE)</f>
        <v>Operativo</v>
      </c>
      <c r="E162" s="2" t="s">
        <v>837</v>
      </c>
      <c r="F162" s="2" t="s">
        <v>32</v>
      </c>
      <c r="G162" s="2" t="s">
        <v>58</v>
      </c>
      <c r="H162" s="2" t="s">
        <v>59</v>
      </c>
      <c r="I162" s="2" t="s">
        <v>225</v>
      </c>
      <c r="J162" s="2" t="s">
        <v>226</v>
      </c>
      <c r="K162" s="2" t="s">
        <v>300</v>
      </c>
      <c r="L162" s="2" t="s">
        <v>268</v>
      </c>
      <c r="M162" s="2" t="s">
        <v>39</v>
      </c>
      <c r="N162" s="2" t="s">
        <v>40</v>
      </c>
      <c r="O162" s="2" t="s">
        <v>41</v>
      </c>
      <c r="P162" s="2" t="s">
        <v>42</v>
      </c>
      <c r="Q162" s="2" t="s">
        <v>53</v>
      </c>
      <c r="R162" s="2" t="s">
        <v>41</v>
      </c>
      <c r="S162" s="2" t="s">
        <v>41</v>
      </c>
      <c r="T162" s="2"/>
      <c r="U162" s="3">
        <v>45200</v>
      </c>
      <c r="V162" s="2" t="s">
        <v>838</v>
      </c>
      <c r="W162" s="2" t="s">
        <v>252</v>
      </c>
      <c r="X162" s="2" t="s">
        <v>369</v>
      </c>
      <c r="Y162" s="2" t="s">
        <v>839</v>
      </c>
      <c r="Z162" s="2" t="s">
        <v>127</v>
      </c>
      <c r="AA162" s="2" t="s">
        <v>180</v>
      </c>
      <c r="AB162" s="2" t="s">
        <v>415</v>
      </c>
      <c r="AC162" s="2" t="s">
        <v>840</v>
      </c>
    </row>
    <row r="163" spans="1:29" ht="29.1" customHeight="1">
      <c r="A163" s="2" t="s">
        <v>841</v>
      </c>
      <c r="B163" s="2" t="s">
        <v>842</v>
      </c>
      <c r="C163" s="2" t="str">
        <f>sheet1[[#This Row],[Nombre]]&amp;sheet1[[#This Row],[Bp Id]]</f>
        <v>Genesys CloudCHL0040</v>
      </c>
      <c r="D163" s="2" t="str">
        <f>VLOOKUP(sheet1[[#This Row],[Columna1]],sheet13[[Columna1]:[Estado]],4,FALSE)</f>
        <v>Operativo</v>
      </c>
      <c r="E163" s="2" t="s">
        <v>843</v>
      </c>
      <c r="F163" s="2" t="s">
        <v>32</v>
      </c>
      <c r="G163" s="2" t="s">
        <v>33</v>
      </c>
      <c r="H163" s="2" t="s">
        <v>59</v>
      </c>
      <c r="I163" s="2" t="s">
        <v>35</v>
      </c>
      <c r="J163" s="2" t="s">
        <v>36</v>
      </c>
      <c r="K163" s="2" t="s">
        <v>844</v>
      </c>
      <c r="L163" s="2" t="s">
        <v>36</v>
      </c>
      <c r="M163" s="2" t="s">
        <v>39</v>
      </c>
      <c r="N163" s="2" t="s">
        <v>40</v>
      </c>
      <c r="O163" s="2" t="s">
        <v>43</v>
      </c>
      <c r="P163" s="2" t="s">
        <v>42</v>
      </c>
      <c r="Q163" s="2" t="s">
        <v>42</v>
      </c>
      <c r="R163" s="2" t="s">
        <v>41</v>
      </c>
      <c r="S163" s="2" t="s">
        <v>41</v>
      </c>
      <c r="T163" s="2" t="s">
        <v>845</v>
      </c>
      <c r="U163" s="3">
        <v>45200</v>
      </c>
      <c r="V163" s="2"/>
      <c r="W163" s="2" t="s">
        <v>126</v>
      </c>
      <c r="X163" s="2" t="s">
        <v>375</v>
      </c>
      <c r="Y163" s="2" t="s">
        <v>363</v>
      </c>
      <c r="Z163" s="2" t="s">
        <v>127</v>
      </c>
      <c r="AA163" s="2" t="s">
        <v>263</v>
      </c>
      <c r="AB163" s="2" t="s">
        <v>129</v>
      </c>
      <c r="AC163" s="2"/>
    </row>
    <row r="164" spans="1:29" ht="20.100000000000001" customHeight="1">
      <c r="A164" s="2" t="s">
        <v>846</v>
      </c>
      <c r="B164" s="2" t="s">
        <v>847</v>
      </c>
      <c r="C164" s="2" t="str">
        <f>sheet1[[#This Row],[Nombre]]&amp;sheet1[[#This Row],[Bp Id]]</f>
        <v>Gestión de Liquidez 2.0SUP0009</v>
      </c>
      <c r="D164" s="2" t="str">
        <f>VLOOKUP(sheet1[[#This Row],[Columna1]],sheet13[[Columna1]:[Estado]],4,FALSE)</f>
        <v>Operativo</v>
      </c>
      <c r="E164" s="2" t="s">
        <v>848</v>
      </c>
      <c r="F164" s="2" t="s">
        <v>32</v>
      </c>
      <c r="G164" s="2" t="s">
        <v>76</v>
      </c>
      <c r="H164" s="2" t="s">
        <v>59</v>
      </c>
      <c r="I164" s="2" t="s">
        <v>225</v>
      </c>
      <c r="J164" s="2" t="s">
        <v>226</v>
      </c>
      <c r="K164" s="2" t="s">
        <v>617</v>
      </c>
      <c r="L164" s="2" t="s">
        <v>304</v>
      </c>
      <c r="M164" s="2" t="s">
        <v>39</v>
      </c>
      <c r="N164" s="2" t="s">
        <v>40</v>
      </c>
      <c r="O164" s="2" t="s">
        <v>41</v>
      </c>
      <c r="P164" s="2" t="s">
        <v>64</v>
      </c>
      <c r="Q164" s="2" t="s">
        <v>64</v>
      </c>
      <c r="R164" s="2" t="s">
        <v>41</v>
      </c>
      <c r="S164" s="2" t="s">
        <v>41</v>
      </c>
      <c r="T164" s="2" t="s">
        <v>849</v>
      </c>
      <c r="U164" s="3">
        <v>46067</v>
      </c>
      <c r="V164" s="2" t="s">
        <v>850</v>
      </c>
      <c r="W164" s="2" t="s">
        <v>851</v>
      </c>
      <c r="X164" s="2" t="s">
        <v>187</v>
      </c>
      <c r="Y164" s="2"/>
      <c r="Z164" s="2"/>
      <c r="AA164" s="2"/>
      <c r="AB164" s="2"/>
      <c r="AC164" s="2"/>
    </row>
    <row r="165" spans="1:29" ht="20.100000000000001" customHeight="1">
      <c r="A165" s="2" t="s">
        <v>852</v>
      </c>
      <c r="B165" s="2" t="s">
        <v>853</v>
      </c>
      <c r="C165" s="2" t="str">
        <f>sheet1[[#This Row],[Nombre]]&amp;sheet1[[#This Row],[Bp Id]]</f>
        <v>Gestión del EfectivoSUP0032</v>
      </c>
      <c r="D165" s="2" t="str">
        <f>VLOOKUP(sheet1[[#This Row],[Columna1]],sheet13[[Columna1]:[Estado]],4,FALSE)</f>
        <v>Operativo</v>
      </c>
      <c r="E165" s="2" t="s">
        <v>854</v>
      </c>
      <c r="F165" s="2" t="s">
        <v>32</v>
      </c>
      <c r="G165" s="2" t="s">
        <v>76</v>
      </c>
      <c r="H165" s="2" t="s">
        <v>59</v>
      </c>
      <c r="I165" s="2" t="s">
        <v>225</v>
      </c>
      <c r="J165" s="2" t="s">
        <v>226</v>
      </c>
      <c r="K165" s="2" t="s">
        <v>268</v>
      </c>
      <c r="L165" s="2" t="s">
        <v>268</v>
      </c>
      <c r="M165" s="2" t="s">
        <v>39</v>
      </c>
      <c r="N165" s="2" t="s">
        <v>40</v>
      </c>
      <c r="O165" s="2" t="s">
        <v>41</v>
      </c>
      <c r="P165" s="2" t="s">
        <v>64</v>
      </c>
      <c r="Q165" s="2" t="s">
        <v>42</v>
      </c>
      <c r="R165" s="2" t="s">
        <v>41</v>
      </c>
      <c r="S165" s="2" t="s">
        <v>41</v>
      </c>
      <c r="T165" s="2" t="s">
        <v>855</v>
      </c>
      <c r="U165" s="3">
        <v>46028</v>
      </c>
      <c r="V165" s="2" t="s">
        <v>856</v>
      </c>
      <c r="W165" s="2" t="s">
        <v>187</v>
      </c>
      <c r="X165" s="2" t="s">
        <v>125</v>
      </c>
      <c r="Y165" s="2" t="s">
        <v>376</v>
      </c>
      <c r="Z165" s="2" t="s">
        <v>127</v>
      </c>
      <c r="AA165" s="2" t="s">
        <v>263</v>
      </c>
      <c r="AB165" s="2" t="s">
        <v>129</v>
      </c>
      <c r="AC165" s="2" t="s">
        <v>857</v>
      </c>
    </row>
    <row r="166" spans="1:29" ht="20.100000000000001" customHeight="1">
      <c r="A166" s="2" t="s">
        <v>858</v>
      </c>
      <c r="B166" s="2" t="s">
        <v>859</v>
      </c>
      <c r="C166" s="2" t="str">
        <f>sheet1[[#This Row],[Nombre]]&amp;sheet1[[#This Row],[Bp Id]]</f>
        <v>Gestion Identidades-WSO2 InternaSEC0024</v>
      </c>
      <c r="D166" s="2" t="str">
        <f>VLOOKUP(sheet1[[#This Row],[Columna1]],sheet13[[Columna1]:[Estado]],4,FALSE)</f>
        <v>Operativo</v>
      </c>
      <c r="E166" s="2" t="s">
        <v>860</v>
      </c>
      <c r="F166" s="2" t="s">
        <v>32</v>
      </c>
      <c r="G166" s="2" t="s">
        <v>48</v>
      </c>
      <c r="H166" s="2" t="s">
        <v>34</v>
      </c>
      <c r="I166" s="2" t="s">
        <v>107</v>
      </c>
      <c r="J166" s="2" t="s">
        <v>185</v>
      </c>
      <c r="K166" s="2" t="s">
        <v>176</v>
      </c>
      <c r="L166" s="2" t="s">
        <v>219</v>
      </c>
      <c r="M166" s="2" t="s">
        <v>111</v>
      </c>
      <c r="N166" s="2" t="s">
        <v>40</v>
      </c>
      <c r="O166" s="2" t="s">
        <v>41</v>
      </c>
      <c r="P166" s="2" t="s">
        <v>42</v>
      </c>
      <c r="Q166" s="2" t="s">
        <v>42</v>
      </c>
      <c r="R166" s="2" t="s">
        <v>43</v>
      </c>
      <c r="S166" s="2" t="s">
        <v>43</v>
      </c>
      <c r="T166" s="2" t="s">
        <v>861</v>
      </c>
      <c r="U166" s="3"/>
      <c r="V166" s="2"/>
      <c r="W166" s="2"/>
      <c r="X166" s="2"/>
      <c r="Y166" s="2"/>
      <c r="Z166" s="2"/>
      <c r="AA166" s="2"/>
      <c r="AB166" s="2"/>
      <c r="AC166" s="2"/>
    </row>
    <row r="167" spans="1:29" ht="57.95" customHeight="1">
      <c r="A167" s="2" t="s">
        <v>862</v>
      </c>
      <c r="B167" s="2" t="s">
        <v>863</v>
      </c>
      <c r="C167" s="2" t="str">
        <f>sheet1[[#This Row],[Nombre]]&amp;sheet1[[#This Row],[Bp Id]]</f>
        <v>Go Anywhere GatewayINT0002</v>
      </c>
      <c r="D167" s="2" t="str">
        <f>VLOOKUP(sheet1[[#This Row],[Columna1]],sheet13[[Columna1]:[Estado]],4,FALSE)</f>
        <v>Operativo</v>
      </c>
      <c r="E167" s="2" t="s">
        <v>864</v>
      </c>
      <c r="F167" s="2" t="s">
        <v>32</v>
      </c>
      <c r="G167" s="2" t="s">
        <v>48</v>
      </c>
      <c r="H167" s="2" t="s">
        <v>34</v>
      </c>
      <c r="I167" s="2" t="s">
        <v>670</v>
      </c>
      <c r="J167" s="2" t="s">
        <v>450</v>
      </c>
      <c r="K167" s="2" t="s">
        <v>865</v>
      </c>
      <c r="L167" s="2" t="s">
        <v>672</v>
      </c>
      <c r="M167" s="2" t="s">
        <v>52</v>
      </c>
      <c r="N167" s="2" t="s">
        <v>40</v>
      </c>
      <c r="O167" s="2" t="s">
        <v>41</v>
      </c>
      <c r="P167" s="2" t="s">
        <v>42</v>
      </c>
      <c r="Q167" s="2" t="s">
        <v>42</v>
      </c>
      <c r="R167" s="2" t="s">
        <v>43</v>
      </c>
      <c r="S167" s="2" t="s">
        <v>43</v>
      </c>
      <c r="T167" s="2"/>
      <c r="U167" s="3"/>
      <c r="V167" s="2"/>
      <c r="W167" s="2"/>
      <c r="X167" s="2"/>
      <c r="Y167" s="2"/>
      <c r="Z167" s="2"/>
      <c r="AA167" s="2"/>
      <c r="AB167" s="2"/>
      <c r="AC167" s="2"/>
    </row>
    <row r="168" spans="1:29" ht="14.45" customHeight="1">
      <c r="A168" s="2" t="s">
        <v>866</v>
      </c>
      <c r="B168" s="2" t="s">
        <v>867</v>
      </c>
      <c r="C168" s="2" t="str">
        <f>sheet1[[#This Row],[Nombre]]&amp;sheet1[[#This Row],[Bp Id]]</f>
        <v>Go Anywhere MFTINT0003</v>
      </c>
      <c r="D168" s="2" t="str">
        <f>VLOOKUP(sheet1[[#This Row],[Columna1]],sheet13[[Columna1]:[Estado]],4,FALSE)</f>
        <v>Operativo</v>
      </c>
      <c r="E168" s="2" t="s">
        <v>868</v>
      </c>
      <c r="F168" s="2" t="s">
        <v>32</v>
      </c>
      <c r="G168" s="2" t="s">
        <v>76</v>
      </c>
      <c r="H168" s="2" t="s">
        <v>34</v>
      </c>
      <c r="I168" s="2" t="s">
        <v>670</v>
      </c>
      <c r="J168" s="2" t="s">
        <v>450</v>
      </c>
      <c r="K168" s="2" t="s">
        <v>865</v>
      </c>
      <c r="L168" s="2" t="s">
        <v>869</v>
      </c>
      <c r="M168" s="2" t="s">
        <v>52</v>
      </c>
      <c r="N168" s="2" t="s">
        <v>40</v>
      </c>
      <c r="O168" s="2" t="s">
        <v>41</v>
      </c>
      <c r="P168" s="2" t="s">
        <v>64</v>
      </c>
      <c r="Q168" s="2" t="s">
        <v>53</v>
      </c>
      <c r="R168" s="2" t="s">
        <v>41</v>
      </c>
      <c r="S168" s="2" t="s">
        <v>41</v>
      </c>
      <c r="T168" s="2"/>
      <c r="U168" s="3">
        <v>45200</v>
      </c>
      <c r="V168" s="2" t="s">
        <v>870</v>
      </c>
      <c r="W168" s="2" t="s">
        <v>626</v>
      </c>
      <c r="X168" s="2" t="s">
        <v>125</v>
      </c>
      <c r="Y168" s="2" t="s">
        <v>311</v>
      </c>
      <c r="Z168" s="2" t="s">
        <v>311</v>
      </c>
      <c r="AA168" s="2" t="s">
        <v>180</v>
      </c>
      <c r="AB168" s="2" t="s">
        <v>129</v>
      </c>
      <c r="AC168" s="2" t="s">
        <v>871</v>
      </c>
    </row>
    <row r="169" spans="1:29" ht="14.45" customHeight="1">
      <c r="A169" s="2" t="s">
        <v>872</v>
      </c>
      <c r="B169" s="2" t="s">
        <v>873</v>
      </c>
      <c r="C169" s="2" t="str">
        <f>sheet1[[#This Row],[Nombre]]&amp;sheet1[[#This Row],[Bp Id]]</f>
        <v>Golden GateDAT0017</v>
      </c>
      <c r="D169" s="2" t="str">
        <f>VLOOKUP(sheet1[[#This Row],[Columna1]],sheet13[[Columna1]:[Estado]],4,FALSE)</f>
        <v>Operativo</v>
      </c>
      <c r="E169" s="2" t="s">
        <v>874</v>
      </c>
      <c r="F169" s="2" t="s">
        <v>32</v>
      </c>
      <c r="G169" s="2" t="s">
        <v>123</v>
      </c>
      <c r="H169" s="2" t="s">
        <v>34</v>
      </c>
      <c r="I169" s="2" t="s">
        <v>68</v>
      </c>
      <c r="J169" s="2" t="s">
        <v>69</v>
      </c>
      <c r="K169" s="2" t="s">
        <v>70</v>
      </c>
      <c r="L169" s="2" t="s">
        <v>875</v>
      </c>
      <c r="M169" s="2" t="s">
        <v>648</v>
      </c>
      <c r="N169" s="2" t="s">
        <v>40</v>
      </c>
      <c r="O169" s="2" t="s">
        <v>43</v>
      </c>
      <c r="P169" s="2" t="s">
        <v>53</v>
      </c>
      <c r="Q169" s="2" t="s">
        <v>53</v>
      </c>
      <c r="R169" s="2" t="s">
        <v>43</v>
      </c>
      <c r="S169" s="2" t="s">
        <v>43</v>
      </c>
      <c r="T169" s="2" t="s">
        <v>876</v>
      </c>
      <c r="U169" s="3">
        <v>45976</v>
      </c>
      <c r="V169" s="2" t="s">
        <v>877</v>
      </c>
      <c r="W169" s="2"/>
      <c r="X169" s="2"/>
      <c r="Y169" s="2"/>
      <c r="Z169" s="2"/>
      <c r="AA169" s="2"/>
      <c r="AB169" s="2"/>
      <c r="AC169" s="2"/>
    </row>
    <row r="170" spans="1:29" ht="20.100000000000001" customHeight="1">
      <c r="A170" s="2" t="s">
        <v>878</v>
      </c>
      <c r="B170" s="2" t="s">
        <v>879</v>
      </c>
      <c r="C170" s="2" t="str">
        <f>sheet1[[#This Row],[Nombre]]&amp;sheet1[[#This Row],[Bp Id]]</f>
        <v>Google AnalyticsEDC0004</v>
      </c>
      <c r="D170" s="2" t="str">
        <f>VLOOKUP(sheet1[[#This Row],[Columna1]],sheet13[[Columna1]:[Estado]],4,FALSE)</f>
        <v>Operativo</v>
      </c>
      <c r="E170" s="2" t="s">
        <v>139</v>
      </c>
      <c r="F170" s="2" t="s">
        <v>32</v>
      </c>
      <c r="G170" s="2" t="s">
        <v>58</v>
      </c>
      <c r="H170" s="2" t="s">
        <v>59</v>
      </c>
      <c r="I170" s="2" t="s">
        <v>294</v>
      </c>
      <c r="J170" s="2" t="s">
        <v>880</v>
      </c>
      <c r="K170" s="2"/>
      <c r="L170" s="2"/>
      <c r="M170" s="2" t="s">
        <v>63</v>
      </c>
      <c r="N170" s="2" t="s">
        <v>40</v>
      </c>
      <c r="O170" s="2" t="s">
        <v>41</v>
      </c>
      <c r="P170" s="2" t="s">
        <v>53</v>
      </c>
      <c r="Q170" s="2" t="s">
        <v>53</v>
      </c>
      <c r="R170" s="2" t="s">
        <v>43</v>
      </c>
      <c r="S170" s="2" t="s">
        <v>43</v>
      </c>
      <c r="T170" s="2"/>
      <c r="U170" s="3"/>
      <c r="V170" s="2"/>
      <c r="W170" s="2"/>
      <c r="X170" s="2"/>
      <c r="Y170" s="2"/>
      <c r="Z170" s="2"/>
      <c r="AA170" s="2"/>
      <c r="AB170" s="2"/>
      <c r="AC170" s="2"/>
    </row>
    <row r="171" spans="1:29" ht="87" customHeight="1">
      <c r="A171" s="2" t="s">
        <v>881</v>
      </c>
      <c r="B171" s="2" t="s">
        <v>882</v>
      </c>
      <c r="C171" s="2" t="str">
        <f>sheet1[[#This Row],[Nombre]]&amp;sheet1[[#This Row],[Bp Id]]</f>
        <v>GrafanaITM0023</v>
      </c>
      <c r="D171" s="2" t="str">
        <f>VLOOKUP(sheet1[[#This Row],[Columna1]],sheet13[[Columna1]:[Estado]],4,FALSE)</f>
        <v>Operativo</v>
      </c>
      <c r="E171" s="2" t="s">
        <v>883</v>
      </c>
      <c r="F171" s="2" t="s">
        <v>32</v>
      </c>
      <c r="G171" s="2" t="s">
        <v>76</v>
      </c>
      <c r="H171" s="2" t="s">
        <v>34</v>
      </c>
      <c r="I171" s="2" t="s">
        <v>449</v>
      </c>
      <c r="J171" s="2" t="s">
        <v>884</v>
      </c>
      <c r="K171" s="2" t="s">
        <v>885</v>
      </c>
      <c r="L171" s="2" t="s">
        <v>884</v>
      </c>
      <c r="M171" s="2" t="s">
        <v>52</v>
      </c>
      <c r="N171" s="2" t="s">
        <v>40</v>
      </c>
      <c r="O171" s="2" t="s">
        <v>41</v>
      </c>
      <c r="P171" s="2" t="s">
        <v>53</v>
      </c>
      <c r="Q171" s="2" t="s">
        <v>53</v>
      </c>
      <c r="R171" s="2" t="s">
        <v>41</v>
      </c>
      <c r="S171" s="2" t="s">
        <v>43</v>
      </c>
      <c r="T171" s="2"/>
      <c r="U171" s="3"/>
      <c r="V171" s="2"/>
      <c r="W171" s="2"/>
      <c r="X171" s="2"/>
      <c r="Y171" s="2"/>
      <c r="Z171" s="2"/>
      <c r="AA171" s="2"/>
      <c r="AB171" s="2"/>
      <c r="AC171" s="2"/>
    </row>
    <row r="172" spans="1:29" ht="20.100000000000001" customHeight="1">
      <c r="A172" s="2" t="s">
        <v>886</v>
      </c>
      <c r="B172" s="2" t="s">
        <v>887</v>
      </c>
      <c r="C172" s="2" t="str">
        <f>sheet1[[#This Row],[Nombre]]&amp;sheet1[[#This Row],[Bp Id]]</f>
        <v>HCIITM0063</v>
      </c>
      <c r="D172" s="2" t="str">
        <f>VLOOKUP(sheet1[[#This Row],[Columna1]],sheet13[[Columna1]:[Estado]],4,FALSE)</f>
        <v>Retirado</v>
      </c>
      <c r="E172" s="2" t="s">
        <v>888</v>
      </c>
      <c r="F172" s="2" t="s">
        <v>47</v>
      </c>
      <c r="G172" s="2" t="s">
        <v>48</v>
      </c>
      <c r="H172" s="2" t="s">
        <v>34</v>
      </c>
      <c r="I172" s="2" t="s">
        <v>68</v>
      </c>
      <c r="J172" s="2" t="s">
        <v>236</v>
      </c>
      <c r="K172" s="2" t="s">
        <v>586</v>
      </c>
      <c r="L172" s="2" t="s">
        <v>586</v>
      </c>
      <c r="M172" s="2" t="s">
        <v>161</v>
      </c>
      <c r="N172" s="2" t="s">
        <v>40</v>
      </c>
      <c r="O172" s="2" t="s">
        <v>41</v>
      </c>
      <c r="P172" s="2" t="s">
        <v>53</v>
      </c>
      <c r="Q172" s="2" t="s">
        <v>53</v>
      </c>
      <c r="R172" s="2" t="s">
        <v>43</v>
      </c>
      <c r="S172" s="2" t="s">
        <v>43</v>
      </c>
      <c r="T172" s="2"/>
      <c r="U172" s="3"/>
      <c r="V172" s="2"/>
      <c r="W172" s="2"/>
      <c r="X172" s="2"/>
      <c r="Y172" s="2"/>
      <c r="Z172" s="2"/>
      <c r="AA172" s="2"/>
      <c r="AB172" s="2"/>
      <c r="AC172" s="2"/>
    </row>
    <row r="173" spans="1:29" ht="20.100000000000001" customHeight="1">
      <c r="A173" s="2" t="s">
        <v>889</v>
      </c>
      <c r="B173" s="2" t="s">
        <v>890</v>
      </c>
      <c r="C173" s="2" t="str">
        <f>sheet1[[#This Row],[Nombre]]&amp;sheet1[[#This Row],[Bp Id]]</f>
        <v>HCP AnywhereITM0024</v>
      </c>
      <c r="D173" s="2" t="str">
        <f>VLOOKUP(sheet1[[#This Row],[Columna1]],sheet13[[Columna1]:[Estado]],4,FALSE)</f>
        <v>Operativo</v>
      </c>
      <c r="E173" s="2" t="s">
        <v>891</v>
      </c>
      <c r="F173" s="2" t="s">
        <v>32</v>
      </c>
      <c r="G173" s="2" t="s">
        <v>48</v>
      </c>
      <c r="H173" s="2" t="s">
        <v>34</v>
      </c>
      <c r="I173" s="2" t="s">
        <v>68</v>
      </c>
      <c r="J173" s="2" t="s">
        <v>69</v>
      </c>
      <c r="K173" s="2" t="s">
        <v>70</v>
      </c>
      <c r="L173" s="2" t="s">
        <v>586</v>
      </c>
      <c r="M173" s="2" t="s">
        <v>52</v>
      </c>
      <c r="N173" s="2" t="s">
        <v>40</v>
      </c>
      <c r="O173" s="2" t="s">
        <v>41</v>
      </c>
      <c r="P173" s="2" t="s">
        <v>533</v>
      </c>
      <c r="Q173" s="2" t="s">
        <v>42</v>
      </c>
      <c r="R173" s="2" t="s">
        <v>43</v>
      </c>
      <c r="S173" s="2" t="s">
        <v>43</v>
      </c>
      <c r="T173" s="2"/>
      <c r="U173" s="3"/>
      <c r="V173" s="2"/>
      <c r="W173" s="2"/>
      <c r="X173" s="2"/>
      <c r="Y173" s="2"/>
      <c r="Z173" s="2"/>
      <c r="AA173" s="2"/>
      <c r="AB173" s="2"/>
      <c r="AC173" s="2"/>
    </row>
    <row r="174" spans="1:29" ht="20.100000000000001" customHeight="1">
      <c r="A174" s="2" t="s">
        <v>892</v>
      </c>
      <c r="B174" s="2" t="s">
        <v>893</v>
      </c>
      <c r="C174" s="2" t="str">
        <f>sheet1[[#This Row],[Nombre]]&amp;sheet1[[#This Row],[Bp Id]]</f>
        <v>Hitachi AdministratorITM0025</v>
      </c>
      <c r="D174" s="2" t="str">
        <f>VLOOKUP(sheet1[[#This Row],[Columna1]],sheet13[[Columna1]:[Estado]],4,FALSE)</f>
        <v>Operativo</v>
      </c>
      <c r="E174" s="2" t="s">
        <v>894</v>
      </c>
      <c r="F174" s="2" t="s">
        <v>32</v>
      </c>
      <c r="G174" s="2" t="s">
        <v>48</v>
      </c>
      <c r="H174" s="2" t="s">
        <v>34</v>
      </c>
      <c r="I174" s="2" t="s">
        <v>68</v>
      </c>
      <c r="J174" s="2" t="s">
        <v>69</v>
      </c>
      <c r="K174" s="2" t="s">
        <v>70</v>
      </c>
      <c r="L174" s="2" t="s">
        <v>586</v>
      </c>
      <c r="M174" s="2" t="s">
        <v>52</v>
      </c>
      <c r="N174" s="2" t="s">
        <v>40</v>
      </c>
      <c r="O174" s="2" t="s">
        <v>41</v>
      </c>
      <c r="P174" s="2" t="s">
        <v>53</v>
      </c>
      <c r="Q174" s="2" t="s">
        <v>53</v>
      </c>
      <c r="R174" s="2" t="s">
        <v>43</v>
      </c>
      <c r="S174" s="2" t="s">
        <v>43</v>
      </c>
      <c r="T174" s="2"/>
      <c r="U174" s="3"/>
      <c r="V174" s="2"/>
      <c r="W174" s="2"/>
      <c r="X174" s="2"/>
      <c r="Y174" s="2"/>
      <c r="Z174" s="2"/>
      <c r="AA174" s="2"/>
      <c r="AB174" s="2"/>
      <c r="AC174" s="2"/>
    </row>
    <row r="175" spans="1:29" ht="20.100000000000001" customHeight="1">
      <c r="A175" s="2" t="s">
        <v>895</v>
      </c>
      <c r="B175" s="2" t="s">
        <v>896</v>
      </c>
      <c r="C175" s="2" t="str">
        <f>sheet1[[#This Row],[Nombre]]&amp;sheet1[[#This Row],[Bp Id]]</f>
        <v>Home FolderITM0026</v>
      </c>
      <c r="D175" s="2" t="str">
        <f>VLOOKUP(sheet1[[#This Row],[Columna1]],sheet13[[Columna1]:[Estado]],4,FALSE)</f>
        <v>Operativo</v>
      </c>
      <c r="E175" s="2" t="s">
        <v>897</v>
      </c>
      <c r="F175" s="2" t="s">
        <v>32</v>
      </c>
      <c r="G175" s="2" t="s">
        <v>48</v>
      </c>
      <c r="H175" s="2" t="s">
        <v>34</v>
      </c>
      <c r="I175" s="2" t="s">
        <v>68</v>
      </c>
      <c r="J175" s="2" t="s">
        <v>69</v>
      </c>
      <c r="K175" s="2" t="s">
        <v>82</v>
      </c>
      <c r="L175" s="2" t="s">
        <v>898</v>
      </c>
      <c r="M175" s="2" t="s">
        <v>52</v>
      </c>
      <c r="N175" s="2" t="s">
        <v>40</v>
      </c>
      <c r="O175" s="2" t="s">
        <v>41</v>
      </c>
      <c r="P175" s="2" t="s">
        <v>42</v>
      </c>
      <c r="Q175" s="2" t="s">
        <v>42</v>
      </c>
      <c r="R175" s="2" t="s">
        <v>43</v>
      </c>
      <c r="S175" s="2" t="s">
        <v>43</v>
      </c>
      <c r="T175" s="2"/>
      <c r="U175" s="3"/>
      <c r="V175" s="2"/>
      <c r="W175" s="2"/>
      <c r="X175" s="2"/>
      <c r="Y175" s="2"/>
      <c r="Z175" s="2"/>
      <c r="AA175" s="2"/>
      <c r="AB175" s="2"/>
      <c r="AC175" s="2"/>
    </row>
    <row r="176" spans="1:29" ht="20.100000000000001" customHeight="1">
      <c r="A176" s="2" t="s">
        <v>899</v>
      </c>
      <c r="B176" s="2" t="s">
        <v>900</v>
      </c>
      <c r="C176" s="2" t="str">
        <f>sheet1[[#This Row],[Nombre]]&amp;sheet1[[#This Row],[Bp Id]]</f>
        <v>HopexITM0027</v>
      </c>
      <c r="D176" s="2" t="str">
        <f>VLOOKUP(sheet1[[#This Row],[Columna1]],sheet13[[Columna1]:[Estado]],4,FALSE)</f>
        <v>Operativo</v>
      </c>
      <c r="E176" s="2" t="s">
        <v>139</v>
      </c>
      <c r="F176" s="2" t="s">
        <v>32</v>
      </c>
      <c r="G176" s="2" t="s">
        <v>48</v>
      </c>
      <c r="H176" s="2" t="s">
        <v>59</v>
      </c>
      <c r="I176" s="2" t="s">
        <v>60</v>
      </c>
      <c r="J176" s="2" t="s">
        <v>901</v>
      </c>
      <c r="K176" s="2" t="s">
        <v>902</v>
      </c>
      <c r="L176" s="2" t="s">
        <v>901</v>
      </c>
      <c r="M176" s="2" t="s">
        <v>296</v>
      </c>
      <c r="N176" s="2" t="s">
        <v>40</v>
      </c>
      <c r="O176" s="2" t="s">
        <v>41</v>
      </c>
      <c r="P176" s="2" t="s">
        <v>53</v>
      </c>
      <c r="Q176" s="2" t="s">
        <v>53</v>
      </c>
      <c r="R176" s="2" t="s">
        <v>43</v>
      </c>
      <c r="S176" s="2" t="s">
        <v>43</v>
      </c>
      <c r="T176" s="2"/>
      <c r="U176" s="3"/>
      <c r="V176" s="2"/>
      <c r="W176" s="2"/>
      <c r="X176" s="2"/>
      <c r="Y176" s="2"/>
      <c r="Z176" s="2"/>
      <c r="AA176" s="2"/>
      <c r="AB176" s="2"/>
      <c r="AC176" s="2"/>
    </row>
    <row r="177" spans="1:29" ht="20.100000000000001" customHeight="1">
      <c r="A177" s="2" t="s">
        <v>903</v>
      </c>
      <c r="B177" s="2" t="s">
        <v>904</v>
      </c>
      <c r="C177" s="2" t="str">
        <f>sheet1[[#This Row],[Nombre]]&amp;sheet1[[#This Row],[Bp Id]]</f>
        <v>Horas extrasSUP0010</v>
      </c>
      <c r="D177" s="2" t="str">
        <f>VLOOKUP(sheet1[[#This Row],[Columna1]],sheet13[[Columna1]:[Estado]],4,FALSE)</f>
        <v>Operativo</v>
      </c>
      <c r="E177" s="2" t="s">
        <v>905</v>
      </c>
      <c r="F177" s="2" t="s">
        <v>32</v>
      </c>
      <c r="G177" s="2" t="s">
        <v>48</v>
      </c>
      <c r="H177" s="2" t="s">
        <v>34</v>
      </c>
      <c r="I177" s="2" t="s">
        <v>225</v>
      </c>
      <c r="J177" s="2" t="s">
        <v>226</v>
      </c>
      <c r="K177" s="2" t="s">
        <v>300</v>
      </c>
      <c r="L177" s="2" t="s">
        <v>268</v>
      </c>
      <c r="M177" s="2" t="s">
        <v>63</v>
      </c>
      <c r="N177" s="2" t="s">
        <v>40</v>
      </c>
      <c r="O177" s="2" t="s">
        <v>41</v>
      </c>
      <c r="P177" s="2" t="s">
        <v>53</v>
      </c>
      <c r="Q177" s="2" t="s">
        <v>53</v>
      </c>
      <c r="R177" s="2" t="s">
        <v>43</v>
      </c>
      <c r="S177" s="2" t="s">
        <v>43</v>
      </c>
      <c r="T177" s="2"/>
      <c r="U177" s="3"/>
      <c r="V177" s="2"/>
      <c r="W177" s="2"/>
      <c r="X177" s="2"/>
      <c r="Y177" s="2"/>
      <c r="Z177" s="2"/>
      <c r="AA177" s="2"/>
      <c r="AB177" s="2"/>
      <c r="AC177" s="2"/>
    </row>
    <row r="178" spans="1:29" ht="20.100000000000001" customHeight="1">
      <c r="A178" s="2" t="s">
        <v>906</v>
      </c>
      <c r="B178" s="2" t="s">
        <v>907</v>
      </c>
      <c r="C178" s="2" t="str">
        <f>sheet1[[#This Row],[Nombre]]&amp;sheet1[[#This Row],[Bp Id]]</f>
        <v>Host Integration ServerITM0028</v>
      </c>
      <c r="D178" s="2" t="str">
        <f>VLOOKUP(sheet1[[#This Row],[Columna1]],sheet13[[Columna1]:[Estado]],4,FALSE)</f>
        <v>Retirado</v>
      </c>
      <c r="E178" s="2" t="s">
        <v>908</v>
      </c>
      <c r="F178" s="2" t="s">
        <v>47</v>
      </c>
      <c r="G178" s="2" t="s">
        <v>48</v>
      </c>
      <c r="H178" s="2" t="s">
        <v>34</v>
      </c>
      <c r="I178" s="2" t="s">
        <v>68</v>
      </c>
      <c r="J178" s="2" t="s">
        <v>236</v>
      </c>
      <c r="K178" s="2" t="s">
        <v>82</v>
      </c>
      <c r="L178" s="2" t="s">
        <v>82</v>
      </c>
      <c r="M178" s="2" t="s">
        <v>52</v>
      </c>
      <c r="N178" s="2" t="s">
        <v>40</v>
      </c>
      <c r="O178" s="2" t="s">
        <v>41</v>
      </c>
      <c r="P178" s="2" t="s">
        <v>53</v>
      </c>
      <c r="Q178" s="2" t="s">
        <v>53</v>
      </c>
      <c r="R178" s="2" t="s">
        <v>43</v>
      </c>
      <c r="S178" s="2" t="s">
        <v>43</v>
      </c>
      <c r="T178" s="2"/>
      <c r="U178" s="3"/>
      <c r="V178" s="2"/>
      <c r="W178" s="2"/>
      <c r="X178" s="2"/>
      <c r="Y178" s="2"/>
      <c r="Z178" s="2"/>
      <c r="AA178" s="2"/>
      <c r="AB178" s="2"/>
      <c r="AC178" s="2"/>
    </row>
    <row r="179" spans="1:29" ht="20.100000000000001" customHeight="1">
      <c r="A179" s="2" t="s">
        <v>909</v>
      </c>
      <c r="B179" s="2" t="s">
        <v>910</v>
      </c>
      <c r="C179" s="2" t="str">
        <f>sheet1[[#This Row],[Nombre]]&amp;sheet1[[#This Row],[Bp Id]]</f>
        <v>HotjarEDC0005</v>
      </c>
      <c r="D179" s="2" t="str">
        <f>VLOOKUP(sheet1[[#This Row],[Columna1]],sheet13[[Columna1]:[Estado]],4,FALSE)</f>
        <v>Retirado</v>
      </c>
      <c r="E179" s="2" t="s">
        <v>911</v>
      </c>
      <c r="F179" s="2" t="s">
        <v>47</v>
      </c>
      <c r="G179" s="2" t="s">
        <v>48</v>
      </c>
      <c r="H179" s="2" t="s">
        <v>59</v>
      </c>
      <c r="I179" s="2" t="s">
        <v>294</v>
      </c>
      <c r="J179" s="2" t="s">
        <v>880</v>
      </c>
      <c r="K179" s="2" t="s">
        <v>880</v>
      </c>
      <c r="L179" s="2" t="s">
        <v>880</v>
      </c>
      <c r="M179" s="2" t="s">
        <v>63</v>
      </c>
      <c r="N179" s="2" t="s">
        <v>40</v>
      </c>
      <c r="O179" s="2" t="s">
        <v>41</v>
      </c>
      <c r="P179" s="2" t="s">
        <v>53</v>
      </c>
      <c r="Q179" s="2" t="s">
        <v>53</v>
      </c>
      <c r="R179" s="2" t="s">
        <v>43</v>
      </c>
      <c r="S179" s="2" t="s">
        <v>43</v>
      </c>
      <c r="T179" s="2"/>
      <c r="U179" s="3"/>
      <c r="V179" s="2"/>
      <c r="W179" s="2"/>
      <c r="X179" s="2"/>
      <c r="Y179" s="2"/>
      <c r="Z179" s="2"/>
      <c r="AA179" s="2"/>
      <c r="AB179" s="2"/>
      <c r="AC179" s="2"/>
    </row>
    <row r="180" spans="1:29" ht="14.45" customHeight="1">
      <c r="A180" s="2" t="s">
        <v>912</v>
      </c>
      <c r="B180" s="2" t="s">
        <v>913</v>
      </c>
      <c r="C180" s="2" t="str">
        <f>sheet1[[#This Row],[Nombre]]&amp;sheet1[[#This Row],[Bp Id]]</f>
        <v>IAM- Gestion de Gobierno de identidadesSEC0079</v>
      </c>
      <c r="D180" s="2" t="str">
        <f>VLOOKUP(sheet1[[#This Row],[Columna1]],sheet13[[Columna1]:[Estado]],4,FALSE)</f>
        <v>Operativo</v>
      </c>
      <c r="E180" s="2" t="s">
        <v>914</v>
      </c>
      <c r="F180" s="2" t="s">
        <v>32</v>
      </c>
      <c r="G180" s="2" t="s">
        <v>48</v>
      </c>
      <c r="H180" s="2" t="s">
        <v>59</v>
      </c>
      <c r="I180" s="2" t="s">
        <v>107</v>
      </c>
      <c r="J180" s="2" t="s">
        <v>915</v>
      </c>
      <c r="K180" s="2" t="s">
        <v>916</v>
      </c>
      <c r="L180" s="2" t="s">
        <v>915</v>
      </c>
      <c r="M180" s="2" t="s">
        <v>111</v>
      </c>
      <c r="N180" s="2" t="s">
        <v>40</v>
      </c>
      <c r="O180" s="2" t="s">
        <v>41</v>
      </c>
      <c r="P180" s="2" t="s">
        <v>64</v>
      </c>
      <c r="Q180" s="2" t="s">
        <v>53</v>
      </c>
      <c r="R180" s="2" t="s">
        <v>41</v>
      </c>
      <c r="S180" s="2" t="s">
        <v>41</v>
      </c>
      <c r="T180" s="2"/>
      <c r="U180" s="3">
        <v>46077</v>
      </c>
      <c r="V180" s="2"/>
      <c r="W180" s="2" t="s">
        <v>101</v>
      </c>
      <c r="X180" s="2" t="s">
        <v>100</v>
      </c>
      <c r="Y180" s="2" t="s">
        <v>127</v>
      </c>
      <c r="Z180" s="2" t="s">
        <v>127</v>
      </c>
      <c r="AA180" s="2" t="s">
        <v>180</v>
      </c>
      <c r="AB180" s="2" t="s">
        <v>129</v>
      </c>
      <c r="AC180" s="2" t="s">
        <v>917</v>
      </c>
    </row>
    <row r="181" spans="1:29" ht="20.100000000000001" customHeight="1">
      <c r="A181" s="2" t="s">
        <v>918</v>
      </c>
      <c r="B181" s="2" t="s">
        <v>919</v>
      </c>
      <c r="C181" s="2" t="str">
        <f>sheet1[[#This Row],[Nombre]]&amp;sheet1[[#This Row],[Bp Id]]</f>
        <v>IBM Business Process Manager (BPM) 6.0TIE0005</v>
      </c>
      <c r="D181" s="2" t="str">
        <f>VLOOKUP(sheet1[[#This Row],[Columna1]],sheet13[[Columna1]:[Estado]],4,FALSE)</f>
        <v>Retirado</v>
      </c>
      <c r="E181" s="2" t="s">
        <v>920</v>
      </c>
      <c r="F181" s="2" t="s">
        <v>47</v>
      </c>
      <c r="G181" s="2" t="s">
        <v>48</v>
      </c>
      <c r="H181" s="2" t="s">
        <v>34</v>
      </c>
      <c r="I181" s="2" t="s">
        <v>921</v>
      </c>
      <c r="J181" s="2" t="s">
        <v>50</v>
      </c>
      <c r="K181" s="2" t="s">
        <v>340</v>
      </c>
      <c r="L181" s="2" t="s">
        <v>341</v>
      </c>
      <c r="M181" s="2" t="s">
        <v>39</v>
      </c>
      <c r="N181" s="2" t="s">
        <v>40</v>
      </c>
      <c r="O181" s="2" t="s">
        <v>41</v>
      </c>
      <c r="P181" s="2" t="s">
        <v>922</v>
      </c>
      <c r="Q181" s="2" t="s">
        <v>923</v>
      </c>
      <c r="R181" s="2" t="s">
        <v>41</v>
      </c>
      <c r="S181" s="2" t="s">
        <v>43</v>
      </c>
      <c r="T181" s="2" t="s">
        <v>193</v>
      </c>
      <c r="U181" s="3"/>
      <c r="V181" s="2"/>
      <c r="W181" s="2"/>
      <c r="X181" s="2"/>
      <c r="Y181" s="2"/>
      <c r="Z181" s="2"/>
      <c r="AA181" s="2"/>
      <c r="AB181" s="2"/>
      <c r="AC181" s="2"/>
    </row>
    <row r="182" spans="1:29" ht="29.1" customHeight="1">
      <c r="A182" s="2" t="s">
        <v>924</v>
      </c>
      <c r="B182" s="2" t="s">
        <v>925</v>
      </c>
      <c r="C182" s="2" t="str">
        <f>sheet1[[#This Row],[Nombre]]&amp;sheet1[[#This Row],[Bp Id]]</f>
        <v>IBM Business Process ManagerTIE0006</v>
      </c>
      <c r="D182" s="2" t="str">
        <f>VLOOKUP(sheet1[[#This Row],[Columna1]],sheet13[[Columna1]:[Estado]],4,FALSE)</f>
        <v>Operativo</v>
      </c>
      <c r="E182" s="2" t="s">
        <v>926</v>
      </c>
      <c r="F182" s="2" t="s">
        <v>32</v>
      </c>
      <c r="G182" s="2" t="s">
        <v>48</v>
      </c>
      <c r="H182" s="2" t="s">
        <v>34</v>
      </c>
      <c r="I182" s="2" t="s">
        <v>921</v>
      </c>
      <c r="J182" s="2" t="s">
        <v>50</v>
      </c>
      <c r="K182" s="2" t="s">
        <v>340</v>
      </c>
      <c r="L182" s="2" t="s">
        <v>341</v>
      </c>
      <c r="M182" s="2" t="s">
        <v>39</v>
      </c>
      <c r="N182" s="2" t="s">
        <v>40</v>
      </c>
      <c r="O182" s="2" t="s">
        <v>41</v>
      </c>
      <c r="P182" s="2" t="s">
        <v>42</v>
      </c>
      <c r="Q182" s="2" t="s">
        <v>53</v>
      </c>
      <c r="R182" s="2" t="s">
        <v>41</v>
      </c>
      <c r="S182" s="2" t="s">
        <v>41</v>
      </c>
      <c r="T182" s="2"/>
      <c r="U182" s="3">
        <v>45199</v>
      </c>
      <c r="V182" s="2"/>
      <c r="W182" s="2" t="s">
        <v>101</v>
      </c>
      <c r="X182" s="2" t="s">
        <v>100</v>
      </c>
      <c r="Y182" s="2"/>
      <c r="Z182" s="2"/>
      <c r="AA182" s="2"/>
      <c r="AB182" s="2"/>
      <c r="AC182" s="2"/>
    </row>
    <row r="183" spans="1:29" ht="20.100000000000001" customHeight="1">
      <c r="A183" s="2" t="s">
        <v>927</v>
      </c>
      <c r="B183" s="2" t="s">
        <v>928</v>
      </c>
      <c r="C183" s="2" t="str">
        <f>sheet1[[#This Row],[Nombre]]&amp;sheet1[[#This Row],[Bp Id]]</f>
        <v>IBM Business Process Manager (Process Server) 6.0TIE0016</v>
      </c>
      <c r="D183" s="2" t="str">
        <f>VLOOKUP(sheet1[[#This Row],[Columna1]],sheet13[[Columna1]:[Estado]],4,FALSE)</f>
        <v>Retirado</v>
      </c>
      <c r="E183" s="2" t="s">
        <v>920</v>
      </c>
      <c r="F183" s="2" t="s">
        <v>47</v>
      </c>
      <c r="G183" s="2" t="s">
        <v>48</v>
      </c>
      <c r="H183" s="2" t="s">
        <v>34</v>
      </c>
      <c r="I183" s="2" t="s">
        <v>921</v>
      </c>
      <c r="J183" s="2" t="s">
        <v>50</v>
      </c>
      <c r="K183" s="2" t="s">
        <v>340</v>
      </c>
      <c r="L183" s="2" t="s">
        <v>340</v>
      </c>
      <c r="M183" s="2" t="s">
        <v>63</v>
      </c>
      <c r="N183" s="2" t="s">
        <v>40</v>
      </c>
      <c r="O183" s="2" t="s">
        <v>41</v>
      </c>
      <c r="P183" s="2" t="s">
        <v>922</v>
      </c>
      <c r="Q183" s="2" t="s">
        <v>923</v>
      </c>
      <c r="R183" s="2" t="s">
        <v>41</v>
      </c>
      <c r="S183" s="2" t="s">
        <v>43</v>
      </c>
      <c r="T183" s="2" t="s">
        <v>193</v>
      </c>
      <c r="U183" s="3"/>
      <c r="V183" s="2"/>
      <c r="W183" s="2"/>
      <c r="X183" s="2"/>
      <c r="Y183" s="2"/>
      <c r="Z183" s="2"/>
      <c r="AA183" s="2"/>
      <c r="AB183" s="2"/>
      <c r="AC183" s="2"/>
    </row>
    <row r="184" spans="1:29" ht="20.100000000000001" customHeight="1">
      <c r="A184" s="2" t="s">
        <v>929</v>
      </c>
      <c r="B184" s="2" t="s">
        <v>930</v>
      </c>
      <c r="C184" s="2" t="str">
        <f>sheet1[[#This Row],[Nombre]]&amp;sheet1[[#This Row],[Bp Id]]</f>
        <v>IBM Deployment Manager (Dmgr)ITM0030</v>
      </c>
      <c r="D184" s="2" t="str">
        <f>VLOOKUP(sheet1[[#This Row],[Columna1]],sheet13[[Columna1]:[Estado]],4,FALSE)</f>
        <v>Retirado</v>
      </c>
      <c r="E184" s="2" t="s">
        <v>931</v>
      </c>
      <c r="F184" s="2" t="s">
        <v>47</v>
      </c>
      <c r="G184" s="2" t="s">
        <v>48</v>
      </c>
      <c r="H184" s="2" t="s">
        <v>34</v>
      </c>
      <c r="I184" s="2" t="s">
        <v>68</v>
      </c>
      <c r="J184" s="2" t="s">
        <v>236</v>
      </c>
      <c r="K184" s="2"/>
      <c r="L184" s="2" t="s">
        <v>51</v>
      </c>
      <c r="M184" s="2" t="s">
        <v>52</v>
      </c>
      <c r="N184" s="2" t="s">
        <v>40</v>
      </c>
      <c r="O184" s="2" t="s">
        <v>41</v>
      </c>
      <c r="P184" s="2" t="s">
        <v>53</v>
      </c>
      <c r="Q184" s="2" t="s">
        <v>53</v>
      </c>
      <c r="R184" s="2" t="s">
        <v>43</v>
      </c>
      <c r="S184" s="2" t="s">
        <v>43</v>
      </c>
      <c r="T184" s="2"/>
      <c r="U184" s="3"/>
      <c r="V184" s="2"/>
      <c r="W184" s="2"/>
      <c r="X184" s="2"/>
      <c r="Y184" s="2"/>
      <c r="Z184" s="2"/>
      <c r="AA184" s="2"/>
      <c r="AB184" s="2"/>
      <c r="AC184" s="2"/>
    </row>
    <row r="185" spans="1:29" ht="20.100000000000001" customHeight="1">
      <c r="A185" s="2" t="s">
        <v>932</v>
      </c>
      <c r="B185" s="2" t="s">
        <v>933</v>
      </c>
      <c r="C185" s="2" t="str">
        <f>sheet1[[#This Row],[Nombre]]&amp;sheet1[[#This Row],[Bp Id]]</f>
        <v>IBM Deployment Manager (Dmgr_BPM)ITM0031</v>
      </c>
      <c r="D185" s="2" t="str">
        <f>VLOOKUP(sheet1[[#This Row],[Columna1]],sheet13[[Columna1]:[Estado]],4,FALSE)</f>
        <v>Retirado</v>
      </c>
      <c r="E185" s="2" t="s">
        <v>934</v>
      </c>
      <c r="F185" s="2" t="s">
        <v>47</v>
      </c>
      <c r="G185" s="2" t="s">
        <v>76</v>
      </c>
      <c r="H185" s="2" t="s">
        <v>34</v>
      </c>
      <c r="I185" s="2" t="s">
        <v>921</v>
      </c>
      <c r="J185" s="2" t="s">
        <v>50</v>
      </c>
      <c r="K185" s="2" t="s">
        <v>340</v>
      </c>
      <c r="L185" s="2" t="s">
        <v>341</v>
      </c>
      <c r="M185" s="2" t="s">
        <v>52</v>
      </c>
      <c r="N185" s="2" t="s">
        <v>40</v>
      </c>
      <c r="O185" s="2" t="s">
        <v>41</v>
      </c>
      <c r="P185" s="2" t="s">
        <v>53</v>
      </c>
      <c r="Q185" s="2" t="s">
        <v>53</v>
      </c>
      <c r="R185" s="2" t="s">
        <v>41</v>
      </c>
      <c r="S185" s="2" t="s">
        <v>43</v>
      </c>
      <c r="T185" s="2"/>
      <c r="U185" s="3"/>
      <c r="V185" s="2"/>
      <c r="W185" s="2"/>
      <c r="X185" s="2"/>
      <c r="Y185" s="2"/>
      <c r="Z185" s="2"/>
      <c r="AA185" s="2"/>
      <c r="AB185" s="2"/>
      <c r="AC185" s="2"/>
    </row>
    <row r="186" spans="1:29" ht="20.100000000000001" customHeight="1">
      <c r="A186" s="2" t="s">
        <v>935</v>
      </c>
      <c r="B186" s="2" t="s">
        <v>936</v>
      </c>
      <c r="C186" s="2" t="str">
        <f>sheet1[[#This Row],[Nombre]]&amp;sheet1[[#This Row],[Bp Id]]</f>
        <v>IBM FileNetTIE0008</v>
      </c>
      <c r="D186" s="2" t="str">
        <f>VLOOKUP(sheet1[[#This Row],[Columna1]],sheet13[[Columna1]:[Estado]],4,FALSE)</f>
        <v>Operativo</v>
      </c>
      <c r="E186" s="2" t="s">
        <v>937</v>
      </c>
      <c r="F186" s="2" t="s">
        <v>32</v>
      </c>
      <c r="G186" s="2" t="s">
        <v>123</v>
      </c>
      <c r="H186" s="2" t="s">
        <v>34</v>
      </c>
      <c r="I186" s="2" t="s">
        <v>487</v>
      </c>
      <c r="J186" s="2" t="s">
        <v>488</v>
      </c>
      <c r="K186" s="2" t="s">
        <v>489</v>
      </c>
      <c r="L186" s="2" t="s">
        <v>490</v>
      </c>
      <c r="M186" s="2" t="s">
        <v>39</v>
      </c>
      <c r="N186" s="2" t="s">
        <v>40</v>
      </c>
      <c r="O186" s="2" t="s">
        <v>43</v>
      </c>
      <c r="P186" s="2" t="s">
        <v>42</v>
      </c>
      <c r="Q186" s="2" t="s">
        <v>42</v>
      </c>
      <c r="R186" s="2" t="s">
        <v>41</v>
      </c>
      <c r="S186" s="2" t="s">
        <v>41</v>
      </c>
      <c r="T186" s="2"/>
      <c r="U186" s="3">
        <v>45200</v>
      </c>
      <c r="V186" s="2"/>
      <c r="W186" s="2" t="s">
        <v>125</v>
      </c>
      <c r="X186" s="2" t="s">
        <v>262</v>
      </c>
      <c r="Y186" s="2" t="s">
        <v>147</v>
      </c>
      <c r="Z186" s="2" t="s">
        <v>311</v>
      </c>
      <c r="AA186" s="2" t="s">
        <v>263</v>
      </c>
      <c r="AB186" s="2" t="s">
        <v>129</v>
      </c>
      <c r="AC186" s="2"/>
    </row>
    <row r="187" spans="1:29" ht="14.45" customHeight="1">
      <c r="A187" s="2" t="s">
        <v>938</v>
      </c>
      <c r="B187" s="2" t="s">
        <v>939</v>
      </c>
      <c r="C187" s="2" t="str">
        <f>sheet1[[#This Row],[Nombre]]&amp;sheet1[[#This Row],[Bp Id]]</f>
        <v>IBM Operational Decision Manager (ODM)OMN0003</v>
      </c>
      <c r="D187" s="2" t="str">
        <f>VLOOKUP(sheet1[[#This Row],[Columna1]],sheet13[[Columna1]:[Estado]],4,FALSE)</f>
        <v>Operativo</v>
      </c>
      <c r="E187" s="2" t="s">
        <v>940</v>
      </c>
      <c r="F187" s="2" t="s">
        <v>32</v>
      </c>
      <c r="G187" s="2" t="s">
        <v>123</v>
      </c>
      <c r="H187" s="2" t="s">
        <v>34</v>
      </c>
      <c r="I187" s="2" t="s">
        <v>49</v>
      </c>
      <c r="J187" s="2" t="s">
        <v>51</v>
      </c>
      <c r="K187" s="2" t="s">
        <v>51</v>
      </c>
      <c r="L187" s="2" t="s">
        <v>941</v>
      </c>
      <c r="M187" s="2" t="s">
        <v>52</v>
      </c>
      <c r="N187" s="2" t="s">
        <v>40</v>
      </c>
      <c r="O187" s="2" t="s">
        <v>41</v>
      </c>
      <c r="P187" s="2" t="s">
        <v>42</v>
      </c>
      <c r="Q187" s="2" t="s">
        <v>53</v>
      </c>
      <c r="R187" s="2" t="s">
        <v>41</v>
      </c>
      <c r="S187" s="2" t="s">
        <v>41</v>
      </c>
      <c r="T187" s="2"/>
      <c r="U187" s="3">
        <v>46197</v>
      </c>
      <c r="V187" s="2" t="s">
        <v>124</v>
      </c>
      <c r="W187" s="2" t="s">
        <v>101</v>
      </c>
      <c r="X187" s="2" t="s">
        <v>100</v>
      </c>
      <c r="Y187" s="2" t="s">
        <v>127</v>
      </c>
      <c r="Z187" s="2" t="s">
        <v>363</v>
      </c>
      <c r="AA187" s="2" t="s">
        <v>942</v>
      </c>
      <c r="AB187" s="2" t="s">
        <v>129</v>
      </c>
      <c r="AC187" s="2" t="s">
        <v>943</v>
      </c>
    </row>
    <row r="188" spans="1:29" ht="20.100000000000001" customHeight="1">
      <c r="A188" s="2" t="s">
        <v>944</v>
      </c>
      <c r="B188" s="2" t="s">
        <v>945</v>
      </c>
      <c r="C188" s="2" t="str">
        <f>sheet1[[#This Row],[Nombre]]&amp;sheet1[[#This Row],[Bp Id]]</f>
        <v>IBM Spectrum ControlITM0034</v>
      </c>
      <c r="D188" s="2" t="str">
        <f>VLOOKUP(sheet1[[#This Row],[Columna1]],sheet13[[Columna1]:[Estado]],4,FALSE)</f>
        <v>Operativo</v>
      </c>
      <c r="E188" s="2" t="s">
        <v>946</v>
      </c>
      <c r="F188" s="2" t="s">
        <v>32</v>
      </c>
      <c r="G188" s="2" t="s">
        <v>48</v>
      </c>
      <c r="H188" s="2" t="s">
        <v>34</v>
      </c>
      <c r="I188" s="2" t="s">
        <v>68</v>
      </c>
      <c r="J188" s="2" t="s">
        <v>69</v>
      </c>
      <c r="K188" s="2" t="s">
        <v>70</v>
      </c>
      <c r="L188" s="2" t="s">
        <v>586</v>
      </c>
      <c r="M188" s="2" t="s">
        <v>52</v>
      </c>
      <c r="N188" s="2" t="s">
        <v>40</v>
      </c>
      <c r="O188" s="2" t="s">
        <v>41</v>
      </c>
      <c r="P188" s="2" t="s">
        <v>53</v>
      </c>
      <c r="Q188" s="2" t="s">
        <v>53</v>
      </c>
      <c r="R188" s="2" t="s">
        <v>43</v>
      </c>
      <c r="S188" s="2" t="s">
        <v>43</v>
      </c>
      <c r="T188" s="2"/>
      <c r="U188" s="3"/>
      <c r="V188" s="2"/>
      <c r="W188" s="2"/>
      <c r="X188" s="2"/>
      <c r="Y188" s="2"/>
      <c r="Z188" s="2"/>
      <c r="AA188" s="2"/>
      <c r="AB188" s="2"/>
      <c r="AC188" s="2"/>
    </row>
    <row r="189" spans="1:29" ht="290.10000000000002" customHeight="1">
      <c r="A189" s="2" t="s">
        <v>947</v>
      </c>
      <c r="B189" s="2" t="s">
        <v>948</v>
      </c>
      <c r="C189" s="2" t="str">
        <f>sheet1[[#This Row],[Nombre]]&amp;sheet1[[#This Row],[Bp Id]]</f>
        <v>Sonar OptimizerITM0118</v>
      </c>
      <c r="D189" s="2" t="str">
        <f>VLOOKUP(sheet1[[#This Row],[Columna1]],sheet13[[Columna1]:[Estado]],4,FALSE)</f>
        <v>Operativo</v>
      </c>
      <c r="E189" s="2" t="s">
        <v>949</v>
      </c>
      <c r="F189" s="2" t="s">
        <v>32</v>
      </c>
      <c r="G189" s="2" t="s">
        <v>48</v>
      </c>
      <c r="H189" s="2" t="s">
        <v>59</v>
      </c>
      <c r="I189" s="2" t="s">
        <v>198</v>
      </c>
      <c r="J189" s="2" t="s">
        <v>240</v>
      </c>
      <c r="K189" s="2" t="s">
        <v>950</v>
      </c>
      <c r="L189" s="2" t="s">
        <v>90</v>
      </c>
      <c r="M189" s="2" t="s">
        <v>63</v>
      </c>
      <c r="N189" s="2"/>
      <c r="O189" s="2" t="s">
        <v>43</v>
      </c>
      <c r="P189" s="2"/>
      <c r="Q189" s="2"/>
      <c r="R189" s="2" t="s">
        <v>43</v>
      </c>
      <c r="S189" s="2" t="s">
        <v>43</v>
      </c>
      <c r="T189" s="2" t="s">
        <v>951</v>
      </c>
      <c r="U189" s="3">
        <v>45982</v>
      </c>
      <c r="V189" s="2" t="s">
        <v>952</v>
      </c>
      <c r="W189" s="2"/>
      <c r="X189" s="2"/>
      <c r="Y189" s="2"/>
      <c r="Z189" s="2"/>
      <c r="AA189" s="2"/>
      <c r="AB189" s="2"/>
      <c r="AC189" s="2"/>
    </row>
    <row r="190" spans="1:29" ht="29.1" customHeight="1">
      <c r="A190" s="2" t="s">
        <v>953</v>
      </c>
      <c r="B190" s="2" t="s">
        <v>954</v>
      </c>
      <c r="C190" s="2" t="str">
        <f>sheet1[[#This Row],[Nombre]]&amp;sheet1[[#This Row],[Bp Id]]</f>
        <v>ZendeskCUS0020</v>
      </c>
      <c r="D190" s="2" t="str">
        <f>VLOOKUP(sheet1[[#This Row],[Columna1]],sheet13[[Columna1]:[Estado]],4,FALSE)</f>
        <v>Operativo</v>
      </c>
      <c r="E190" s="2"/>
      <c r="F190" s="2" t="s">
        <v>32</v>
      </c>
      <c r="G190" s="2" t="s">
        <v>76</v>
      </c>
      <c r="H190" s="2" t="s">
        <v>59</v>
      </c>
      <c r="I190" s="2" t="s">
        <v>87</v>
      </c>
      <c r="J190" s="2" t="s">
        <v>88</v>
      </c>
      <c r="K190" s="2" t="s">
        <v>360</v>
      </c>
      <c r="L190" s="2" t="s">
        <v>361</v>
      </c>
      <c r="M190" s="2" t="s">
        <v>39</v>
      </c>
      <c r="N190" s="2" t="s">
        <v>40</v>
      </c>
      <c r="O190" s="2" t="s">
        <v>41</v>
      </c>
      <c r="P190" s="2" t="s">
        <v>42</v>
      </c>
      <c r="Q190" s="2" t="s">
        <v>53</v>
      </c>
      <c r="R190" s="2" t="s">
        <v>41</v>
      </c>
      <c r="S190" s="2" t="s">
        <v>41</v>
      </c>
      <c r="T190" s="2"/>
      <c r="U190" s="3">
        <v>45404</v>
      </c>
      <c r="V190" s="2"/>
      <c r="W190" s="2" t="s">
        <v>179</v>
      </c>
      <c r="X190" s="2" t="s">
        <v>100</v>
      </c>
      <c r="Y190" s="2" t="s">
        <v>147</v>
      </c>
      <c r="Z190" s="2" t="s">
        <v>147</v>
      </c>
      <c r="AA190" s="2" t="s">
        <v>180</v>
      </c>
      <c r="AB190" s="2" t="s">
        <v>129</v>
      </c>
      <c r="AC190" s="2" t="s">
        <v>955</v>
      </c>
    </row>
    <row r="191" spans="1:29" ht="14.45" customHeight="1">
      <c r="A191" s="2" t="s">
        <v>956</v>
      </c>
      <c r="B191" s="2" t="s">
        <v>957</v>
      </c>
      <c r="C191" s="2" t="str">
        <f>sheet1[[#This Row],[Nombre]]&amp;sheet1[[#This Row],[Bp Id]]</f>
        <v>Seguridad Perimetral Firewall OnpremiseSEC0081</v>
      </c>
      <c r="D191" s="2" t="str">
        <f>VLOOKUP(sheet1[[#This Row],[Columna1]],sheet13[[Columna1]:[Estado]],4,FALSE)</f>
        <v>Operativo</v>
      </c>
      <c r="E191" s="2"/>
      <c r="F191" s="2" t="s">
        <v>32</v>
      </c>
      <c r="G191" s="2" t="s">
        <v>123</v>
      </c>
      <c r="H191" s="2" t="s">
        <v>34</v>
      </c>
      <c r="I191" s="2" t="s">
        <v>107</v>
      </c>
      <c r="J191" s="2" t="s">
        <v>219</v>
      </c>
      <c r="K191" s="2" t="s">
        <v>176</v>
      </c>
      <c r="L191" s="2" t="s">
        <v>177</v>
      </c>
      <c r="M191" s="2" t="s">
        <v>111</v>
      </c>
      <c r="N191" s="2" t="s">
        <v>40</v>
      </c>
      <c r="O191" s="2" t="s">
        <v>41</v>
      </c>
      <c r="P191" s="2" t="s">
        <v>42</v>
      </c>
      <c r="Q191" s="2" t="s">
        <v>53</v>
      </c>
      <c r="R191" s="2" t="s">
        <v>41</v>
      </c>
      <c r="S191" s="2" t="s">
        <v>41</v>
      </c>
      <c r="T191" s="2" t="s">
        <v>958</v>
      </c>
      <c r="U191" s="3">
        <v>45786</v>
      </c>
      <c r="V191" s="2"/>
      <c r="W191" s="2" t="s">
        <v>375</v>
      </c>
      <c r="X191" s="2" t="s">
        <v>959</v>
      </c>
      <c r="Y191" s="2" t="s">
        <v>127</v>
      </c>
      <c r="Z191" s="2" t="s">
        <v>127</v>
      </c>
      <c r="AA191" s="2" t="s">
        <v>148</v>
      </c>
      <c r="AB191" s="2" t="s">
        <v>129</v>
      </c>
      <c r="AC191" s="2"/>
    </row>
    <row r="192" spans="1:29" ht="14.45" customHeight="1">
      <c r="A192" s="2" t="s">
        <v>960</v>
      </c>
      <c r="B192" s="2" t="s">
        <v>961</v>
      </c>
      <c r="C192" s="2" t="str">
        <f>sheet1[[#This Row],[Nombre]]&amp;sheet1[[#This Row],[Bp Id]]</f>
        <v>WorkvivoSUP0066</v>
      </c>
      <c r="D192" s="2" t="str">
        <f>VLOOKUP(sheet1[[#This Row],[Columna1]],sheet13[[Columna1]:[Estado]],4,FALSE)</f>
        <v>Operativo</v>
      </c>
      <c r="E192" s="2" t="s">
        <v>962</v>
      </c>
      <c r="F192" s="2" t="s">
        <v>32</v>
      </c>
      <c r="G192" s="2" t="s">
        <v>48</v>
      </c>
      <c r="H192" s="2" t="s">
        <v>59</v>
      </c>
      <c r="I192" s="2" t="s">
        <v>225</v>
      </c>
      <c r="J192" s="2" t="s">
        <v>226</v>
      </c>
      <c r="K192" s="2" t="s">
        <v>300</v>
      </c>
      <c r="L192" s="2" t="s">
        <v>304</v>
      </c>
      <c r="M192" s="2" t="s">
        <v>63</v>
      </c>
      <c r="N192" s="2" t="s">
        <v>40</v>
      </c>
      <c r="O192" s="2" t="s">
        <v>43</v>
      </c>
      <c r="P192" s="2" t="s">
        <v>64</v>
      </c>
      <c r="Q192" s="2"/>
      <c r="R192" s="2" t="s">
        <v>43</v>
      </c>
      <c r="S192" s="2" t="s">
        <v>43</v>
      </c>
      <c r="T192" s="2" t="s">
        <v>963</v>
      </c>
      <c r="U192" s="3">
        <v>45992</v>
      </c>
      <c r="V192" s="2" t="s">
        <v>964</v>
      </c>
      <c r="W192" s="2"/>
      <c r="X192" s="2"/>
      <c r="Y192" s="2"/>
      <c r="Z192" s="2"/>
      <c r="AA192" s="2"/>
      <c r="AB192" s="2"/>
      <c r="AC192" s="2"/>
    </row>
    <row r="193" spans="1:29" ht="20.100000000000001" customHeight="1">
      <c r="A193" s="2" t="s">
        <v>965</v>
      </c>
      <c r="B193" s="2" t="s">
        <v>966</v>
      </c>
      <c r="C193" s="2" t="str">
        <f>sheet1[[#This Row],[Nombre]]&amp;sheet1[[#This Row],[Bp Id]]</f>
        <v>MOTOR DECISIONALRIS0021</v>
      </c>
      <c r="D193" s="2" t="str">
        <f>VLOOKUP(sheet1[[#This Row],[Columna1]],sheet13[[Columna1]:[Estado]],4,FALSE)</f>
        <v>Operativo</v>
      </c>
      <c r="E193" s="2"/>
      <c r="F193" s="2" t="s">
        <v>32</v>
      </c>
      <c r="G193" s="2" t="s">
        <v>48</v>
      </c>
      <c r="H193" s="2" t="s">
        <v>59</v>
      </c>
      <c r="I193" s="2" t="s">
        <v>320</v>
      </c>
      <c r="J193" s="2" t="s">
        <v>321</v>
      </c>
      <c r="K193" s="2" t="s">
        <v>967</v>
      </c>
      <c r="L193" s="2" t="s">
        <v>595</v>
      </c>
      <c r="M193" s="2"/>
      <c r="N193" s="2"/>
      <c r="O193" s="2"/>
      <c r="P193" s="2"/>
      <c r="Q193" s="2"/>
      <c r="R193" s="2"/>
      <c r="S193" s="2"/>
      <c r="T193" s="2"/>
      <c r="U193" s="3"/>
      <c r="V193" s="2"/>
      <c r="W193" s="2"/>
      <c r="X193" s="2"/>
      <c r="Y193" s="2"/>
      <c r="Z193" s="2"/>
      <c r="AA193" s="2"/>
      <c r="AB193" s="2"/>
      <c r="AC193" s="2"/>
    </row>
    <row r="194" spans="1:29" ht="20.100000000000001" customHeight="1">
      <c r="A194" s="2" t="s">
        <v>968</v>
      </c>
      <c r="B194" s="2" t="s">
        <v>969</v>
      </c>
      <c r="C194" s="2" t="str">
        <f>sheet1[[#This Row],[Nombre]]&amp;sheet1[[#This Row],[Bp Id]]</f>
        <v>Swift Alliance Fullstack (ALLIANCE WEBPLATAFORM)GI0003</v>
      </c>
      <c r="D194" s="2" t="str">
        <f>VLOOKUP(sheet1[[#This Row],[Columna1]],sheet13[[Columna1]:[Estado]],4,FALSE)</f>
        <v>Operativo</v>
      </c>
      <c r="E194" s="2" t="s">
        <v>968</v>
      </c>
      <c r="F194" s="2" t="s">
        <v>32</v>
      </c>
      <c r="G194" s="2" t="s">
        <v>33</v>
      </c>
      <c r="H194" s="2" t="s">
        <v>34</v>
      </c>
      <c r="I194" s="2"/>
      <c r="J194" s="2"/>
      <c r="K194" s="2"/>
      <c r="L194" s="2"/>
      <c r="M194" s="2" t="s">
        <v>39</v>
      </c>
      <c r="N194" s="2" t="s">
        <v>40</v>
      </c>
      <c r="O194" s="2" t="s">
        <v>41</v>
      </c>
      <c r="P194" s="2" t="s">
        <v>53</v>
      </c>
      <c r="Q194" s="2" t="s">
        <v>53</v>
      </c>
      <c r="R194" s="2" t="s">
        <v>41</v>
      </c>
      <c r="S194" s="2" t="s">
        <v>41</v>
      </c>
      <c r="T194" s="2"/>
      <c r="U194" s="3">
        <v>45200</v>
      </c>
      <c r="V194" s="2" t="s">
        <v>970</v>
      </c>
      <c r="W194" s="2" t="s">
        <v>851</v>
      </c>
      <c r="X194" s="2" t="s">
        <v>126</v>
      </c>
      <c r="Y194" s="2" t="s">
        <v>147</v>
      </c>
      <c r="Z194" s="2" t="s">
        <v>147</v>
      </c>
      <c r="AA194" s="2" t="s">
        <v>180</v>
      </c>
      <c r="AB194" s="2" t="s">
        <v>129</v>
      </c>
      <c r="AC194" s="2"/>
    </row>
    <row r="195" spans="1:29" ht="14.45" customHeight="1">
      <c r="A195" s="2" t="s">
        <v>971</v>
      </c>
      <c r="B195" s="2" t="s">
        <v>972</v>
      </c>
      <c r="C195" s="2" t="str">
        <f>sheet1[[#This Row],[Nombre]]&amp;sheet1[[#This Row],[Bp Id]]</f>
        <v>Reporting Services Negocio AutomotrizGI00001</v>
      </c>
      <c r="D195" s="2" t="str">
        <f>VLOOKUP(sheet1[[#This Row],[Columna1]],sheet13[[Columna1]:[Estado]],4,FALSE)</f>
        <v>Operativo</v>
      </c>
      <c r="E195" s="2" t="s">
        <v>973</v>
      </c>
      <c r="F195" s="2" t="s">
        <v>32</v>
      </c>
      <c r="G195" s="2" t="s">
        <v>48</v>
      </c>
      <c r="H195" s="2" t="s">
        <v>59</v>
      </c>
      <c r="I195" s="2"/>
      <c r="J195" s="2"/>
      <c r="K195" s="2"/>
      <c r="L195" s="2"/>
      <c r="M195" s="2"/>
      <c r="N195" s="2"/>
      <c r="O195" s="2" t="s">
        <v>41</v>
      </c>
      <c r="P195" s="2" t="s">
        <v>53</v>
      </c>
      <c r="Q195" s="2" t="s">
        <v>53</v>
      </c>
      <c r="R195" s="2" t="s">
        <v>41</v>
      </c>
      <c r="S195" s="2" t="s">
        <v>41</v>
      </c>
      <c r="T195" s="2"/>
      <c r="U195" s="3">
        <v>45854</v>
      </c>
      <c r="V195" s="2" t="s">
        <v>974</v>
      </c>
      <c r="W195" s="2" t="s">
        <v>253</v>
      </c>
      <c r="X195" s="2" t="s">
        <v>959</v>
      </c>
      <c r="Y195" s="2" t="s">
        <v>127</v>
      </c>
      <c r="Z195" s="2" t="s">
        <v>127</v>
      </c>
      <c r="AA195" s="2" t="s">
        <v>180</v>
      </c>
      <c r="AB195" s="2" t="s">
        <v>129</v>
      </c>
      <c r="AC195" s="2" t="s">
        <v>975</v>
      </c>
    </row>
    <row r="196" spans="1:29" ht="20.100000000000001" customHeight="1">
      <c r="A196" s="2" t="s">
        <v>976</v>
      </c>
      <c r="B196" s="2" t="s">
        <v>977</v>
      </c>
      <c r="C196" s="2" t="str">
        <f>sheet1[[#This Row],[Nombre]]&amp;sheet1[[#This Row],[Bp Id]]</f>
        <v>Swift Alliance Fullstack (ALLIANCE GATEWAY)GI0002</v>
      </c>
      <c r="D196" s="2" t="str">
        <f>VLOOKUP(sheet1[[#This Row],[Columna1]],sheet13[[Columna1]:[Estado]],4,FALSE)</f>
        <v>Operativo</v>
      </c>
      <c r="E196" s="2" t="s">
        <v>976</v>
      </c>
      <c r="F196" s="2" t="s">
        <v>32</v>
      </c>
      <c r="G196" s="2" t="s">
        <v>33</v>
      </c>
      <c r="H196" s="2" t="s">
        <v>34</v>
      </c>
      <c r="I196" s="2"/>
      <c r="J196" s="2"/>
      <c r="K196" s="2"/>
      <c r="L196" s="2"/>
      <c r="M196" s="2"/>
      <c r="N196" s="2"/>
      <c r="O196" s="2" t="s">
        <v>41</v>
      </c>
      <c r="P196" s="2"/>
      <c r="Q196" s="2"/>
      <c r="R196" s="2" t="s">
        <v>41</v>
      </c>
      <c r="S196" s="2" t="s">
        <v>41</v>
      </c>
      <c r="T196" s="2" t="s">
        <v>978</v>
      </c>
      <c r="U196" s="3">
        <v>45200</v>
      </c>
      <c r="V196" s="2" t="s">
        <v>970</v>
      </c>
      <c r="W196" s="2" t="s">
        <v>851</v>
      </c>
      <c r="X196" s="2" t="s">
        <v>126</v>
      </c>
      <c r="Y196" s="2" t="s">
        <v>147</v>
      </c>
      <c r="Z196" s="2" t="s">
        <v>147</v>
      </c>
      <c r="AA196" s="2" t="s">
        <v>180</v>
      </c>
      <c r="AB196" s="2" t="s">
        <v>129</v>
      </c>
      <c r="AC196" s="2"/>
    </row>
    <row r="197" spans="1:29" ht="20.100000000000001" customHeight="1">
      <c r="A197" s="2" t="s">
        <v>979</v>
      </c>
      <c r="B197" s="2" t="s">
        <v>980</v>
      </c>
      <c r="C197" s="2" t="str">
        <f>sheet1[[#This Row],[Nombre]]&amp;sheet1[[#This Row],[Bp Id]]</f>
        <v>Seguridad Perimetral Firewall Onpremise (BPAC)GI0005</v>
      </c>
      <c r="D197" s="2" t="str">
        <f>VLOOKUP(sheet1[[#This Row],[Columna1]],sheet13[[Columna1]:[Estado]],4,FALSE)</f>
        <v>Operativo</v>
      </c>
      <c r="E197" s="2" t="s">
        <v>979</v>
      </c>
      <c r="F197" s="2" t="s">
        <v>32</v>
      </c>
      <c r="G197" s="2"/>
      <c r="H197" s="2" t="s">
        <v>34</v>
      </c>
      <c r="I197" s="2"/>
      <c r="J197" s="2"/>
      <c r="K197" s="2"/>
      <c r="L197" s="2"/>
      <c r="M197" s="2" t="s">
        <v>111</v>
      </c>
      <c r="N197" s="2" t="s">
        <v>40</v>
      </c>
      <c r="O197" s="2" t="s">
        <v>41</v>
      </c>
      <c r="P197" s="2" t="s">
        <v>53</v>
      </c>
      <c r="Q197" s="2" t="s">
        <v>53</v>
      </c>
      <c r="R197" s="2" t="s">
        <v>41</v>
      </c>
      <c r="S197" s="2" t="s">
        <v>41</v>
      </c>
      <c r="T197" s="2" t="s">
        <v>981</v>
      </c>
      <c r="U197" s="3">
        <v>45937</v>
      </c>
      <c r="V197" s="2" t="s">
        <v>974</v>
      </c>
      <c r="W197" s="2" t="s">
        <v>590</v>
      </c>
      <c r="X197" s="2" t="s">
        <v>959</v>
      </c>
      <c r="Y197" s="2" t="s">
        <v>127</v>
      </c>
      <c r="Z197" s="2" t="s">
        <v>127</v>
      </c>
      <c r="AA197" s="2" t="s">
        <v>180</v>
      </c>
      <c r="AB197" s="2" t="s">
        <v>129</v>
      </c>
      <c r="AC197" s="2"/>
    </row>
    <row r="198" spans="1:29" ht="14.45" customHeight="1">
      <c r="A198" s="2" t="s">
        <v>982</v>
      </c>
      <c r="B198" s="2" t="s">
        <v>983</v>
      </c>
      <c r="C198" s="2" t="str">
        <f>sheet1[[#This Row],[Nombre]]&amp;sheet1[[#This Row],[Bp Id]]</f>
        <v>Comunicaciones UnificadasITM0104</v>
      </c>
      <c r="D198" s="2" t="str">
        <f>VLOOKUP(sheet1[[#This Row],[Columna1]],sheet13[[Columna1]:[Estado]],4,FALSE)</f>
        <v>Operativo</v>
      </c>
      <c r="E198" s="2" t="s">
        <v>984</v>
      </c>
      <c r="F198" s="2" t="s">
        <v>32</v>
      </c>
      <c r="G198" s="2" t="s">
        <v>48</v>
      </c>
      <c r="H198" s="2" t="s">
        <v>34</v>
      </c>
      <c r="I198" s="2" t="s">
        <v>68</v>
      </c>
      <c r="J198" s="2" t="s">
        <v>69</v>
      </c>
      <c r="K198" s="2" t="s">
        <v>516</v>
      </c>
      <c r="L198" s="2" t="s">
        <v>517</v>
      </c>
      <c r="M198" s="2" t="s">
        <v>63</v>
      </c>
      <c r="N198" s="2"/>
      <c r="O198" s="2" t="s">
        <v>43</v>
      </c>
      <c r="P198" s="2" t="s">
        <v>64</v>
      </c>
      <c r="Q198" s="2" t="s">
        <v>64</v>
      </c>
      <c r="R198" s="2" t="s">
        <v>43</v>
      </c>
      <c r="S198" s="2" t="s">
        <v>43</v>
      </c>
      <c r="T198" s="2" t="s">
        <v>985</v>
      </c>
      <c r="U198" s="3">
        <v>45986</v>
      </c>
      <c r="V198" s="2" t="s">
        <v>986</v>
      </c>
      <c r="W198" s="2"/>
      <c r="X198" s="2"/>
      <c r="Y198" s="2"/>
      <c r="Z198" s="2"/>
      <c r="AA198" s="2" t="s">
        <v>987</v>
      </c>
      <c r="AB198" s="2"/>
      <c r="AC198" s="2"/>
    </row>
    <row r="199" spans="1:29" ht="14.45" customHeight="1">
      <c r="A199" s="2" t="s">
        <v>988</v>
      </c>
      <c r="B199" s="2" t="s">
        <v>989</v>
      </c>
      <c r="C199" s="2" t="str">
        <f>sheet1[[#This Row],[Nombre]]&amp;sheet1[[#This Row],[Bp Id]]</f>
        <v>Intune - MAMGI0006</v>
      </c>
      <c r="D199" s="2" t="str">
        <f>VLOOKUP(sheet1[[#This Row],[Columna1]],sheet13[[Columna1]:[Estado]],4,FALSE)</f>
        <v>Operativo</v>
      </c>
      <c r="E199" s="2" t="s">
        <v>990</v>
      </c>
      <c r="F199" s="2" t="s">
        <v>32</v>
      </c>
      <c r="G199" s="2"/>
      <c r="H199" s="2"/>
      <c r="I199" s="2"/>
      <c r="J199" s="2"/>
      <c r="K199" s="2"/>
      <c r="L199" s="2"/>
      <c r="M199" s="2" t="s">
        <v>111</v>
      </c>
      <c r="N199" s="2"/>
      <c r="O199" s="2" t="s">
        <v>41</v>
      </c>
      <c r="P199" s="2" t="s">
        <v>64</v>
      </c>
      <c r="Q199" s="2" t="s">
        <v>64</v>
      </c>
      <c r="R199" s="2" t="s">
        <v>41</v>
      </c>
      <c r="S199" s="2" t="s">
        <v>41</v>
      </c>
      <c r="T199" s="2"/>
      <c r="U199" s="3">
        <v>46052</v>
      </c>
      <c r="V199" s="2" t="s">
        <v>991</v>
      </c>
      <c r="W199" s="2" t="s">
        <v>101</v>
      </c>
      <c r="X199" s="2" t="s">
        <v>101</v>
      </c>
      <c r="Y199" s="2" t="s">
        <v>376</v>
      </c>
      <c r="Z199" s="2" t="s">
        <v>127</v>
      </c>
      <c r="AA199" s="2" t="s">
        <v>992</v>
      </c>
      <c r="AB199" s="2" t="s">
        <v>129</v>
      </c>
      <c r="AC199" s="2" t="s">
        <v>993</v>
      </c>
    </row>
    <row r="200" spans="1:29" ht="14.45" customHeight="1">
      <c r="A200" s="2" t="s">
        <v>994</v>
      </c>
      <c r="B200" s="2" t="s">
        <v>995</v>
      </c>
      <c r="C200" s="2" t="str">
        <f>sheet1[[#This Row],[Nombre]]&amp;sheet1[[#This Row],[Bp Id]]</f>
        <v>Microsoft PurviewGI0007</v>
      </c>
      <c r="D200" s="2" t="str">
        <f>VLOOKUP(sheet1[[#This Row],[Columna1]],sheet13[[Columna1]:[Estado]],4,FALSE)</f>
        <v>Operativo</v>
      </c>
      <c r="E200" s="2" t="s">
        <v>996</v>
      </c>
      <c r="F200" s="2" t="s">
        <v>32</v>
      </c>
      <c r="G200" s="2"/>
      <c r="H200" s="2"/>
      <c r="I200" s="2"/>
      <c r="J200" s="2"/>
      <c r="K200" s="2"/>
      <c r="L200" s="2"/>
      <c r="M200" s="2" t="s">
        <v>111</v>
      </c>
      <c r="N200" s="2"/>
      <c r="O200" s="2" t="s">
        <v>41</v>
      </c>
      <c r="P200" s="2" t="s">
        <v>64</v>
      </c>
      <c r="Q200" s="2" t="s">
        <v>64</v>
      </c>
      <c r="R200" s="2" t="s">
        <v>41</v>
      </c>
      <c r="S200" s="2" t="s">
        <v>41</v>
      </c>
      <c r="T200" s="2" t="s">
        <v>997</v>
      </c>
      <c r="U200" s="3">
        <v>46052</v>
      </c>
      <c r="V200" s="2" t="s">
        <v>991</v>
      </c>
      <c r="W200" s="2" t="s">
        <v>101</v>
      </c>
      <c r="X200" s="2" t="s">
        <v>101</v>
      </c>
      <c r="Y200" s="2" t="s">
        <v>376</v>
      </c>
      <c r="Z200" s="2" t="s">
        <v>127</v>
      </c>
      <c r="AA200" s="2" t="s">
        <v>992</v>
      </c>
      <c r="AB200" s="2" t="s">
        <v>129</v>
      </c>
      <c r="AC200" s="2" t="s">
        <v>998</v>
      </c>
    </row>
    <row r="201" spans="1:29" ht="57.95" customHeight="1">
      <c r="A201" s="2" t="s">
        <v>999</v>
      </c>
      <c r="B201" s="2" t="s">
        <v>1000</v>
      </c>
      <c r="C201" s="2" t="str">
        <f>sheet1[[#This Row],[Nombre]]&amp;sheet1[[#This Row],[Bp Id]]</f>
        <v>Microsoft Defender AppsGI0008</v>
      </c>
      <c r="D201" s="2" t="str">
        <f>VLOOKUP(sheet1[[#This Row],[Columna1]],sheet13[[Columna1]:[Estado]],4,FALSE)</f>
        <v>Operativo</v>
      </c>
      <c r="E201" s="2" t="s">
        <v>1001</v>
      </c>
      <c r="F201" s="2" t="s">
        <v>32</v>
      </c>
      <c r="G201" s="2"/>
      <c r="H201" s="2"/>
      <c r="I201" s="2"/>
      <c r="J201" s="2"/>
      <c r="K201" s="2"/>
      <c r="L201" s="2"/>
      <c r="M201" s="2" t="s">
        <v>111</v>
      </c>
      <c r="N201" s="2"/>
      <c r="O201" s="2" t="s">
        <v>41</v>
      </c>
      <c r="P201" s="2" t="s">
        <v>64</v>
      </c>
      <c r="Q201" s="2" t="s">
        <v>64</v>
      </c>
      <c r="R201" s="2" t="s">
        <v>41</v>
      </c>
      <c r="S201" s="2" t="s">
        <v>41</v>
      </c>
      <c r="T201" s="2" t="s">
        <v>475</v>
      </c>
      <c r="U201" s="3">
        <v>46052</v>
      </c>
      <c r="V201" s="2" t="s">
        <v>991</v>
      </c>
      <c r="W201" s="2" t="s">
        <v>101</v>
      </c>
      <c r="X201" s="2" t="s">
        <v>101</v>
      </c>
      <c r="Y201" s="2" t="s">
        <v>376</v>
      </c>
      <c r="Z201" s="2" t="s">
        <v>127</v>
      </c>
      <c r="AA201" s="2" t="s">
        <v>992</v>
      </c>
      <c r="AB201" s="2" t="s">
        <v>129</v>
      </c>
      <c r="AC201" s="2" t="s">
        <v>1002</v>
      </c>
    </row>
    <row r="202" spans="1:29" ht="20.100000000000001" customHeight="1">
      <c r="A202" s="2" t="s">
        <v>1003</v>
      </c>
      <c r="B202" s="2" t="s">
        <v>1004</v>
      </c>
      <c r="C202" s="2" t="str">
        <f>sheet1[[#This Row],[Nombre]]&amp;sheet1[[#This Row],[Bp Id]]</f>
        <v>JP MorganGI0010</v>
      </c>
      <c r="D202" s="2" t="str">
        <f>VLOOKUP(sheet1[[#This Row],[Columna1]],sheet13[[Columna1]:[Estado]],4,FALSE)</f>
        <v>Operativo</v>
      </c>
      <c r="E202" s="2" t="s">
        <v>1005</v>
      </c>
      <c r="F202" s="2" t="s">
        <v>32</v>
      </c>
      <c r="G202" s="2"/>
      <c r="H202" s="2"/>
      <c r="I202" s="2"/>
      <c r="J202" s="2"/>
      <c r="K202" s="2"/>
      <c r="L202" s="2"/>
      <c r="M202" s="2" t="s">
        <v>39</v>
      </c>
      <c r="N202" s="2"/>
      <c r="O202" s="2" t="s">
        <v>41</v>
      </c>
      <c r="P202" s="2" t="s">
        <v>53</v>
      </c>
      <c r="Q202" s="2" t="s">
        <v>53</v>
      </c>
      <c r="R202" s="2" t="s">
        <v>41</v>
      </c>
      <c r="S202" s="2" t="s">
        <v>41</v>
      </c>
      <c r="T202" s="2" t="s">
        <v>1006</v>
      </c>
      <c r="U202" s="3">
        <v>45817</v>
      </c>
      <c r="V202" s="2" t="s">
        <v>1007</v>
      </c>
      <c r="W202" s="2" t="s">
        <v>590</v>
      </c>
      <c r="X202" s="2" t="s">
        <v>101</v>
      </c>
      <c r="Y202" s="2" t="s">
        <v>127</v>
      </c>
      <c r="Z202" s="2" t="s">
        <v>127</v>
      </c>
      <c r="AA202" s="2" t="s">
        <v>180</v>
      </c>
      <c r="AB202" s="2" t="s">
        <v>129</v>
      </c>
      <c r="AC202" s="2" t="s">
        <v>1008</v>
      </c>
    </row>
    <row r="203" spans="1:29" ht="20.100000000000001" customHeight="1">
      <c r="A203" s="2" t="s">
        <v>1009</v>
      </c>
      <c r="B203" s="2" t="s">
        <v>1010</v>
      </c>
      <c r="C203" s="2" t="str">
        <f>sheet1[[#This Row],[Nombre]]&amp;sheet1[[#This Row],[Bp Id]]</f>
        <v>LoginterGI0011</v>
      </c>
      <c r="D203" s="2" t="str">
        <f>VLOOKUP(sheet1[[#This Row],[Columna1]],sheet13[[Columna1]:[Estado]],4,FALSE)</f>
        <v>Operativo</v>
      </c>
      <c r="E203" s="2" t="s">
        <v>1011</v>
      </c>
      <c r="F203" s="2" t="s">
        <v>32</v>
      </c>
      <c r="G203" s="2"/>
      <c r="H203" s="2"/>
      <c r="I203" s="2"/>
      <c r="J203" s="2"/>
      <c r="K203" s="2"/>
      <c r="L203" s="2"/>
      <c r="M203" s="2"/>
      <c r="N203" s="2"/>
      <c r="O203" s="2" t="s">
        <v>41</v>
      </c>
      <c r="P203" s="2" t="s">
        <v>53</v>
      </c>
      <c r="Q203" s="2" t="s">
        <v>53</v>
      </c>
      <c r="R203" s="2" t="s">
        <v>41</v>
      </c>
      <c r="S203" s="2" t="s">
        <v>41</v>
      </c>
      <c r="T203" s="2"/>
      <c r="U203" s="3">
        <v>45200</v>
      </c>
      <c r="V203" s="2" t="s">
        <v>1012</v>
      </c>
      <c r="W203" s="2" t="s">
        <v>369</v>
      </c>
      <c r="X203" s="2" t="s">
        <v>125</v>
      </c>
      <c r="Y203" s="2" t="s">
        <v>127</v>
      </c>
      <c r="Z203" s="2" t="s">
        <v>127</v>
      </c>
      <c r="AA203" s="2" t="s">
        <v>1013</v>
      </c>
      <c r="AB203" s="2" t="s">
        <v>129</v>
      </c>
      <c r="AC203" s="2"/>
    </row>
    <row r="204" spans="1:29" ht="57.95" customHeight="1">
      <c r="A204" s="2" t="s">
        <v>1014</v>
      </c>
      <c r="B204" s="2" t="s">
        <v>1015</v>
      </c>
      <c r="C204" s="2" t="str">
        <f>sheet1[[#This Row],[Nombre]]&amp;sheet1[[#This Row],[Bp Id]]</f>
        <v>Model Risk HubGI0013</v>
      </c>
      <c r="D204" s="2" t="str">
        <f>VLOOKUP(sheet1[[#This Row],[Columna1]],sheet13[[Columna1]:[Estado]],4,FALSE)</f>
        <v>Operativo</v>
      </c>
      <c r="E204" s="2" t="s">
        <v>1016</v>
      </c>
      <c r="F204" s="2" t="s">
        <v>32</v>
      </c>
      <c r="G204" s="2"/>
      <c r="H204" s="2"/>
      <c r="I204" s="2"/>
      <c r="J204" s="2"/>
      <c r="K204" s="2"/>
      <c r="L204" s="2"/>
      <c r="M204" s="2"/>
      <c r="N204" s="2"/>
      <c r="O204" s="2" t="s">
        <v>41</v>
      </c>
      <c r="P204" s="2" t="s">
        <v>53</v>
      </c>
      <c r="Q204" s="2" t="s">
        <v>64</v>
      </c>
      <c r="R204" s="2" t="s">
        <v>41</v>
      </c>
      <c r="S204" s="2" t="s">
        <v>41</v>
      </c>
      <c r="T204" s="2" t="s">
        <v>1017</v>
      </c>
      <c r="U204" s="3">
        <v>46066</v>
      </c>
      <c r="V204" s="2" t="s">
        <v>1018</v>
      </c>
      <c r="W204" s="2" t="s">
        <v>187</v>
      </c>
      <c r="X204" s="2"/>
      <c r="Y204" s="2" t="s">
        <v>127</v>
      </c>
      <c r="Z204" s="2" t="s">
        <v>127</v>
      </c>
      <c r="AA204" s="2" t="s">
        <v>180</v>
      </c>
      <c r="AB204" s="2" t="s">
        <v>129</v>
      </c>
      <c r="AC204" s="2" t="s">
        <v>1019</v>
      </c>
    </row>
    <row r="205" spans="1:29" ht="20.100000000000001" customHeight="1">
      <c r="A205" s="2" t="s">
        <v>1020</v>
      </c>
      <c r="B205" s="2" t="s">
        <v>1021</v>
      </c>
      <c r="C205" s="2" t="str">
        <f>sheet1[[#This Row],[Nombre]]&amp;sheet1[[#This Row],[Bp Id]]</f>
        <v>MISPSEC0092</v>
      </c>
      <c r="D205" s="2" t="str">
        <f>VLOOKUP(sheet1[[#This Row],[Columna1]],sheet13[[Columna1]:[Estado]],4,FALSE)</f>
        <v>Operativo</v>
      </c>
      <c r="E205" s="2"/>
      <c r="F205" s="2" t="s">
        <v>32</v>
      </c>
      <c r="G205" s="2" t="s">
        <v>48</v>
      </c>
      <c r="H205" s="2" t="s">
        <v>59</v>
      </c>
      <c r="I205" s="2" t="s">
        <v>107</v>
      </c>
      <c r="J205" s="2" t="s">
        <v>1022</v>
      </c>
      <c r="K205" s="2" t="s">
        <v>1023</v>
      </c>
      <c r="L205" s="2" t="s">
        <v>1022</v>
      </c>
      <c r="M205" s="2" t="s">
        <v>111</v>
      </c>
      <c r="N205" s="2" t="s">
        <v>40</v>
      </c>
      <c r="O205" s="2" t="s">
        <v>41</v>
      </c>
      <c r="P205" s="2" t="s">
        <v>53</v>
      </c>
      <c r="Q205" s="2" t="s">
        <v>53</v>
      </c>
      <c r="R205" s="2" t="s">
        <v>41</v>
      </c>
      <c r="S205" s="2" t="s">
        <v>43</v>
      </c>
      <c r="T205" s="2"/>
      <c r="U205" s="3"/>
      <c r="V205" s="2"/>
      <c r="W205" s="2"/>
      <c r="X205" s="2"/>
      <c r="Y205" s="2"/>
      <c r="Z205" s="2"/>
      <c r="AA205" s="2"/>
      <c r="AB205" s="2"/>
      <c r="AC205" s="2"/>
    </row>
    <row r="206" spans="1:29" ht="20.100000000000001" customHeight="1">
      <c r="A206" s="2" t="s">
        <v>1024</v>
      </c>
      <c r="B206" s="2" t="s">
        <v>1025</v>
      </c>
      <c r="C206" s="2" t="str">
        <f>sheet1[[#This Row],[Nombre]]&amp;sheet1[[#This Row],[Bp Id]]</f>
        <v>Swift O2MGI0019</v>
      </c>
      <c r="D206" s="2" t="str">
        <f>VLOOKUP(sheet1[[#This Row],[Columna1]],sheet13[[Columna1]:[Estado]],4,FALSE)</f>
        <v>Operativo</v>
      </c>
      <c r="E206" s="2" t="s">
        <v>1024</v>
      </c>
      <c r="F206" s="2" t="s">
        <v>32</v>
      </c>
      <c r="G206" s="2"/>
      <c r="H206" s="2"/>
      <c r="I206" s="2"/>
      <c r="J206" s="2"/>
      <c r="K206" s="2"/>
      <c r="L206" s="2"/>
      <c r="M206" s="2"/>
      <c r="N206" s="2"/>
      <c r="O206" s="2" t="s">
        <v>41</v>
      </c>
      <c r="P206" s="2" t="s">
        <v>53</v>
      </c>
      <c r="Q206" s="2" t="s">
        <v>53</v>
      </c>
      <c r="R206" s="2" t="s">
        <v>41</v>
      </c>
      <c r="S206" s="2" t="s">
        <v>41</v>
      </c>
      <c r="T206" s="2"/>
      <c r="U206" s="3">
        <v>45200</v>
      </c>
      <c r="V206" s="2" t="s">
        <v>970</v>
      </c>
      <c r="W206" s="2" t="s">
        <v>126</v>
      </c>
      <c r="X206" s="2"/>
      <c r="Y206" s="2" t="s">
        <v>127</v>
      </c>
      <c r="Z206" s="2" t="s">
        <v>127</v>
      </c>
      <c r="AA206" s="2" t="s">
        <v>180</v>
      </c>
      <c r="AB206" s="2" t="s">
        <v>129</v>
      </c>
      <c r="AC206" s="2" t="s">
        <v>1026</v>
      </c>
    </row>
    <row r="207" spans="1:29" ht="20.100000000000001" customHeight="1">
      <c r="A207" s="2" t="s">
        <v>1027</v>
      </c>
      <c r="B207" s="2" t="s">
        <v>1028</v>
      </c>
      <c r="C207" s="2" t="str">
        <f>sheet1[[#This Row],[Nombre]]&amp;sheet1[[#This Row],[Bp Id]]</f>
        <v>WELLSFARGOGI0021</v>
      </c>
      <c r="D207" s="2" t="str">
        <f>VLOOKUP(sheet1[[#This Row],[Columna1]],sheet13[[Columna1]:[Estado]],4,FALSE)</f>
        <v>Operativo</v>
      </c>
      <c r="E207" s="2" t="s">
        <v>1029</v>
      </c>
      <c r="F207" s="2" t="s">
        <v>32</v>
      </c>
      <c r="G207" s="2"/>
      <c r="H207" s="2"/>
      <c r="I207" s="2"/>
      <c r="J207" s="2"/>
      <c r="K207" s="2"/>
      <c r="L207" s="2"/>
      <c r="M207" s="2"/>
      <c r="N207" s="2"/>
      <c r="O207" s="2" t="s">
        <v>41</v>
      </c>
      <c r="P207" s="2" t="s">
        <v>53</v>
      </c>
      <c r="Q207" s="2" t="s">
        <v>53</v>
      </c>
      <c r="R207" s="2" t="s">
        <v>41</v>
      </c>
      <c r="S207" s="2" t="s">
        <v>41</v>
      </c>
      <c r="T207" s="2" t="s">
        <v>1030</v>
      </c>
      <c r="U207" s="3">
        <v>46052</v>
      </c>
      <c r="V207" s="2" t="s">
        <v>1031</v>
      </c>
      <c r="W207" s="2" t="s">
        <v>626</v>
      </c>
      <c r="X207" s="2" t="s">
        <v>375</v>
      </c>
      <c r="Y207" s="2" t="s">
        <v>127</v>
      </c>
      <c r="Z207" s="2" t="s">
        <v>127</v>
      </c>
      <c r="AA207" s="2" t="s">
        <v>180</v>
      </c>
      <c r="AB207" s="2" t="s">
        <v>129</v>
      </c>
      <c r="AC207" s="2" t="s">
        <v>1032</v>
      </c>
    </row>
    <row r="208" spans="1:29" ht="20.100000000000001" customHeight="1">
      <c r="A208" s="2" t="s">
        <v>1033</v>
      </c>
      <c r="B208" s="2" t="s">
        <v>1034</v>
      </c>
      <c r="C208" s="2" t="str">
        <f>sheet1[[#This Row],[Nombre]]&amp;sheet1[[#This Row],[Bp Id]]</f>
        <v>Deuna Personas V2CHL0039</v>
      </c>
      <c r="D208" s="2" t="str">
        <f>VLOOKUP(sheet1[[#This Row],[Columna1]],sheet13[[Columna1]:[Estado]],4,FALSE)</f>
        <v>Operativo</v>
      </c>
      <c r="E208" s="2" t="s">
        <v>1035</v>
      </c>
      <c r="F208" s="2" t="s">
        <v>32</v>
      </c>
      <c r="G208" s="2" t="s">
        <v>33</v>
      </c>
      <c r="H208" s="2" t="s">
        <v>59</v>
      </c>
      <c r="I208" s="2" t="s">
        <v>208</v>
      </c>
      <c r="J208" s="2" t="s">
        <v>209</v>
      </c>
      <c r="K208" s="2" t="s">
        <v>445</v>
      </c>
      <c r="L208" s="2" t="s">
        <v>209</v>
      </c>
      <c r="M208" s="2" t="s">
        <v>39</v>
      </c>
      <c r="N208" s="2" t="s">
        <v>91</v>
      </c>
      <c r="O208" s="2" t="s">
        <v>41</v>
      </c>
      <c r="P208" s="2" t="s">
        <v>53</v>
      </c>
      <c r="Q208" s="2" t="s">
        <v>53</v>
      </c>
      <c r="R208" s="2" t="s">
        <v>43</v>
      </c>
      <c r="S208" s="2" t="s">
        <v>43</v>
      </c>
      <c r="T208" s="2"/>
      <c r="U208" s="3"/>
      <c r="V208" s="2"/>
      <c r="W208" s="2"/>
      <c r="X208" s="2"/>
      <c r="Y208" s="2"/>
      <c r="Z208" s="2"/>
      <c r="AA208" s="2"/>
      <c r="AB208" s="2"/>
      <c r="AC208" s="2"/>
    </row>
    <row r="209" spans="1:29" ht="144.94999999999999" customHeight="1">
      <c r="A209" s="2" t="s">
        <v>1036</v>
      </c>
      <c r="B209" s="2" t="s">
        <v>1037</v>
      </c>
      <c r="C209" s="2" t="str">
        <f>sheet1[[#This Row],[Nombre]]&amp;sheet1[[#This Row],[Bp Id]]</f>
        <v>DHCPITM0010</v>
      </c>
      <c r="D209" s="2" t="str">
        <f>VLOOKUP(sheet1[[#This Row],[Columna1]],sheet13[[Columna1]:[Estado]],4,FALSE)</f>
        <v>Retirado</v>
      </c>
      <c r="E209" s="2" t="s">
        <v>1038</v>
      </c>
      <c r="F209" s="2" t="s">
        <v>47</v>
      </c>
      <c r="G209" s="2" t="s">
        <v>48</v>
      </c>
      <c r="H209" s="2" t="s">
        <v>34</v>
      </c>
      <c r="I209" s="2" t="s">
        <v>68</v>
      </c>
      <c r="J209" s="2" t="s">
        <v>236</v>
      </c>
      <c r="K209" s="2" t="s">
        <v>82</v>
      </c>
      <c r="L209" s="2" t="s">
        <v>82</v>
      </c>
      <c r="M209" s="2" t="s">
        <v>52</v>
      </c>
      <c r="N209" s="2" t="s">
        <v>40</v>
      </c>
      <c r="O209" s="2" t="s">
        <v>41</v>
      </c>
      <c r="P209" s="2" t="s">
        <v>42</v>
      </c>
      <c r="Q209" s="2" t="s">
        <v>42</v>
      </c>
      <c r="R209" s="2" t="s">
        <v>43</v>
      </c>
      <c r="S209" s="2" t="s">
        <v>43</v>
      </c>
      <c r="T209" s="2"/>
      <c r="U209" s="3"/>
      <c r="V209" s="2"/>
      <c r="W209" s="2"/>
      <c r="X209" s="2"/>
      <c r="Y209" s="2"/>
      <c r="Z209" s="2"/>
      <c r="AA209" s="2"/>
      <c r="AB209" s="2"/>
      <c r="AC209" s="2"/>
    </row>
    <row r="210" spans="1:29" ht="20.100000000000001" customHeight="1">
      <c r="A210" s="2" t="s">
        <v>1039</v>
      </c>
      <c r="B210" s="2" t="s">
        <v>1040</v>
      </c>
      <c r="C210" s="2" t="str">
        <f>sheet1[[#This Row],[Nombre]]&amp;sheet1[[#This Row],[Bp Id]]</f>
        <v>Diferidos ConsumoPAY0027</v>
      </c>
      <c r="D210" s="2" t="str">
        <f>VLOOKUP(sheet1[[#This Row],[Columna1]],sheet13[[Columna1]:[Estado]],4,FALSE)</f>
        <v>Operativo</v>
      </c>
      <c r="E210" s="2" t="s">
        <v>1041</v>
      </c>
      <c r="F210" s="2" t="s">
        <v>32</v>
      </c>
      <c r="G210" s="2" t="s">
        <v>48</v>
      </c>
      <c r="H210" s="2" t="s">
        <v>59</v>
      </c>
      <c r="I210" s="2" t="s">
        <v>141</v>
      </c>
      <c r="J210" s="2" t="s">
        <v>151</v>
      </c>
      <c r="K210" s="2" t="s">
        <v>143</v>
      </c>
      <c r="L210" s="2" t="s">
        <v>144</v>
      </c>
      <c r="M210" s="2"/>
      <c r="N210" s="2"/>
      <c r="O210" s="2"/>
      <c r="P210" s="2"/>
      <c r="Q210" s="2"/>
      <c r="R210" s="2"/>
      <c r="S210" s="2"/>
      <c r="T210" s="2"/>
      <c r="U210" s="3"/>
      <c r="V210" s="2"/>
      <c r="W210" s="2"/>
      <c r="X210" s="2"/>
      <c r="Y210" s="2"/>
      <c r="Z210" s="2"/>
      <c r="AA210" s="2"/>
      <c r="AB210" s="2"/>
      <c r="AC210" s="2"/>
    </row>
    <row r="211" spans="1:29" ht="20.100000000000001" customHeight="1">
      <c r="A211" s="2" t="s">
        <v>1042</v>
      </c>
      <c r="B211" s="2" t="s">
        <v>1043</v>
      </c>
      <c r="C211" s="2" t="str">
        <f>sheet1[[#This Row],[Nombre]]&amp;sheet1[[#This Row],[Bp Id]]</f>
        <v>DLS5SEC0074</v>
      </c>
      <c r="D211" s="2" t="str">
        <f>VLOOKUP(sheet1[[#This Row],[Columna1]],sheet13[[Columna1]:[Estado]],4,FALSE)</f>
        <v>Operativo</v>
      </c>
      <c r="E211" s="2" t="s">
        <v>545</v>
      </c>
      <c r="F211" s="2" t="s">
        <v>32</v>
      </c>
      <c r="G211" s="2" t="s">
        <v>76</v>
      </c>
      <c r="H211" s="2" t="s">
        <v>34</v>
      </c>
      <c r="I211" s="2" t="s">
        <v>107</v>
      </c>
      <c r="J211" s="2" t="s">
        <v>411</v>
      </c>
      <c r="K211" s="2" t="s">
        <v>176</v>
      </c>
      <c r="L211" s="2" t="s">
        <v>546</v>
      </c>
      <c r="M211" s="2" t="s">
        <v>111</v>
      </c>
      <c r="N211" s="2" t="s">
        <v>40</v>
      </c>
      <c r="O211" s="2" t="s">
        <v>41</v>
      </c>
      <c r="P211" s="2" t="s">
        <v>53</v>
      </c>
      <c r="Q211" s="2" t="s">
        <v>53</v>
      </c>
      <c r="R211" s="2" t="s">
        <v>41</v>
      </c>
      <c r="S211" s="2" t="s">
        <v>41</v>
      </c>
      <c r="T211" s="2"/>
      <c r="U211" s="3">
        <v>46051</v>
      </c>
      <c r="V211" s="2" t="s">
        <v>1044</v>
      </c>
      <c r="W211" s="2" t="s">
        <v>369</v>
      </c>
      <c r="X211" s="2"/>
      <c r="Y211" s="2" t="s">
        <v>127</v>
      </c>
      <c r="Z211" s="2" t="s">
        <v>127</v>
      </c>
      <c r="AA211" s="2" t="s">
        <v>180</v>
      </c>
      <c r="AB211" s="2" t="s">
        <v>129</v>
      </c>
      <c r="AC211" s="2" t="s">
        <v>1045</v>
      </c>
    </row>
    <row r="212" spans="1:29" ht="20.100000000000001" customHeight="1">
      <c r="A212" s="2" t="s">
        <v>1046</v>
      </c>
      <c r="B212" s="2" t="s">
        <v>1047</v>
      </c>
      <c r="C212" s="2" t="str">
        <f>sheet1[[#This Row],[Nombre]]&amp;sheet1[[#This Row],[Bp Id]]</f>
        <v>DNA CenterITM0011</v>
      </c>
      <c r="D212" s="2" t="str">
        <f>VLOOKUP(sheet1[[#This Row],[Columna1]],sheet13[[Columna1]:[Estado]],4,FALSE)</f>
        <v>Operativo</v>
      </c>
      <c r="E212" s="2" t="s">
        <v>1048</v>
      </c>
      <c r="F212" s="2" t="s">
        <v>32</v>
      </c>
      <c r="G212" s="2" t="s">
        <v>48</v>
      </c>
      <c r="H212" s="2" t="s">
        <v>34</v>
      </c>
      <c r="I212" s="2" t="s">
        <v>68</v>
      </c>
      <c r="J212" s="2" t="s">
        <v>69</v>
      </c>
      <c r="K212" s="2" t="s">
        <v>516</v>
      </c>
      <c r="L212" s="2" t="s">
        <v>529</v>
      </c>
      <c r="M212" s="2" t="s">
        <v>52</v>
      </c>
      <c r="N212" s="2" t="s">
        <v>40</v>
      </c>
      <c r="O212" s="2" t="s">
        <v>41</v>
      </c>
      <c r="P212" s="2" t="s">
        <v>53</v>
      </c>
      <c r="Q212" s="2" t="s">
        <v>53</v>
      </c>
      <c r="R212" s="2" t="s">
        <v>43</v>
      </c>
      <c r="S212" s="2" t="s">
        <v>43</v>
      </c>
      <c r="T212" s="2"/>
      <c r="U212" s="3"/>
      <c r="V212" s="2"/>
      <c r="W212" s="2"/>
      <c r="X212" s="2"/>
      <c r="Y212" s="2"/>
      <c r="Z212" s="2"/>
      <c r="AA212" s="2"/>
      <c r="AB212" s="2"/>
      <c r="AC212" s="2"/>
    </row>
    <row r="213" spans="1:29" ht="20.100000000000001" customHeight="1">
      <c r="A213" s="2" t="s">
        <v>1049</v>
      </c>
      <c r="B213" s="2" t="s">
        <v>1050</v>
      </c>
      <c r="C213" s="2" t="str">
        <f>sheet1[[#This Row],[Nombre]]&amp;sheet1[[#This Row],[Bp Id]]</f>
        <v>Docker EngineITM0012</v>
      </c>
      <c r="D213" s="2" t="str">
        <f>VLOOKUP(sheet1[[#This Row],[Columna1]],sheet13[[Columna1]:[Estado]],4,FALSE)</f>
        <v>Retirado</v>
      </c>
      <c r="E213" s="2" t="s">
        <v>1051</v>
      </c>
      <c r="F213" s="2" t="s">
        <v>47</v>
      </c>
      <c r="G213" s="2" t="s">
        <v>123</v>
      </c>
      <c r="H213" s="2" t="s">
        <v>34</v>
      </c>
      <c r="I213" s="2" t="s">
        <v>35</v>
      </c>
      <c r="J213" s="2" t="s">
        <v>349</v>
      </c>
      <c r="K213" s="2" t="s">
        <v>36</v>
      </c>
      <c r="L213" s="2" t="s">
        <v>38</v>
      </c>
      <c r="M213" s="2" t="s">
        <v>52</v>
      </c>
      <c r="N213" s="2" t="s">
        <v>40</v>
      </c>
      <c r="O213" s="2" t="s">
        <v>41</v>
      </c>
      <c r="P213" s="2" t="s">
        <v>53</v>
      </c>
      <c r="Q213" s="2" t="s">
        <v>53</v>
      </c>
      <c r="R213" s="2" t="s">
        <v>41</v>
      </c>
      <c r="S213" s="2" t="s">
        <v>43</v>
      </c>
      <c r="T213" s="2"/>
      <c r="U213" s="3"/>
      <c r="V213" s="2"/>
      <c r="W213" s="2"/>
      <c r="X213" s="2"/>
      <c r="Y213" s="2"/>
      <c r="Z213" s="2"/>
      <c r="AA213" s="2"/>
      <c r="AB213" s="2"/>
      <c r="AC213" s="2"/>
    </row>
    <row r="214" spans="1:29" ht="14.45" customHeight="1">
      <c r="A214" s="2" t="s">
        <v>1052</v>
      </c>
      <c r="B214" s="2" t="s">
        <v>1053</v>
      </c>
      <c r="C214" s="2" t="str">
        <f>sheet1[[#This Row],[Nombre]]&amp;sheet1[[#This Row],[Bp Id]]</f>
        <v>Doka -ComexPRD0016</v>
      </c>
      <c r="D214" s="2" t="str">
        <f>VLOOKUP(sheet1[[#This Row],[Columna1]],sheet13[[Columna1]:[Estado]],4,FALSE)</f>
        <v>Operativo</v>
      </c>
      <c r="E214" s="2" t="s">
        <v>139</v>
      </c>
      <c r="F214" s="2" t="s">
        <v>32</v>
      </c>
      <c r="G214" s="2" t="s">
        <v>76</v>
      </c>
      <c r="H214" s="2" t="s">
        <v>59</v>
      </c>
      <c r="I214" s="2" t="s">
        <v>116</v>
      </c>
      <c r="J214" s="2" t="s">
        <v>62</v>
      </c>
      <c r="K214" s="2" t="s">
        <v>1054</v>
      </c>
      <c r="L214" s="2" t="s">
        <v>118</v>
      </c>
      <c r="M214" s="2" t="s">
        <v>39</v>
      </c>
      <c r="N214" s="2" t="s">
        <v>40</v>
      </c>
      <c r="O214" s="2" t="s">
        <v>41</v>
      </c>
      <c r="P214" s="2" t="s">
        <v>42</v>
      </c>
      <c r="Q214" s="2" t="s">
        <v>53</v>
      </c>
      <c r="R214" s="2" t="s">
        <v>41</v>
      </c>
      <c r="S214" s="2" t="s">
        <v>41</v>
      </c>
      <c r="T214" s="2" t="s">
        <v>1055</v>
      </c>
      <c r="U214" s="3">
        <v>45622</v>
      </c>
      <c r="V214" s="2"/>
      <c r="W214" s="2" t="s">
        <v>101</v>
      </c>
      <c r="X214" s="2" t="s">
        <v>253</v>
      </c>
      <c r="Y214" s="2" t="s">
        <v>147</v>
      </c>
      <c r="Z214" s="2" t="s">
        <v>147</v>
      </c>
      <c r="AA214" s="2" t="s">
        <v>180</v>
      </c>
      <c r="AB214" s="2" t="s">
        <v>129</v>
      </c>
      <c r="AC214" s="2" t="s">
        <v>1056</v>
      </c>
    </row>
    <row r="215" spans="1:29" ht="20.100000000000001" customHeight="1">
      <c r="A215" s="2" t="s">
        <v>1057</v>
      </c>
      <c r="B215" s="2" t="s">
        <v>1058</v>
      </c>
      <c r="C215" s="2" t="str">
        <f>sheet1[[#This Row],[Nombre]]&amp;sheet1[[#This Row],[Bp Id]]</f>
        <v>Dynamic CodesSEC0070</v>
      </c>
      <c r="D215" s="2" t="str">
        <f>VLOOKUP(sheet1[[#This Row],[Columna1]],sheet13[[Columna1]:[Estado]],4,FALSE)</f>
        <v>Operativo</v>
      </c>
      <c r="E215" s="2" t="s">
        <v>589</v>
      </c>
      <c r="F215" s="2" t="s">
        <v>32</v>
      </c>
      <c r="G215" s="2" t="s">
        <v>76</v>
      </c>
      <c r="H215" s="2" t="s">
        <v>34</v>
      </c>
      <c r="I215" s="2" t="s">
        <v>107</v>
      </c>
      <c r="J215" s="2" t="s">
        <v>412</v>
      </c>
      <c r="K215" s="2" t="s">
        <v>176</v>
      </c>
      <c r="L215" s="2" t="s">
        <v>411</v>
      </c>
      <c r="M215" s="2" t="s">
        <v>111</v>
      </c>
      <c r="N215" s="2" t="s">
        <v>40</v>
      </c>
      <c r="O215" s="2" t="s">
        <v>41</v>
      </c>
      <c r="P215" s="2" t="s">
        <v>53</v>
      </c>
      <c r="Q215" s="2" t="s">
        <v>53</v>
      </c>
      <c r="R215" s="2" t="s">
        <v>41</v>
      </c>
      <c r="S215" s="2" t="s">
        <v>41</v>
      </c>
      <c r="T215" s="2"/>
      <c r="U215" s="3">
        <v>45519</v>
      </c>
      <c r="V215" s="2" t="s">
        <v>1059</v>
      </c>
      <c r="W215" s="2" t="s">
        <v>125</v>
      </c>
      <c r="X215" s="2" t="s">
        <v>187</v>
      </c>
      <c r="Y215" s="2" t="s">
        <v>363</v>
      </c>
      <c r="Z215" s="2" t="s">
        <v>363</v>
      </c>
      <c r="AA215" s="2" t="s">
        <v>1060</v>
      </c>
      <c r="AB215" s="2" t="s">
        <v>129</v>
      </c>
      <c r="AC215" s="2" t="s">
        <v>1061</v>
      </c>
    </row>
    <row r="216" spans="1:29" ht="14.45" customHeight="1">
      <c r="A216" s="2" t="s">
        <v>1062</v>
      </c>
      <c r="B216" s="2" t="s">
        <v>1063</v>
      </c>
      <c r="C216" s="2" t="str">
        <f>sheet1[[#This Row],[Nombre]]&amp;sheet1[[#This Row],[Bp Id]]</f>
        <v>DynatraceITM0013</v>
      </c>
      <c r="D216" s="2" t="str">
        <f>VLOOKUP(sheet1[[#This Row],[Columna1]],sheet13[[Columna1]:[Estado]],4,FALSE)</f>
        <v>Operativo</v>
      </c>
      <c r="E216" s="2" t="s">
        <v>1064</v>
      </c>
      <c r="F216" s="2" t="s">
        <v>32</v>
      </c>
      <c r="G216" s="2" t="s">
        <v>76</v>
      </c>
      <c r="H216" s="2" t="s">
        <v>59</v>
      </c>
      <c r="I216" s="2" t="s">
        <v>449</v>
      </c>
      <c r="J216" s="2" t="s">
        <v>884</v>
      </c>
      <c r="K216" s="2" t="s">
        <v>885</v>
      </c>
      <c r="L216" s="2" t="s">
        <v>884</v>
      </c>
      <c r="M216" s="2" t="s">
        <v>52</v>
      </c>
      <c r="N216" s="2" t="s">
        <v>40</v>
      </c>
      <c r="O216" s="2" t="s">
        <v>41</v>
      </c>
      <c r="P216" s="2" t="s">
        <v>64</v>
      </c>
      <c r="Q216" s="2" t="s">
        <v>64</v>
      </c>
      <c r="R216" s="2" t="s">
        <v>41</v>
      </c>
      <c r="S216" s="2" t="s">
        <v>41</v>
      </c>
      <c r="T216" s="2" t="s">
        <v>1065</v>
      </c>
      <c r="U216" s="3">
        <v>45864</v>
      </c>
      <c r="V216" s="2" t="s">
        <v>1066</v>
      </c>
      <c r="W216" s="2" t="s">
        <v>369</v>
      </c>
      <c r="X216" s="2" t="s">
        <v>179</v>
      </c>
      <c r="Y216" s="2" t="s">
        <v>127</v>
      </c>
      <c r="Z216" s="2" t="s">
        <v>127</v>
      </c>
      <c r="AA216" s="2" t="s">
        <v>1067</v>
      </c>
      <c r="AB216" s="2" t="s">
        <v>129</v>
      </c>
      <c r="AC216" s="2" t="s">
        <v>1068</v>
      </c>
    </row>
    <row r="217" spans="1:29" ht="29.1" customHeight="1">
      <c r="A217" s="2" t="s">
        <v>1069</v>
      </c>
      <c r="B217" s="2" t="s">
        <v>1070</v>
      </c>
      <c r="C217" s="2" t="str">
        <f>sheet1[[#This Row],[Nombre]]&amp;sheet1[[#This Row],[Bp Id]]</f>
        <v>EASYCASHCOREPRD0018</v>
      </c>
      <c r="D217" s="2" t="str">
        <f>VLOOKUP(sheet1[[#This Row],[Columna1]],sheet13[[Columna1]:[Estado]],4,FALSE)</f>
        <v>Retirado</v>
      </c>
      <c r="E217" s="2" t="s">
        <v>1071</v>
      </c>
      <c r="F217" s="2" t="s">
        <v>47</v>
      </c>
      <c r="G217" s="2" t="s">
        <v>123</v>
      </c>
      <c r="H217" s="2" t="s">
        <v>34</v>
      </c>
      <c r="I217" s="2" t="s">
        <v>553</v>
      </c>
      <c r="J217" s="2" t="s">
        <v>554</v>
      </c>
      <c r="K217" s="2" t="s">
        <v>721</v>
      </c>
      <c r="L217" s="2" t="s">
        <v>722</v>
      </c>
      <c r="M217" s="2" t="s">
        <v>39</v>
      </c>
      <c r="N217" s="2" t="s">
        <v>40</v>
      </c>
      <c r="O217" s="2" t="s">
        <v>43</v>
      </c>
      <c r="P217" s="2" t="s">
        <v>723</v>
      </c>
      <c r="Q217" s="2" t="s">
        <v>53</v>
      </c>
      <c r="R217" s="2" t="s">
        <v>43</v>
      </c>
      <c r="S217" s="2" t="s">
        <v>43</v>
      </c>
      <c r="T217" s="2"/>
      <c r="U217" s="3"/>
      <c r="V217" s="2"/>
      <c r="W217" s="2"/>
      <c r="X217" s="2"/>
      <c r="Y217" s="2"/>
      <c r="Z217" s="2"/>
      <c r="AA217" s="2"/>
      <c r="AB217" s="2"/>
      <c r="AC217" s="2"/>
    </row>
    <row r="218" spans="1:29" ht="20.100000000000001" customHeight="1">
      <c r="A218" s="2" t="s">
        <v>1072</v>
      </c>
      <c r="B218" s="2" t="s">
        <v>1073</v>
      </c>
      <c r="C218" s="2" t="str">
        <f>sheet1[[#This Row],[Nombre]]&amp;sheet1[[#This Row],[Bp Id]]</f>
        <v>EBSSUP0006</v>
      </c>
      <c r="D218" s="2" t="str">
        <f>VLOOKUP(sheet1[[#This Row],[Columna1]],sheet13[[Columna1]:[Estado]],4,FALSE)</f>
        <v>Operativo</v>
      </c>
      <c r="E218" s="2" t="s">
        <v>1074</v>
      </c>
      <c r="F218" s="2" t="s">
        <v>32</v>
      </c>
      <c r="G218" s="2" t="s">
        <v>48</v>
      </c>
      <c r="H218" s="2" t="s">
        <v>34</v>
      </c>
      <c r="I218" s="2" t="s">
        <v>225</v>
      </c>
      <c r="J218" s="2" t="s">
        <v>226</v>
      </c>
      <c r="K218" s="2" t="s">
        <v>276</v>
      </c>
      <c r="L218" s="2" t="s">
        <v>277</v>
      </c>
      <c r="M218" s="2" t="s">
        <v>39</v>
      </c>
      <c r="N218" s="2" t="s">
        <v>40</v>
      </c>
      <c r="O218" s="2" t="s">
        <v>41</v>
      </c>
      <c r="P218" s="2" t="s">
        <v>53</v>
      </c>
      <c r="Q218" s="2" t="s">
        <v>53</v>
      </c>
      <c r="R218" s="2" t="s">
        <v>41</v>
      </c>
      <c r="S218" s="2" t="s">
        <v>41</v>
      </c>
      <c r="T218" s="2"/>
      <c r="U218" s="3">
        <v>45200</v>
      </c>
      <c r="V218" s="2"/>
      <c r="W218" s="2" t="s">
        <v>590</v>
      </c>
      <c r="X218" s="2" t="s">
        <v>179</v>
      </c>
      <c r="Y218" s="2" t="s">
        <v>147</v>
      </c>
      <c r="Z218" s="2" t="s">
        <v>147</v>
      </c>
      <c r="AA218" s="2" t="s">
        <v>180</v>
      </c>
      <c r="AB218" s="2" t="s">
        <v>129</v>
      </c>
      <c r="AC218" s="2" t="s">
        <v>1075</v>
      </c>
    </row>
    <row r="219" spans="1:29" ht="14.45" customHeight="1">
      <c r="A219" s="2" t="s">
        <v>1076</v>
      </c>
      <c r="B219" s="2" t="s">
        <v>1077</v>
      </c>
      <c r="C219" s="2" t="str">
        <f>sheet1[[#This Row],[Nombre]]&amp;sheet1[[#This Row],[Bp Id]]</f>
        <v>EFT Enterprise SFTPITM0014</v>
      </c>
      <c r="D219" s="2" t="str">
        <f>VLOOKUP(sheet1[[#This Row],[Columna1]],sheet13[[Columna1]:[Estado]],4,FALSE)</f>
        <v>Operativo</v>
      </c>
      <c r="E219" s="2" t="s">
        <v>1078</v>
      </c>
      <c r="F219" s="2" t="s">
        <v>32</v>
      </c>
      <c r="G219" s="2" t="s">
        <v>76</v>
      </c>
      <c r="H219" s="2" t="s">
        <v>34</v>
      </c>
      <c r="I219" s="2" t="s">
        <v>670</v>
      </c>
      <c r="J219" s="2" t="s">
        <v>450</v>
      </c>
      <c r="K219" s="2" t="s">
        <v>865</v>
      </c>
      <c r="L219" s="2" t="s">
        <v>869</v>
      </c>
      <c r="M219" s="2" t="s">
        <v>52</v>
      </c>
      <c r="N219" s="2" t="s">
        <v>40</v>
      </c>
      <c r="O219" s="2" t="s">
        <v>41</v>
      </c>
      <c r="P219" s="2" t="s">
        <v>42</v>
      </c>
      <c r="Q219" s="2" t="s">
        <v>53</v>
      </c>
      <c r="R219" s="2" t="s">
        <v>41</v>
      </c>
      <c r="S219" s="2" t="s">
        <v>41</v>
      </c>
      <c r="T219" s="2"/>
      <c r="U219" s="3">
        <v>45200</v>
      </c>
      <c r="V219" s="2" t="s">
        <v>870</v>
      </c>
      <c r="W219" s="2" t="s">
        <v>262</v>
      </c>
      <c r="X219" s="2" t="s">
        <v>626</v>
      </c>
      <c r="Y219" s="2" t="s">
        <v>311</v>
      </c>
      <c r="Z219" s="2" t="s">
        <v>311</v>
      </c>
      <c r="AA219" s="2" t="s">
        <v>180</v>
      </c>
      <c r="AB219" s="2" t="s">
        <v>129</v>
      </c>
      <c r="AC219" s="2" t="s">
        <v>1079</v>
      </c>
    </row>
    <row r="220" spans="1:29" ht="290.10000000000002" customHeight="1">
      <c r="A220" s="2" t="s">
        <v>1080</v>
      </c>
      <c r="B220" s="2" t="s">
        <v>1081</v>
      </c>
      <c r="C220" s="2" t="str">
        <f>sheet1[[#This Row],[Nombre]]&amp;sheet1[[#This Row],[Bp Id]]</f>
        <v>Elastic (ELK) StackITM0015</v>
      </c>
      <c r="D220" s="2" t="str">
        <f>VLOOKUP(sheet1[[#This Row],[Columna1]],sheet13[[Columna1]:[Estado]],4,FALSE)</f>
        <v>Operativo</v>
      </c>
      <c r="E220" s="2" t="s">
        <v>1082</v>
      </c>
      <c r="F220" s="2" t="s">
        <v>32</v>
      </c>
      <c r="G220" s="2" t="s">
        <v>58</v>
      </c>
      <c r="H220" s="2" t="s">
        <v>34</v>
      </c>
      <c r="I220" s="2" t="s">
        <v>449</v>
      </c>
      <c r="J220" s="2" t="s">
        <v>884</v>
      </c>
      <c r="K220" s="2" t="s">
        <v>885</v>
      </c>
      <c r="L220" s="2" t="s">
        <v>884</v>
      </c>
      <c r="M220" s="2" t="s">
        <v>52</v>
      </c>
      <c r="N220" s="2" t="s">
        <v>40</v>
      </c>
      <c r="O220" s="2" t="s">
        <v>43</v>
      </c>
      <c r="P220" s="2" t="s">
        <v>311</v>
      </c>
      <c r="Q220" s="2" t="s">
        <v>311</v>
      </c>
      <c r="R220" s="2" t="s">
        <v>43</v>
      </c>
      <c r="S220" s="2" t="s">
        <v>43</v>
      </c>
      <c r="T220" s="2" t="s">
        <v>1083</v>
      </c>
      <c r="U220" s="3">
        <v>46108</v>
      </c>
      <c r="V220" s="2" t="s">
        <v>1066</v>
      </c>
      <c r="W220" s="2"/>
      <c r="X220" s="2"/>
      <c r="Y220" s="2"/>
      <c r="Z220" s="2"/>
      <c r="AA220" s="2"/>
      <c r="AB220" s="2"/>
      <c r="AC220" s="2"/>
    </row>
    <row r="221" spans="1:29" ht="20.100000000000001" customHeight="1">
      <c r="A221" s="2" t="s">
        <v>1084</v>
      </c>
      <c r="B221" s="2" t="s">
        <v>1085</v>
      </c>
      <c r="C221" s="2" t="str">
        <f>sheet1[[#This Row],[Nombre]]&amp;sheet1[[#This Row],[Bp Id]]</f>
        <v>Electronic trading - FXSUP0023</v>
      </c>
      <c r="D221" s="2" t="str">
        <f>VLOOKUP(sheet1[[#This Row],[Columna1]],sheet13[[Columna1]:[Estado]],4,FALSE)</f>
        <v>Retirado</v>
      </c>
      <c r="E221" s="2" t="s">
        <v>139</v>
      </c>
      <c r="F221" s="2" t="s">
        <v>47</v>
      </c>
      <c r="G221" s="2" t="s">
        <v>48</v>
      </c>
      <c r="H221" s="2" t="s">
        <v>59</v>
      </c>
      <c r="I221" s="2" t="s">
        <v>1086</v>
      </c>
      <c r="J221" s="2" t="s">
        <v>96</v>
      </c>
      <c r="K221" s="2" t="s">
        <v>117</v>
      </c>
      <c r="L221" s="2" t="s">
        <v>118</v>
      </c>
      <c r="M221" s="2" t="s">
        <v>39</v>
      </c>
      <c r="N221" s="2" t="s">
        <v>40</v>
      </c>
      <c r="O221" s="2" t="s">
        <v>41</v>
      </c>
      <c r="P221" s="2" t="s">
        <v>42</v>
      </c>
      <c r="Q221" s="2" t="s">
        <v>42</v>
      </c>
      <c r="R221" s="2" t="s">
        <v>41</v>
      </c>
      <c r="S221" s="2" t="s">
        <v>43</v>
      </c>
      <c r="T221" s="2"/>
      <c r="U221" s="3"/>
      <c r="V221" s="2"/>
      <c r="W221" s="2"/>
      <c r="X221" s="2"/>
      <c r="Y221" s="2"/>
      <c r="Z221" s="2"/>
      <c r="AA221" s="2"/>
      <c r="AB221" s="2"/>
      <c r="AC221" s="2"/>
    </row>
    <row r="222" spans="1:29" ht="20.100000000000001" customHeight="1">
      <c r="A222" s="2" t="s">
        <v>1087</v>
      </c>
      <c r="B222" s="2" t="s">
        <v>1088</v>
      </c>
      <c r="C222" s="2" t="str">
        <f>sheet1[[#This Row],[Nombre]]&amp;sheet1[[#This Row],[Bp Id]]</f>
        <v>Enforcive Enterprise SecuritySEC0017</v>
      </c>
      <c r="D222" s="2" t="str">
        <f>VLOOKUP(sheet1[[#This Row],[Columna1]],sheet13[[Columna1]:[Estado]],4,FALSE)</f>
        <v>Operativo</v>
      </c>
      <c r="E222" s="2" t="s">
        <v>1089</v>
      </c>
      <c r="F222" s="2" t="s">
        <v>32</v>
      </c>
      <c r="G222" s="2" t="s">
        <v>48</v>
      </c>
      <c r="H222" s="2" t="s">
        <v>34</v>
      </c>
      <c r="I222" s="2" t="s">
        <v>1090</v>
      </c>
      <c r="J222" s="2" t="s">
        <v>70</v>
      </c>
      <c r="K222" s="2" t="s">
        <v>803</v>
      </c>
      <c r="L222" s="2" t="s">
        <v>1091</v>
      </c>
      <c r="M222" s="2" t="s">
        <v>111</v>
      </c>
      <c r="N222" s="2" t="s">
        <v>40</v>
      </c>
      <c r="O222" s="2" t="s">
        <v>41</v>
      </c>
      <c r="P222" s="2" t="s">
        <v>53</v>
      </c>
      <c r="Q222" s="2" t="s">
        <v>53</v>
      </c>
      <c r="R222" s="2" t="s">
        <v>41</v>
      </c>
      <c r="S222" s="2" t="s">
        <v>43</v>
      </c>
      <c r="T222" s="2"/>
      <c r="U222" s="3"/>
      <c r="V222" s="2"/>
      <c r="W222" s="2"/>
      <c r="X222" s="2"/>
      <c r="Y222" s="2"/>
      <c r="Z222" s="2"/>
      <c r="AA222" s="2"/>
      <c r="AB222" s="2"/>
      <c r="AC222" s="2"/>
    </row>
    <row r="223" spans="1:29" ht="20.100000000000001" customHeight="1">
      <c r="A223" s="2" t="s">
        <v>1092</v>
      </c>
      <c r="B223" s="2" t="s">
        <v>1093</v>
      </c>
      <c r="C223" s="2" t="str">
        <f>sheet1[[#This Row],[Nombre]]&amp;sheet1[[#This Row],[Bp Id]]</f>
        <v>Entidad Certificadora INTERNASEC0018</v>
      </c>
      <c r="D223" s="2" t="str">
        <f>VLOOKUP(sheet1[[#This Row],[Columna1]],sheet13[[Columna1]:[Estado]],4,FALSE)</f>
        <v>Operativo</v>
      </c>
      <c r="E223" s="2" t="s">
        <v>1094</v>
      </c>
      <c r="F223" s="2" t="s">
        <v>32</v>
      </c>
      <c r="G223" s="2" t="s">
        <v>48</v>
      </c>
      <c r="H223" s="2" t="s">
        <v>34</v>
      </c>
      <c r="I223" s="2" t="s">
        <v>107</v>
      </c>
      <c r="J223" s="2" t="s">
        <v>185</v>
      </c>
      <c r="K223" s="2" t="s">
        <v>176</v>
      </c>
      <c r="L223" s="2" t="s">
        <v>214</v>
      </c>
      <c r="M223" s="2" t="s">
        <v>111</v>
      </c>
      <c r="N223" s="2" t="s">
        <v>40</v>
      </c>
      <c r="O223" s="2" t="s">
        <v>43</v>
      </c>
      <c r="P223" s="2" t="s">
        <v>53</v>
      </c>
      <c r="Q223" s="2" t="s">
        <v>53</v>
      </c>
      <c r="R223" s="2" t="s">
        <v>43</v>
      </c>
      <c r="S223" s="2" t="s">
        <v>43</v>
      </c>
      <c r="T223" s="2" t="s">
        <v>1095</v>
      </c>
      <c r="U223" s="3"/>
      <c r="V223" s="2"/>
      <c r="W223" s="2"/>
      <c r="X223" s="2"/>
      <c r="Y223" s="2"/>
      <c r="Z223" s="2"/>
      <c r="AA223" s="2"/>
      <c r="AB223" s="2"/>
      <c r="AC223" s="2"/>
    </row>
    <row r="224" spans="1:29" ht="20.100000000000001" customHeight="1">
      <c r="A224" s="2" t="s">
        <v>1096</v>
      </c>
      <c r="B224" s="2" t="s">
        <v>1097</v>
      </c>
      <c r="C224" s="2" t="str">
        <f>sheet1[[#This Row],[Nombre]]&amp;sheet1[[#This Row],[Bp Id]]</f>
        <v>TrellixSEC0019</v>
      </c>
      <c r="D224" s="2" t="str">
        <f>VLOOKUP(sheet1[[#This Row],[Columna1]],sheet13[[Columna1]:[Estado]],4,FALSE)</f>
        <v>Operativo</v>
      </c>
      <c r="E224" s="2" t="s">
        <v>1098</v>
      </c>
      <c r="F224" s="2" t="s">
        <v>32</v>
      </c>
      <c r="G224" s="2" t="s">
        <v>76</v>
      </c>
      <c r="H224" s="2" t="s">
        <v>34</v>
      </c>
      <c r="I224" s="2" t="s">
        <v>107</v>
      </c>
      <c r="J224" s="2" t="s">
        <v>185</v>
      </c>
      <c r="K224" s="2" t="s">
        <v>176</v>
      </c>
      <c r="L224" s="2" t="s">
        <v>175</v>
      </c>
      <c r="M224" s="2" t="s">
        <v>111</v>
      </c>
      <c r="N224" s="2" t="s">
        <v>40</v>
      </c>
      <c r="O224" s="2" t="s">
        <v>41</v>
      </c>
      <c r="P224" s="2" t="s">
        <v>42</v>
      </c>
      <c r="Q224" s="2" t="s">
        <v>53</v>
      </c>
      <c r="R224" s="2" t="s">
        <v>41</v>
      </c>
      <c r="S224" s="2" t="s">
        <v>41</v>
      </c>
      <c r="T224" s="2" t="s">
        <v>1099</v>
      </c>
      <c r="U224" s="3">
        <v>45721</v>
      </c>
      <c r="V224" s="2"/>
      <c r="W224" s="2" t="s">
        <v>146</v>
      </c>
      <c r="X224" s="2" t="s">
        <v>369</v>
      </c>
      <c r="Y224" s="2" t="s">
        <v>127</v>
      </c>
      <c r="Z224" s="2" t="s">
        <v>127</v>
      </c>
      <c r="AA224" s="2" t="s">
        <v>180</v>
      </c>
      <c r="AB224" s="2" t="s">
        <v>129</v>
      </c>
      <c r="AC224" s="2"/>
    </row>
    <row r="225" spans="1:29" ht="20.100000000000001" customHeight="1">
      <c r="A225" s="2" t="s">
        <v>1100</v>
      </c>
      <c r="B225" s="2" t="s">
        <v>1101</v>
      </c>
      <c r="C225" s="2" t="str">
        <f>sheet1[[#This Row],[Nombre]]&amp;sheet1[[#This Row],[Bp Id]]</f>
        <v>ETC PlatformPAY0007</v>
      </c>
      <c r="D225" s="2" t="str">
        <f>VLOOKUP(sheet1[[#This Row],[Columna1]],sheet13[[Columna1]:[Estado]],4,FALSE)</f>
        <v>Retirado</v>
      </c>
      <c r="E225" s="2" t="s">
        <v>139</v>
      </c>
      <c r="F225" s="2" t="s">
        <v>47</v>
      </c>
      <c r="G225" s="2" t="s">
        <v>48</v>
      </c>
      <c r="H225" s="2" t="s">
        <v>140</v>
      </c>
      <c r="I225" s="2" t="s">
        <v>141</v>
      </c>
      <c r="J225" s="2" t="s">
        <v>142</v>
      </c>
      <c r="K225" s="2" t="s">
        <v>142</v>
      </c>
      <c r="L225" s="2" t="s">
        <v>144</v>
      </c>
      <c r="M225" s="2" t="s">
        <v>63</v>
      </c>
      <c r="N225" s="2" t="s">
        <v>40</v>
      </c>
      <c r="O225" s="2" t="s">
        <v>41</v>
      </c>
      <c r="P225" s="2" t="s">
        <v>53</v>
      </c>
      <c r="Q225" s="2" t="s">
        <v>53</v>
      </c>
      <c r="R225" s="2" t="s">
        <v>43</v>
      </c>
      <c r="S225" s="2" t="s">
        <v>43</v>
      </c>
      <c r="T225" s="2"/>
      <c r="U225" s="3"/>
      <c r="V225" s="2"/>
      <c r="W225" s="2"/>
      <c r="X225" s="2"/>
      <c r="Y225" s="2"/>
      <c r="Z225" s="2"/>
      <c r="AA225" s="2"/>
      <c r="AB225" s="2"/>
      <c r="AC225" s="2"/>
    </row>
    <row r="226" spans="1:29" ht="20.100000000000001" customHeight="1">
      <c r="A226" s="2" t="s">
        <v>1102</v>
      </c>
      <c r="B226" s="2" t="s">
        <v>1103</v>
      </c>
      <c r="C226" s="2" t="str">
        <f>sheet1[[#This Row],[Nombre]]&amp;sheet1[[#This Row],[Bp Id]]</f>
        <v>ExcepcionesRIS0005</v>
      </c>
      <c r="D226" s="2" t="str">
        <f>VLOOKUP(sheet1[[#This Row],[Columna1]],sheet13[[Columna1]:[Estado]],4,FALSE)</f>
        <v>Operativo</v>
      </c>
      <c r="E226" s="2" t="s">
        <v>1104</v>
      </c>
      <c r="F226" s="2" t="s">
        <v>32</v>
      </c>
      <c r="G226" s="2" t="s">
        <v>48</v>
      </c>
      <c r="H226" s="2" t="s">
        <v>34</v>
      </c>
      <c r="I226" s="2" t="s">
        <v>320</v>
      </c>
      <c r="J226" s="2" t="s">
        <v>321</v>
      </c>
      <c r="K226" s="2" t="s">
        <v>672</v>
      </c>
      <c r="L226" s="2" t="s">
        <v>323</v>
      </c>
      <c r="M226" s="2" t="s">
        <v>39</v>
      </c>
      <c r="N226" s="2" t="s">
        <v>40</v>
      </c>
      <c r="O226" s="2" t="s">
        <v>41</v>
      </c>
      <c r="P226" s="2" t="s">
        <v>42</v>
      </c>
      <c r="Q226" s="2" t="s">
        <v>53</v>
      </c>
      <c r="R226" s="2" t="s">
        <v>41</v>
      </c>
      <c r="S226" s="2" t="s">
        <v>41</v>
      </c>
      <c r="T226" s="2" t="s">
        <v>1105</v>
      </c>
      <c r="U226" s="3">
        <v>45199</v>
      </c>
      <c r="V226" s="2"/>
      <c r="W226" s="2" t="s">
        <v>100</v>
      </c>
      <c r="X226" s="2" t="s">
        <v>101</v>
      </c>
      <c r="Y226" s="2"/>
      <c r="Z226" s="2"/>
      <c r="AA226" s="2"/>
      <c r="AB226" s="2"/>
      <c r="AC226" s="2"/>
    </row>
    <row r="227" spans="1:29" ht="29.1" customHeight="1">
      <c r="A227" s="2" t="s">
        <v>1106</v>
      </c>
      <c r="B227" s="2" t="s">
        <v>1107</v>
      </c>
      <c r="C227" s="2" t="str">
        <f>sheet1[[#This Row],[Nombre]]&amp;sheet1[[#This Row],[Bp Id]]</f>
        <v>Exchange Server 2016ITM0017</v>
      </c>
      <c r="D227" s="2" t="str">
        <f>VLOOKUP(sheet1[[#This Row],[Columna1]],sheet13[[Columna1]:[Estado]],4,FALSE)</f>
        <v>Operativo</v>
      </c>
      <c r="E227" s="2" t="s">
        <v>1108</v>
      </c>
      <c r="F227" s="2" t="s">
        <v>32</v>
      </c>
      <c r="G227" s="2" t="s">
        <v>123</v>
      </c>
      <c r="H227" s="2" t="s">
        <v>34</v>
      </c>
      <c r="I227" s="2" t="s">
        <v>68</v>
      </c>
      <c r="J227" s="2" t="s">
        <v>69</v>
      </c>
      <c r="K227" s="2" t="s">
        <v>82</v>
      </c>
      <c r="L227" s="2" t="s">
        <v>335</v>
      </c>
      <c r="M227" s="2" t="s">
        <v>111</v>
      </c>
      <c r="N227" s="2" t="s">
        <v>40</v>
      </c>
      <c r="O227" s="2" t="s">
        <v>41</v>
      </c>
      <c r="P227" s="2" t="s">
        <v>42</v>
      </c>
      <c r="Q227" s="2" t="s">
        <v>42</v>
      </c>
      <c r="R227" s="2" t="s">
        <v>41</v>
      </c>
      <c r="S227" s="2" t="s">
        <v>41</v>
      </c>
      <c r="T227" s="2" t="s">
        <v>1109</v>
      </c>
      <c r="U227" s="3">
        <v>45200</v>
      </c>
      <c r="V227" s="2"/>
      <c r="W227" s="2" t="s">
        <v>146</v>
      </c>
      <c r="X227" s="2" t="s">
        <v>125</v>
      </c>
      <c r="Y227" s="2" t="s">
        <v>147</v>
      </c>
      <c r="Z227" s="2" t="s">
        <v>311</v>
      </c>
      <c r="AA227" s="2" t="s">
        <v>263</v>
      </c>
      <c r="AB227" s="2" t="s">
        <v>129</v>
      </c>
      <c r="AC227" s="2" t="s">
        <v>1110</v>
      </c>
    </row>
    <row r="228" spans="1:29" ht="20.100000000000001" customHeight="1">
      <c r="A228" s="2" t="s">
        <v>1111</v>
      </c>
      <c r="B228" s="2" t="s">
        <v>1112</v>
      </c>
      <c r="C228" s="2" t="str">
        <f>sheet1[[#This Row],[Nombre]]&amp;sheet1[[#This Row],[Bp Id]]</f>
        <v>Fabrica de ProductoPRD0065</v>
      </c>
      <c r="D228" s="2" t="str">
        <f>VLOOKUP(sheet1[[#This Row],[Columna1]],sheet13[[Columna1]:[Estado]],4,FALSE)</f>
        <v>Operativo</v>
      </c>
      <c r="E228" s="2" t="s">
        <v>1113</v>
      </c>
      <c r="F228" s="2" t="s">
        <v>32</v>
      </c>
      <c r="G228" s="2" t="s">
        <v>48</v>
      </c>
      <c r="H228" s="2" t="s">
        <v>59</v>
      </c>
      <c r="I228" s="2" t="s">
        <v>167</v>
      </c>
      <c r="J228" s="2" t="s">
        <v>96</v>
      </c>
      <c r="K228" s="2" t="s">
        <v>1114</v>
      </c>
      <c r="L228" s="2" t="s">
        <v>169</v>
      </c>
      <c r="M228" s="2" t="s">
        <v>39</v>
      </c>
      <c r="N228" s="2"/>
      <c r="O228" s="2"/>
      <c r="P228" s="2"/>
      <c r="Q228" s="2"/>
      <c r="R228" s="2"/>
      <c r="S228" s="2"/>
      <c r="T228" s="2"/>
      <c r="U228" s="3"/>
      <c r="V228" s="2"/>
      <c r="W228" s="2"/>
      <c r="X228" s="2"/>
      <c r="Y228" s="2"/>
      <c r="Z228" s="2"/>
      <c r="AA228" s="2"/>
      <c r="AB228" s="2"/>
      <c r="AC228" s="2"/>
    </row>
    <row r="229" spans="1:29" ht="14.45" customHeight="1">
      <c r="A229" s="2" t="s">
        <v>1115</v>
      </c>
      <c r="B229" s="2" t="s">
        <v>1116</v>
      </c>
      <c r="C229" s="2" t="str">
        <f>sheet1[[#This Row],[Nombre]]&amp;sheet1[[#This Row],[Bp Id]]</f>
        <v>FacephiSEC0020</v>
      </c>
      <c r="D229" s="2" t="str">
        <f>VLOOKUP(sheet1[[#This Row],[Columna1]],sheet13[[Columna1]:[Estado]],4,FALSE)</f>
        <v>Operativo</v>
      </c>
      <c r="E229" s="2" t="s">
        <v>1117</v>
      </c>
      <c r="F229" s="2" t="s">
        <v>32</v>
      </c>
      <c r="G229" s="2" t="s">
        <v>123</v>
      </c>
      <c r="H229" s="2" t="s">
        <v>59</v>
      </c>
      <c r="I229" s="2" t="s">
        <v>258</v>
      </c>
      <c r="J229" s="2" t="s">
        <v>214</v>
      </c>
      <c r="K229" s="2" t="s">
        <v>438</v>
      </c>
      <c r="L229" s="2" t="s">
        <v>261</v>
      </c>
      <c r="M229" s="2" t="s">
        <v>111</v>
      </c>
      <c r="N229" s="2" t="s">
        <v>40</v>
      </c>
      <c r="O229" s="2" t="s">
        <v>43</v>
      </c>
      <c r="P229" s="2" t="s">
        <v>64</v>
      </c>
      <c r="Q229" s="2" t="s">
        <v>64</v>
      </c>
      <c r="R229" s="2" t="s">
        <v>43</v>
      </c>
      <c r="S229" s="2" t="s">
        <v>43</v>
      </c>
      <c r="T229" s="2" t="s">
        <v>1118</v>
      </c>
      <c r="U229" s="3">
        <v>45988</v>
      </c>
      <c r="V229" s="2" t="s">
        <v>660</v>
      </c>
      <c r="W229" s="2"/>
      <c r="X229" s="2"/>
      <c r="Y229" s="2"/>
      <c r="Z229" s="2"/>
      <c r="AA229" s="2"/>
      <c r="AB229" s="2"/>
      <c r="AC229" s="2"/>
    </row>
    <row r="230" spans="1:29" ht="20.100000000000001" customHeight="1">
      <c r="A230" s="2" t="s">
        <v>1119</v>
      </c>
      <c r="B230" s="2" t="s">
        <v>1120</v>
      </c>
      <c r="C230" s="2" t="str">
        <f>sheet1[[#This Row],[Nombre]]&amp;sheet1[[#This Row],[Bp Id]]</f>
        <v>Facturación ElectrónicaGOB0012</v>
      </c>
      <c r="D230" s="2" t="str">
        <f>VLOOKUP(sheet1[[#This Row],[Columna1]],sheet13[[Columna1]:[Estado]],4,FALSE)</f>
        <v>Operativo</v>
      </c>
      <c r="E230" s="2" t="s">
        <v>1121</v>
      </c>
      <c r="F230" s="2" t="s">
        <v>32</v>
      </c>
      <c r="G230" s="2" t="s">
        <v>48</v>
      </c>
      <c r="H230" s="2" t="s">
        <v>59</v>
      </c>
      <c r="I230" s="2" t="s">
        <v>225</v>
      </c>
      <c r="J230" s="2" t="s">
        <v>226</v>
      </c>
      <c r="K230" s="2" t="s">
        <v>276</v>
      </c>
      <c r="L230" s="2" t="s">
        <v>277</v>
      </c>
      <c r="M230" s="2" t="s">
        <v>39</v>
      </c>
      <c r="N230" s="2" t="s">
        <v>40</v>
      </c>
      <c r="O230" s="2" t="s">
        <v>41</v>
      </c>
      <c r="P230" s="2" t="s">
        <v>42</v>
      </c>
      <c r="Q230" s="2" t="s">
        <v>42</v>
      </c>
      <c r="R230" s="2" t="s">
        <v>41</v>
      </c>
      <c r="S230" s="2" t="s">
        <v>41</v>
      </c>
      <c r="T230" s="2" t="s">
        <v>1122</v>
      </c>
      <c r="U230" s="3">
        <v>45200</v>
      </c>
      <c r="V230" s="2"/>
      <c r="W230" s="2" t="s">
        <v>125</v>
      </c>
      <c r="X230" s="2" t="s">
        <v>262</v>
      </c>
      <c r="Y230" s="2" t="s">
        <v>147</v>
      </c>
      <c r="Z230" s="2" t="s">
        <v>127</v>
      </c>
      <c r="AA230" s="2"/>
      <c r="AB230" s="2" t="s">
        <v>129</v>
      </c>
      <c r="AC230" s="2" t="s">
        <v>1123</v>
      </c>
    </row>
    <row r="231" spans="1:29" ht="20.100000000000001" customHeight="1">
      <c r="A231" s="2" t="s">
        <v>1124</v>
      </c>
      <c r="B231" s="2" t="s">
        <v>1125</v>
      </c>
      <c r="C231" s="2" t="str">
        <f>sheet1[[#This Row],[Nombre]]&amp;sheet1[[#This Row],[Bp Id]]</f>
        <v>FigmaEDC0002</v>
      </c>
      <c r="D231" s="2" t="str">
        <f>VLOOKUP(sheet1[[#This Row],[Columna1]],sheet13[[Columna1]:[Estado]],4,FALSE)</f>
        <v>Operativo</v>
      </c>
      <c r="E231" s="2" t="s">
        <v>1126</v>
      </c>
      <c r="F231" s="2" t="s">
        <v>32</v>
      </c>
      <c r="G231" s="2" t="s">
        <v>48</v>
      </c>
      <c r="H231" s="2" t="s">
        <v>59</v>
      </c>
      <c r="I231" s="2" t="s">
        <v>294</v>
      </c>
      <c r="J231" s="2" t="s">
        <v>880</v>
      </c>
      <c r="K231" s="2"/>
      <c r="L231" s="2"/>
      <c r="M231" s="2" t="s">
        <v>296</v>
      </c>
      <c r="N231" s="2" t="s">
        <v>40</v>
      </c>
      <c r="O231" s="2" t="s">
        <v>43</v>
      </c>
      <c r="P231" s="2" t="s">
        <v>53</v>
      </c>
      <c r="Q231" s="2" t="s">
        <v>53</v>
      </c>
      <c r="R231" s="2" t="s">
        <v>43</v>
      </c>
      <c r="S231" s="2" t="s">
        <v>43</v>
      </c>
      <c r="T231" s="2"/>
      <c r="U231" s="3"/>
      <c r="V231" s="2"/>
      <c r="W231" s="2"/>
      <c r="X231" s="2"/>
      <c r="Y231" s="2"/>
      <c r="Z231" s="2"/>
      <c r="AA231" s="2"/>
      <c r="AB231" s="2"/>
      <c r="AC231" s="2"/>
    </row>
    <row r="232" spans="1:29" ht="14.45" customHeight="1">
      <c r="A232" s="2" t="s">
        <v>1127</v>
      </c>
      <c r="B232" s="2" t="s">
        <v>1128</v>
      </c>
      <c r="C232" s="2" t="str">
        <f>sheet1[[#This Row],[Nombre]]&amp;sheet1[[#This Row],[Bp Id]]</f>
        <v>File serverITM0018</v>
      </c>
      <c r="D232" s="2" t="str">
        <f>VLOOKUP(sheet1[[#This Row],[Columna1]],sheet13[[Columna1]:[Estado]],4,FALSE)</f>
        <v>Operativo</v>
      </c>
      <c r="E232" s="2" t="s">
        <v>1129</v>
      </c>
      <c r="F232" s="2" t="s">
        <v>32</v>
      </c>
      <c r="G232" s="2" t="s">
        <v>48</v>
      </c>
      <c r="H232" s="2" t="s">
        <v>34</v>
      </c>
      <c r="I232" s="2" t="s">
        <v>68</v>
      </c>
      <c r="J232" s="2" t="s">
        <v>69</v>
      </c>
      <c r="K232" s="2" t="s">
        <v>82</v>
      </c>
      <c r="L232" s="2" t="s">
        <v>898</v>
      </c>
      <c r="M232" s="2" t="s">
        <v>111</v>
      </c>
      <c r="N232" s="2" t="s">
        <v>40</v>
      </c>
      <c r="O232" s="2" t="s">
        <v>43</v>
      </c>
      <c r="P232" s="2" t="s">
        <v>42</v>
      </c>
      <c r="Q232" s="2" t="s">
        <v>42</v>
      </c>
      <c r="R232" s="2" t="s">
        <v>43</v>
      </c>
      <c r="S232" s="2" t="s">
        <v>43</v>
      </c>
      <c r="T232" s="2" t="s">
        <v>1130</v>
      </c>
      <c r="U232" s="3">
        <v>45200</v>
      </c>
      <c r="V232" s="2" t="s">
        <v>1131</v>
      </c>
      <c r="W232" s="2" t="s">
        <v>125</v>
      </c>
      <c r="X232" s="2" t="s">
        <v>262</v>
      </c>
      <c r="Y232" s="2" t="s">
        <v>147</v>
      </c>
      <c r="Z232" s="2" t="s">
        <v>311</v>
      </c>
      <c r="AA232" s="2" t="s">
        <v>376</v>
      </c>
      <c r="AB232" s="2" t="s">
        <v>129</v>
      </c>
      <c r="AC232" s="2"/>
    </row>
    <row r="233" spans="1:29" ht="20.100000000000001" customHeight="1">
      <c r="A233" s="2" t="s">
        <v>1132</v>
      </c>
      <c r="B233" s="2" t="s">
        <v>1133</v>
      </c>
      <c r="C233" s="2" t="str">
        <f>sheet1[[#This Row],[Nombre]]&amp;sheet1[[#This Row],[Bp Id]]</f>
        <v>File Server - RespaldosITM0019</v>
      </c>
      <c r="D233" s="2" t="str">
        <f>VLOOKUP(sheet1[[#This Row],[Columna1]],sheet13[[Columna1]:[Estado]],4,FALSE)</f>
        <v>Retirado</v>
      </c>
      <c r="E233" s="2" t="s">
        <v>139</v>
      </c>
      <c r="F233" s="2" t="s">
        <v>47</v>
      </c>
      <c r="G233" s="2" t="s">
        <v>48</v>
      </c>
      <c r="H233" s="2" t="s">
        <v>34</v>
      </c>
      <c r="I233" s="2" t="s">
        <v>68</v>
      </c>
      <c r="J233" s="2" t="s">
        <v>236</v>
      </c>
      <c r="K233" s="2" t="s">
        <v>82</v>
      </c>
      <c r="L233" s="2" t="s">
        <v>82</v>
      </c>
      <c r="M233" s="2" t="s">
        <v>296</v>
      </c>
      <c r="N233" s="2" t="s">
        <v>40</v>
      </c>
      <c r="O233" s="2" t="s">
        <v>41</v>
      </c>
      <c r="P233" s="2" t="s">
        <v>533</v>
      </c>
      <c r="Q233" s="2" t="s">
        <v>42</v>
      </c>
      <c r="R233" s="2" t="s">
        <v>43</v>
      </c>
      <c r="S233" s="2" t="s">
        <v>43</v>
      </c>
      <c r="T233" s="2"/>
      <c r="U233" s="3"/>
      <c r="V233" s="2"/>
      <c r="W233" s="2"/>
      <c r="X233" s="2"/>
      <c r="Y233" s="2"/>
      <c r="Z233" s="2"/>
      <c r="AA233" s="2"/>
      <c r="AB233" s="2"/>
      <c r="AC233" s="2"/>
    </row>
    <row r="234" spans="1:29" ht="29.1" customHeight="1">
      <c r="A234" s="2" t="s">
        <v>1134</v>
      </c>
      <c r="B234" s="2" t="s">
        <v>1135</v>
      </c>
      <c r="C234" s="2" t="str">
        <f>sheet1[[#This Row],[Nombre]]&amp;sheet1[[#This Row],[Bp Id]]</f>
        <v>FileUpdate (TOTEM)COR0001</v>
      </c>
      <c r="D234" s="2" t="str">
        <f>VLOOKUP(sheet1[[#This Row],[Columna1]],sheet13[[Columna1]:[Estado]],4,FALSE)</f>
        <v>Operativo</v>
      </c>
      <c r="E234" s="2" t="s">
        <v>1136</v>
      </c>
      <c r="F234" s="2" t="s">
        <v>32</v>
      </c>
      <c r="G234" s="2" t="s">
        <v>76</v>
      </c>
      <c r="H234" s="2" t="s">
        <v>34</v>
      </c>
      <c r="I234" s="2" t="s">
        <v>339</v>
      </c>
      <c r="J234" s="2" t="s">
        <v>50</v>
      </c>
      <c r="K234" s="2" t="s">
        <v>634</v>
      </c>
      <c r="L234" s="2" t="s">
        <v>50</v>
      </c>
      <c r="M234" s="2" t="s">
        <v>39</v>
      </c>
      <c r="N234" s="2" t="s">
        <v>40</v>
      </c>
      <c r="O234" s="2" t="s">
        <v>41</v>
      </c>
      <c r="P234" s="2" t="s">
        <v>42</v>
      </c>
      <c r="Q234" s="2" t="s">
        <v>42</v>
      </c>
      <c r="R234" s="2" t="s">
        <v>41</v>
      </c>
      <c r="S234" s="2" t="s">
        <v>43</v>
      </c>
      <c r="T234" s="2"/>
      <c r="U234" s="3"/>
      <c r="V234" s="2"/>
      <c r="W234" s="2"/>
      <c r="X234" s="2"/>
      <c r="Y234" s="2"/>
      <c r="Z234" s="2"/>
      <c r="AA234" s="2"/>
      <c r="AB234" s="2"/>
      <c r="AC234" s="2"/>
    </row>
    <row r="235" spans="1:29" ht="20.100000000000001" customHeight="1">
      <c r="A235" s="2" t="s">
        <v>1137</v>
      </c>
      <c r="B235" s="2" t="s">
        <v>1138</v>
      </c>
      <c r="C235" s="2" t="str">
        <f>sheet1[[#This Row],[Nombre]]&amp;sheet1[[#This Row],[Bp Id]]</f>
        <v>FIREEYE 5500_NX2SEC0066</v>
      </c>
      <c r="D235" s="2" t="str">
        <f>VLOOKUP(sheet1[[#This Row],[Columna1]],sheet13[[Columna1]:[Estado]],4,FALSE)</f>
        <v>Retirado</v>
      </c>
      <c r="E235" s="2" t="s">
        <v>432</v>
      </c>
      <c r="F235" s="2" t="s">
        <v>47</v>
      </c>
      <c r="G235" s="2" t="s">
        <v>48</v>
      </c>
      <c r="H235" s="2" t="s">
        <v>34</v>
      </c>
      <c r="I235" s="2" t="s">
        <v>107</v>
      </c>
      <c r="J235" s="2" t="s">
        <v>176</v>
      </c>
      <c r="K235" s="2"/>
      <c r="L235" s="2" t="s">
        <v>803</v>
      </c>
      <c r="M235" s="2" t="s">
        <v>111</v>
      </c>
      <c r="N235" s="2" t="s">
        <v>40</v>
      </c>
      <c r="O235" s="2" t="s">
        <v>41</v>
      </c>
      <c r="P235" s="2" t="s">
        <v>42</v>
      </c>
      <c r="Q235" s="2" t="s">
        <v>42</v>
      </c>
      <c r="R235" s="2" t="s">
        <v>41</v>
      </c>
      <c r="S235" s="2" t="s">
        <v>43</v>
      </c>
      <c r="T235" s="2"/>
      <c r="U235" s="3"/>
      <c r="V235" s="2"/>
      <c r="W235" s="2"/>
      <c r="X235" s="2"/>
      <c r="Y235" s="2"/>
      <c r="Z235" s="2"/>
      <c r="AA235" s="2"/>
      <c r="AB235" s="2"/>
      <c r="AC235" s="2"/>
    </row>
    <row r="236" spans="1:29" ht="20.100000000000001" customHeight="1">
      <c r="A236" s="2" t="s">
        <v>1139</v>
      </c>
      <c r="B236" s="2" t="s">
        <v>1140</v>
      </c>
      <c r="C236" s="2" t="str">
        <f>sheet1[[#This Row],[Nombre]]&amp;sheet1[[#This Row],[Bp Id]]</f>
        <v>Notificador CloudTIE0021</v>
      </c>
      <c r="D236" s="2" t="str">
        <f>VLOOKUP(sheet1[[#This Row],[Columna1]],sheet13[[Columna1]:[Estado]],4,FALSE)</f>
        <v>Operativo</v>
      </c>
      <c r="E236" s="2" t="s">
        <v>432</v>
      </c>
      <c r="F236" s="2" t="s">
        <v>32</v>
      </c>
      <c r="G236" s="2" t="s">
        <v>123</v>
      </c>
      <c r="H236" s="2" t="s">
        <v>59</v>
      </c>
      <c r="I236" s="2" t="s">
        <v>49</v>
      </c>
      <c r="J236" s="2" t="s">
        <v>50</v>
      </c>
      <c r="K236" s="2" t="s">
        <v>340</v>
      </c>
      <c r="L236" s="2" t="s">
        <v>1141</v>
      </c>
      <c r="M236" s="2" t="s">
        <v>63</v>
      </c>
      <c r="N236" s="2" t="s">
        <v>40</v>
      </c>
      <c r="O236" s="2" t="s">
        <v>43</v>
      </c>
      <c r="P236" s="2" t="s">
        <v>53</v>
      </c>
      <c r="Q236" s="2" t="s">
        <v>53</v>
      </c>
      <c r="R236" s="2" t="s">
        <v>43</v>
      </c>
      <c r="S236" s="2" t="s">
        <v>43</v>
      </c>
      <c r="T236" s="2"/>
      <c r="U236" s="3"/>
      <c r="V236" s="2"/>
      <c r="W236" s="2"/>
      <c r="X236" s="2"/>
      <c r="Y236" s="2"/>
      <c r="Z236" s="2"/>
      <c r="AA236" s="2"/>
      <c r="AB236" s="2"/>
      <c r="AC236" s="2"/>
    </row>
    <row r="237" spans="1:29" ht="20.100000000000001" customHeight="1">
      <c r="A237" s="2" t="s">
        <v>1142</v>
      </c>
      <c r="B237" s="2" t="s">
        <v>1143</v>
      </c>
      <c r="C237" s="2" t="str">
        <f>sheet1[[#This Row],[Nombre]]&amp;sheet1[[#This Row],[Bp Id]]</f>
        <v>NovoadminPAY0013</v>
      </c>
      <c r="D237" s="2" t="str">
        <f>VLOOKUP(sheet1[[#This Row],[Columna1]],sheet13[[Columna1]:[Estado]],4,FALSE)</f>
        <v>Operativo</v>
      </c>
      <c r="E237" s="2" t="s">
        <v>139</v>
      </c>
      <c r="F237" s="2" t="s">
        <v>32</v>
      </c>
      <c r="G237" s="2" t="s">
        <v>58</v>
      </c>
      <c r="H237" s="2" t="s">
        <v>140</v>
      </c>
      <c r="I237" s="2" t="s">
        <v>141</v>
      </c>
      <c r="J237" s="2" t="s">
        <v>151</v>
      </c>
      <c r="K237" s="2" t="s">
        <v>564</v>
      </c>
      <c r="L237" s="2" t="s">
        <v>565</v>
      </c>
      <c r="M237" s="2" t="s">
        <v>39</v>
      </c>
      <c r="N237" s="2" t="s">
        <v>91</v>
      </c>
      <c r="O237" s="2" t="s">
        <v>41</v>
      </c>
      <c r="P237" s="2" t="s">
        <v>53</v>
      </c>
      <c r="Q237" s="2" t="s">
        <v>311</v>
      </c>
      <c r="R237" s="2" t="s">
        <v>43</v>
      </c>
      <c r="S237" s="2" t="s">
        <v>43</v>
      </c>
      <c r="T237" s="2"/>
      <c r="U237" s="3"/>
      <c r="V237" s="2"/>
      <c r="W237" s="2"/>
      <c r="X237" s="2"/>
      <c r="Y237" s="2"/>
      <c r="Z237" s="2"/>
      <c r="AA237" s="2"/>
      <c r="AB237" s="2"/>
      <c r="AC237" s="2"/>
    </row>
    <row r="238" spans="1:29" ht="20.100000000000001" customHeight="1">
      <c r="A238" s="2" t="s">
        <v>1144</v>
      </c>
      <c r="B238" s="2" t="s">
        <v>1145</v>
      </c>
      <c r="C238" s="2" t="str">
        <f>sheet1[[#This Row],[Nombre]]&amp;sheet1[[#This Row],[Bp Id]]</f>
        <v>Nutanix CVMITM0084</v>
      </c>
      <c r="D238" s="2" t="str">
        <f>VLOOKUP(sheet1[[#This Row],[Columna1]],sheet13[[Columna1]:[Estado]],4,FALSE)</f>
        <v>Operativo</v>
      </c>
      <c r="E238" s="2" t="s">
        <v>1146</v>
      </c>
      <c r="F238" s="2" t="s">
        <v>32</v>
      </c>
      <c r="G238" s="2" t="s">
        <v>48</v>
      </c>
      <c r="H238" s="2" t="s">
        <v>34</v>
      </c>
      <c r="I238" s="2" t="s">
        <v>68</v>
      </c>
      <c r="J238" s="2" t="s">
        <v>69</v>
      </c>
      <c r="K238" s="2" t="s">
        <v>82</v>
      </c>
      <c r="L238" s="2" t="s">
        <v>1147</v>
      </c>
      <c r="M238" s="2" t="s">
        <v>161</v>
      </c>
      <c r="N238" s="2" t="s">
        <v>40</v>
      </c>
      <c r="O238" s="2" t="s">
        <v>43</v>
      </c>
      <c r="P238" s="2" t="s">
        <v>53</v>
      </c>
      <c r="Q238" s="2" t="s">
        <v>53</v>
      </c>
      <c r="R238" s="2" t="s">
        <v>43</v>
      </c>
      <c r="S238" s="2" t="s">
        <v>43</v>
      </c>
      <c r="T238" s="2" t="s">
        <v>1148</v>
      </c>
      <c r="U238" s="3"/>
      <c r="V238" s="2"/>
      <c r="W238" s="2"/>
      <c r="X238" s="2"/>
      <c r="Y238" s="2"/>
      <c r="Z238" s="2"/>
      <c r="AA238" s="2"/>
      <c r="AB238" s="2"/>
      <c r="AC238" s="2"/>
    </row>
    <row r="239" spans="1:29" ht="20.100000000000001" customHeight="1">
      <c r="A239" s="2" t="s">
        <v>1149</v>
      </c>
      <c r="B239" s="2" t="s">
        <v>1150</v>
      </c>
      <c r="C239" s="2" t="str">
        <f>sheet1[[#This Row],[Nombre]]&amp;sheet1[[#This Row],[Bp Id]]</f>
        <v>Colector de Eventos SOC (NXLog)SEC0050</v>
      </c>
      <c r="D239" s="2" t="str">
        <f>VLOOKUP(sheet1[[#This Row],[Columna1]],sheet13[[Columna1]:[Estado]],4,FALSE)</f>
        <v>Operativo</v>
      </c>
      <c r="E239" s="2" t="s">
        <v>1151</v>
      </c>
      <c r="F239" s="2" t="s">
        <v>32</v>
      </c>
      <c r="G239" s="2" t="s">
        <v>76</v>
      </c>
      <c r="H239" s="2" t="s">
        <v>34</v>
      </c>
      <c r="I239" s="2" t="s">
        <v>107</v>
      </c>
      <c r="J239" s="2" t="s">
        <v>175</v>
      </c>
      <c r="K239" s="2" t="s">
        <v>176</v>
      </c>
      <c r="L239" s="2" t="s">
        <v>1152</v>
      </c>
      <c r="M239" s="2" t="s">
        <v>111</v>
      </c>
      <c r="N239" s="2" t="s">
        <v>40</v>
      </c>
      <c r="O239" s="2" t="s">
        <v>41</v>
      </c>
      <c r="P239" s="2" t="s">
        <v>42</v>
      </c>
      <c r="Q239" s="2" t="s">
        <v>53</v>
      </c>
      <c r="R239" s="2" t="s">
        <v>41</v>
      </c>
      <c r="S239" s="2" t="s">
        <v>41</v>
      </c>
      <c r="T239" s="2"/>
      <c r="U239" s="3">
        <v>45630</v>
      </c>
      <c r="V239" s="2" t="s">
        <v>178</v>
      </c>
      <c r="W239" s="2" t="s">
        <v>375</v>
      </c>
      <c r="X239" s="2" t="s">
        <v>375</v>
      </c>
      <c r="Y239" s="2" t="s">
        <v>127</v>
      </c>
      <c r="Z239" s="2" t="s">
        <v>127</v>
      </c>
      <c r="AA239" s="2" t="s">
        <v>180</v>
      </c>
      <c r="AB239" s="2" t="s">
        <v>129</v>
      </c>
      <c r="AC239" s="2" t="s">
        <v>1153</v>
      </c>
    </row>
    <row r="240" spans="1:29" ht="57.95" customHeight="1">
      <c r="A240" s="2" t="s">
        <v>1154</v>
      </c>
      <c r="B240" s="2" t="s">
        <v>1155</v>
      </c>
      <c r="C240" s="2" t="str">
        <f>sheet1[[#This Row],[Nombre]]&amp;sheet1[[#This Row],[Bp Id]]</f>
        <v>OCTOPUSSEC0072</v>
      </c>
      <c r="D240" s="2" t="str">
        <f>VLOOKUP(sheet1[[#This Row],[Columna1]],sheet13[[Columna1]:[Estado]],4,FALSE)</f>
        <v>Operativo</v>
      </c>
      <c r="E240" s="2" t="s">
        <v>1156</v>
      </c>
      <c r="F240" s="2" t="s">
        <v>32</v>
      </c>
      <c r="G240" s="2" t="s">
        <v>48</v>
      </c>
      <c r="H240" s="2" t="s">
        <v>345</v>
      </c>
      <c r="I240" s="2" t="s">
        <v>107</v>
      </c>
      <c r="J240" s="2" t="s">
        <v>412</v>
      </c>
      <c r="K240" s="2" t="s">
        <v>176</v>
      </c>
      <c r="L240" s="2" t="s">
        <v>546</v>
      </c>
      <c r="M240" s="2" t="s">
        <v>111</v>
      </c>
      <c r="N240" s="2" t="s">
        <v>40</v>
      </c>
      <c r="O240" s="2" t="s">
        <v>41</v>
      </c>
      <c r="P240" s="2" t="s">
        <v>64</v>
      </c>
      <c r="Q240" s="2" t="s">
        <v>53</v>
      </c>
      <c r="R240" s="2" t="s">
        <v>41</v>
      </c>
      <c r="S240" s="2" t="s">
        <v>41</v>
      </c>
      <c r="T240" s="2"/>
      <c r="U240" s="3">
        <v>46233</v>
      </c>
      <c r="V240" s="2"/>
      <c r="W240" s="2" t="s">
        <v>851</v>
      </c>
      <c r="X240" s="2" t="s">
        <v>252</v>
      </c>
      <c r="Y240" s="2"/>
      <c r="Z240" s="2"/>
      <c r="AA240" s="2"/>
      <c r="AB240" s="2"/>
      <c r="AC240" s="2"/>
    </row>
    <row r="241" spans="1:29" ht="20.100000000000001" customHeight="1">
      <c r="A241" s="2" t="s">
        <v>1157</v>
      </c>
      <c r="B241" s="2" t="s">
        <v>1158</v>
      </c>
      <c r="C241" s="2" t="str">
        <f>sheet1[[#This Row],[Nombre]]&amp;sheet1[[#This Row],[Bp Id]]</f>
        <v>OEM Cloud ControlITM0044</v>
      </c>
      <c r="D241" s="2" t="str">
        <f>VLOOKUP(sheet1[[#This Row],[Columna1]],sheet13[[Columna1]:[Estado]],4,FALSE)</f>
        <v>Operativo</v>
      </c>
      <c r="E241" s="2" t="s">
        <v>1159</v>
      </c>
      <c r="F241" s="2" t="s">
        <v>32</v>
      </c>
      <c r="G241" s="2" t="s">
        <v>58</v>
      </c>
      <c r="H241" s="2" t="s">
        <v>34</v>
      </c>
      <c r="I241" s="2" t="s">
        <v>68</v>
      </c>
      <c r="J241" s="2" t="s">
        <v>69</v>
      </c>
      <c r="K241" s="2" t="s">
        <v>70</v>
      </c>
      <c r="L241" s="2" t="s">
        <v>71</v>
      </c>
      <c r="M241" s="2" t="s">
        <v>52</v>
      </c>
      <c r="N241" s="2" t="s">
        <v>40</v>
      </c>
      <c r="O241" s="2" t="s">
        <v>41</v>
      </c>
      <c r="P241" s="2" t="s">
        <v>53</v>
      </c>
      <c r="Q241" s="2" t="s">
        <v>53</v>
      </c>
      <c r="R241" s="2" t="s">
        <v>41</v>
      </c>
      <c r="S241" s="2" t="s">
        <v>43</v>
      </c>
      <c r="T241" s="2"/>
      <c r="U241" s="3"/>
      <c r="V241" s="2"/>
      <c r="W241" s="2"/>
      <c r="X241" s="2"/>
      <c r="Y241" s="2"/>
      <c r="Z241" s="2"/>
      <c r="AA241" s="2"/>
      <c r="AB241" s="2"/>
      <c r="AC241" s="2"/>
    </row>
    <row r="242" spans="1:29" ht="20.100000000000001" customHeight="1">
      <c r="A242" s="2" t="s">
        <v>1160</v>
      </c>
      <c r="B242" s="2" t="s">
        <v>1161</v>
      </c>
      <c r="C242" s="2" t="str">
        <f>sheet1[[#This Row],[Nombre]]&amp;sheet1[[#This Row],[Bp Id]]</f>
        <v>OFFICE365ITM0073</v>
      </c>
      <c r="D242" s="2" t="str">
        <f>VLOOKUP(sheet1[[#This Row],[Columna1]],sheet13[[Columna1]:[Estado]],4,FALSE)</f>
        <v>Operativo</v>
      </c>
      <c r="E242" s="2" t="s">
        <v>1162</v>
      </c>
      <c r="F242" s="2" t="s">
        <v>32</v>
      </c>
      <c r="G242" s="2" t="s">
        <v>48</v>
      </c>
      <c r="H242" s="2" t="s">
        <v>59</v>
      </c>
      <c r="I242" s="2" t="s">
        <v>232</v>
      </c>
      <c r="J242" s="2" t="s">
        <v>1163</v>
      </c>
      <c r="K242" s="2" t="s">
        <v>234</v>
      </c>
      <c r="L242" s="2" t="s">
        <v>233</v>
      </c>
      <c r="M242" s="2" t="s">
        <v>52</v>
      </c>
      <c r="N242" s="2" t="s">
        <v>40</v>
      </c>
      <c r="O242" s="2" t="s">
        <v>41</v>
      </c>
      <c r="P242" s="2" t="s">
        <v>64</v>
      </c>
      <c r="Q242" s="2" t="s">
        <v>64</v>
      </c>
      <c r="R242" s="2" t="s">
        <v>41</v>
      </c>
      <c r="S242" s="2" t="s">
        <v>43</v>
      </c>
      <c r="T242" s="2"/>
      <c r="U242" s="3"/>
      <c r="V242" s="2"/>
      <c r="W242" s="2"/>
      <c r="X242" s="2"/>
      <c r="Y242" s="2"/>
      <c r="Z242" s="2"/>
      <c r="AA242" s="2"/>
      <c r="AB242" s="2"/>
      <c r="AC242" s="2"/>
    </row>
    <row r="243" spans="1:29" ht="29.1" customHeight="1">
      <c r="A243" s="2" t="s">
        <v>787</v>
      </c>
      <c r="B243" s="2" t="s">
        <v>788</v>
      </c>
      <c r="C243" s="2" t="str">
        <f>sheet1[[#This Row],[Nombre]]&amp;sheet1[[#This Row],[Bp Id]]</f>
        <v>Operación de Estructuras Normativas UAFE / RMLGOB0002</v>
      </c>
      <c r="D243" s="2" t="str">
        <f>VLOOKUP(sheet1[[#This Row],[Columna1]],sheet13[[Columna1]:[Estado]],4,FALSE)</f>
        <v>Operativo</v>
      </c>
      <c r="E243" s="2" t="s">
        <v>789</v>
      </c>
      <c r="F243" s="2" t="s">
        <v>32</v>
      </c>
      <c r="G243" s="2" t="s">
        <v>48</v>
      </c>
      <c r="H243" s="2" t="s">
        <v>34</v>
      </c>
      <c r="I243" s="2" t="s">
        <v>328</v>
      </c>
      <c r="J243" s="2" t="s">
        <v>329</v>
      </c>
      <c r="K243" s="2" t="s">
        <v>790</v>
      </c>
      <c r="L243" s="2" t="s">
        <v>775</v>
      </c>
      <c r="M243" s="2"/>
      <c r="N243" s="2"/>
      <c r="O243" s="2"/>
      <c r="P243" s="2"/>
      <c r="Q243" s="2"/>
      <c r="R243" s="2"/>
      <c r="S243" s="2"/>
      <c r="T243" s="2"/>
      <c r="U243" s="3"/>
      <c r="V243" s="2"/>
      <c r="W243" s="2"/>
      <c r="X243" s="2"/>
      <c r="Y243" s="2"/>
      <c r="Z243" s="2"/>
      <c r="AA243" s="2"/>
      <c r="AB243" s="2"/>
      <c r="AC243" s="2"/>
    </row>
    <row r="244" spans="1:29" ht="20.100000000000001" customHeight="1">
      <c r="A244" s="2" t="s">
        <v>1164</v>
      </c>
      <c r="B244" s="2" t="s">
        <v>1165</v>
      </c>
      <c r="C244" s="2" t="str">
        <f>sheet1[[#This Row],[Nombre]]&amp;sheet1[[#This Row],[Bp Id]]</f>
        <v>Optimal workshopEDC0007</v>
      </c>
      <c r="D244" s="2" t="str">
        <f>VLOOKUP(sheet1[[#This Row],[Columna1]],sheet13[[Columna1]:[Estado]],4,FALSE)</f>
        <v>Retirado</v>
      </c>
      <c r="E244" s="2" t="s">
        <v>1166</v>
      </c>
      <c r="F244" s="2" t="s">
        <v>47</v>
      </c>
      <c r="G244" s="2" t="s">
        <v>48</v>
      </c>
      <c r="H244" s="2" t="s">
        <v>59</v>
      </c>
      <c r="I244" s="2" t="s">
        <v>294</v>
      </c>
      <c r="J244" s="2" t="s">
        <v>880</v>
      </c>
      <c r="K244" s="2" t="s">
        <v>880</v>
      </c>
      <c r="L244" s="2" t="s">
        <v>880</v>
      </c>
      <c r="M244" s="2" t="s">
        <v>296</v>
      </c>
      <c r="N244" s="2" t="s">
        <v>40</v>
      </c>
      <c r="O244" s="2" t="s">
        <v>43</v>
      </c>
      <c r="P244" s="2" t="s">
        <v>53</v>
      </c>
      <c r="Q244" s="2" t="s">
        <v>53</v>
      </c>
      <c r="R244" s="2" t="s">
        <v>43</v>
      </c>
      <c r="S244" s="2" t="s">
        <v>43</v>
      </c>
      <c r="T244" s="2"/>
      <c r="U244" s="3"/>
      <c r="V244" s="2"/>
      <c r="W244" s="2"/>
      <c r="X244" s="2"/>
      <c r="Y244" s="2"/>
      <c r="Z244" s="2"/>
      <c r="AA244" s="2"/>
      <c r="AB244" s="2"/>
      <c r="AC244" s="2"/>
    </row>
    <row r="245" spans="1:29" ht="20.100000000000001" customHeight="1">
      <c r="A245" s="2" t="s">
        <v>1167</v>
      </c>
      <c r="B245" s="2" t="s">
        <v>1168</v>
      </c>
      <c r="C245" s="2" t="str">
        <f>sheet1[[#This Row],[Nombre]]&amp;sheet1[[#This Row],[Bp Id]]</f>
        <v>Oracle Fusion ERPSUP0064</v>
      </c>
      <c r="D245" s="2" t="str">
        <f>VLOOKUP(sheet1[[#This Row],[Columna1]],sheet13[[Columna1]:[Estado]],4,FALSE)</f>
        <v>Operativo</v>
      </c>
      <c r="E245" s="2" t="s">
        <v>1074</v>
      </c>
      <c r="F245" s="2" t="s">
        <v>32</v>
      </c>
      <c r="G245" s="2" t="s">
        <v>76</v>
      </c>
      <c r="H245" s="2" t="s">
        <v>59</v>
      </c>
      <c r="I245" s="2" t="s">
        <v>225</v>
      </c>
      <c r="J245" s="2" t="s">
        <v>226</v>
      </c>
      <c r="K245" s="2" t="s">
        <v>276</v>
      </c>
      <c r="L245" s="2" t="s">
        <v>277</v>
      </c>
      <c r="M245" s="2" t="s">
        <v>39</v>
      </c>
      <c r="N245" s="2" t="s">
        <v>40</v>
      </c>
      <c r="O245" s="2" t="s">
        <v>41</v>
      </c>
      <c r="P245" s="2" t="s">
        <v>64</v>
      </c>
      <c r="Q245" s="2" t="s">
        <v>53</v>
      </c>
      <c r="R245" s="2" t="s">
        <v>41</v>
      </c>
      <c r="S245" s="2" t="s">
        <v>41</v>
      </c>
      <c r="T245" s="2" t="s">
        <v>1169</v>
      </c>
      <c r="U245" s="3">
        <v>46076</v>
      </c>
      <c r="V245" s="2"/>
      <c r="W245" s="2" t="s">
        <v>590</v>
      </c>
      <c r="X245" s="2" t="s">
        <v>179</v>
      </c>
      <c r="Y245" s="2"/>
      <c r="Z245" s="2"/>
      <c r="AA245" s="2"/>
      <c r="AB245" s="2"/>
      <c r="AC245" s="2" t="s">
        <v>1170</v>
      </c>
    </row>
    <row r="246" spans="1:29" ht="14.45" customHeight="1">
      <c r="A246" s="2" t="s">
        <v>1171</v>
      </c>
      <c r="B246" s="2" t="s">
        <v>1172</v>
      </c>
      <c r="C246" s="2" t="str">
        <f>sheet1[[#This Row],[Nombre]]&amp;sheet1[[#This Row],[Bp Id]]</f>
        <v>Pagos + Cobros y Recaudos FCMPRD0061</v>
      </c>
      <c r="D246" s="2" t="str">
        <f>VLOOKUP(sheet1[[#This Row],[Columna1]],sheet13[[Columna1]:[Estado]],4,FALSE)</f>
        <v>Operativo</v>
      </c>
      <c r="E246" s="2" t="s">
        <v>1173</v>
      </c>
      <c r="F246" s="2" t="s">
        <v>32</v>
      </c>
      <c r="G246" s="2" t="s">
        <v>33</v>
      </c>
      <c r="H246" s="2" t="s">
        <v>59</v>
      </c>
      <c r="I246" s="2" t="s">
        <v>116</v>
      </c>
      <c r="J246" s="2" t="s">
        <v>62</v>
      </c>
      <c r="K246" s="2" t="s">
        <v>62</v>
      </c>
      <c r="L246" s="2" t="s">
        <v>1174</v>
      </c>
      <c r="M246" s="2" t="s">
        <v>39</v>
      </c>
      <c r="N246" s="2" t="s">
        <v>40</v>
      </c>
      <c r="O246" s="2" t="s">
        <v>41</v>
      </c>
      <c r="P246" s="2" t="s">
        <v>42</v>
      </c>
      <c r="Q246" s="2" t="s">
        <v>53</v>
      </c>
      <c r="R246" s="2" t="s">
        <v>41</v>
      </c>
      <c r="S246" s="2" t="s">
        <v>43</v>
      </c>
      <c r="T246" s="2"/>
      <c r="U246" s="3"/>
      <c r="V246" s="2"/>
      <c r="W246" s="2" t="s">
        <v>262</v>
      </c>
      <c r="X246" s="2" t="s">
        <v>626</v>
      </c>
      <c r="Y246" s="2" t="s">
        <v>127</v>
      </c>
      <c r="Z246" s="2" t="s">
        <v>127</v>
      </c>
      <c r="AA246" s="2" t="s">
        <v>1175</v>
      </c>
      <c r="AB246" s="2" t="s">
        <v>415</v>
      </c>
      <c r="AC246" s="2" t="s">
        <v>1176</v>
      </c>
    </row>
    <row r="247" spans="1:29" ht="57.95" customHeight="1">
      <c r="A247" s="2" t="s">
        <v>1177</v>
      </c>
      <c r="B247" s="2" t="s">
        <v>1178</v>
      </c>
      <c r="C247" s="2" t="str">
        <f>sheet1[[#This Row],[Nombre]]&amp;sheet1[[#This Row],[Bp Id]]</f>
        <v>Seguridad Perimetral Firewall NubeSEC0049</v>
      </c>
      <c r="D247" s="2" t="str">
        <f>VLOOKUP(sheet1[[#This Row],[Columna1]],sheet13[[Columna1]:[Estado]],4,FALSE)</f>
        <v>Operativo</v>
      </c>
      <c r="E247" s="2" t="s">
        <v>1179</v>
      </c>
      <c r="F247" s="2" t="s">
        <v>32</v>
      </c>
      <c r="G247" s="2" t="s">
        <v>48</v>
      </c>
      <c r="H247" s="2" t="s">
        <v>59</v>
      </c>
      <c r="I247" s="2" t="s">
        <v>107</v>
      </c>
      <c r="J247" s="2" t="s">
        <v>177</v>
      </c>
      <c r="K247" s="2" t="s">
        <v>176</v>
      </c>
      <c r="L247" s="2" t="s">
        <v>219</v>
      </c>
      <c r="M247" s="2" t="s">
        <v>111</v>
      </c>
      <c r="N247" s="2" t="s">
        <v>40</v>
      </c>
      <c r="O247" s="2" t="s">
        <v>41</v>
      </c>
      <c r="P247" s="2" t="s">
        <v>42</v>
      </c>
      <c r="Q247" s="2" t="s">
        <v>53</v>
      </c>
      <c r="R247" s="2" t="s">
        <v>41</v>
      </c>
      <c r="S247" s="2" t="s">
        <v>41</v>
      </c>
      <c r="T247" s="2" t="s">
        <v>1180</v>
      </c>
      <c r="U247" s="3">
        <v>46160</v>
      </c>
      <c r="V247" s="2" t="s">
        <v>1181</v>
      </c>
      <c r="W247" s="2" t="s">
        <v>125</v>
      </c>
      <c r="X247" s="2" t="s">
        <v>590</v>
      </c>
      <c r="Y247" s="2" t="s">
        <v>376</v>
      </c>
      <c r="Z247" s="2" t="s">
        <v>127</v>
      </c>
      <c r="AA247" s="2" t="s">
        <v>1182</v>
      </c>
      <c r="AB247" s="2" t="s">
        <v>129</v>
      </c>
      <c r="AC247" s="2" t="s">
        <v>1183</v>
      </c>
    </row>
    <row r="248" spans="1:29" ht="20.100000000000001" customHeight="1">
      <c r="A248" s="2" t="s">
        <v>1184</v>
      </c>
      <c r="B248" s="2" t="s">
        <v>1185</v>
      </c>
      <c r="C248" s="2" t="str">
        <f>sheet1[[#This Row],[Nombre]]&amp;sheet1[[#This Row],[Bp Id]]</f>
        <v>Parametría Ingesta DeltalakeDAT0012</v>
      </c>
      <c r="D248" s="2" t="str">
        <f>VLOOKUP(sheet1[[#This Row],[Columna1]],sheet13[[Columna1]:[Estado]],4,FALSE)</f>
        <v>Operativo</v>
      </c>
      <c r="E248" s="2" t="s">
        <v>432</v>
      </c>
      <c r="F248" s="2" t="s">
        <v>32</v>
      </c>
      <c r="G248" s="2" t="s">
        <v>48</v>
      </c>
      <c r="H248" s="2" t="s">
        <v>59</v>
      </c>
      <c r="I248" s="2" t="s">
        <v>328</v>
      </c>
      <c r="J248" s="2" t="s">
        <v>329</v>
      </c>
      <c r="K248" s="2" t="s">
        <v>575</v>
      </c>
      <c r="L248" s="2" t="s">
        <v>575</v>
      </c>
      <c r="M248" s="2" t="s">
        <v>161</v>
      </c>
      <c r="N248" s="2" t="s">
        <v>40</v>
      </c>
      <c r="O248" s="2" t="s">
        <v>41</v>
      </c>
      <c r="P248" s="2" t="s">
        <v>53</v>
      </c>
      <c r="Q248" s="2" t="s">
        <v>53</v>
      </c>
      <c r="R248" s="2" t="s">
        <v>43</v>
      </c>
      <c r="S248" s="2" t="s">
        <v>43</v>
      </c>
      <c r="T248" s="2"/>
      <c r="U248" s="3"/>
      <c r="V248" s="2"/>
      <c r="W248" s="2"/>
      <c r="X248" s="2"/>
      <c r="Y248" s="2"/>
      <c r="Z248" s="2"/>
      <c r="AA248" s="2"/>
      <c r="AB248" s="2"/>
      <c r="AC248" s="2"/>
    </row>
    <row r="249" spans="1:29" ht="20.100000000000001" customHeight="1">
      <c r="A249" s="2" t="s">
        <v>1186</v>
      </c>
      <c r="B249" s="2" t="s">
        <v>1187</v>
      </c>
      <c r="C249" s="2" t="str">
        <f>sheet1[[#This Row],[Nombre]]&amp;sheet1[[#This Row],[Bp Id]]</f>
        <v>Payment ControlPAY0024</v>
      </c>
      <c r="D249" s="2" t="str">
        <f>VLOOKUP(sheet1[[#This Row],[Columna1]],sheet13[[Columna1]:[Estado]],4,FALSE)</f>
        <v>Retirado</v>
      </c>
      <c r="E249" s="2" t="s">
        <v>1188</v>
      </c>
      <c r="F249" s="2" t="s">
        <v>47</v>
      </c>
      <c r="G249" s="2" t="s">
        <v>33</v>
      </c>
      <c r="H249" s="2" t="s">
        <v>59</v>
      </c>
      <c r="I249" s="2" t="s">
        <v>921</v>
      </c>
      <c r="J249" s="2" t="s">
        <v>50</v>
      </c>
      <c r="K249" s="2" t="s">
        <v>634</v>
      </c>
      <c r="L249" s="2" t="s">
        <v>1189</v>
      </c>
      <c r="M249" s="2" t="s">
        <v>63</v>
      </c>
      <c r="N249" s="2" t="s">
        <v>40</v>
      </c>
      <c r="O249" s="2" t="s">
        <v>41</v>
      </c>
      <c r="P249" s="2" t="s">
        <v>53</v>
      </c>
      <c r="Q249" s="2" t="s">
        <v>53</v>
      </c>
      <c r="R249" s="2" t="s">
        <v>41</v>
      </c>
      <c r="S249" s="2" t="s">
        <v>41</v>
      </c>
      <c r="T249" s="2" t="s">
        <v>1190</v>
      </c>
      <c r="U249" s="3">
        <v>45200</v>
      </c>
      <c r="V249" s="2" t="s">
        <v>970</v>
      </c>
      <c r="W249" s="2" t="s">
        <v>126</v>
      </c>
      <c r="X249" s="2"/>
      <c r="Y249" s="2" t="s">
        <v>147</v>
      </c>
      <c r="Z249" s="2"/>
      <c r="AA249" s="2" t="s">
        <v>180</v>
      </c>
      <c r="AB249" s="2" t="s">
        <v>129</v>
      </c>
      <c r="AC249" s="2"/>
    </row>
    <row r="250" spans="1:29" ht="20.100000000000001" customHeight="1">
      <c r="A250" s="2" t="s">
        <v>1191</v>
      </c>
      <c r="B250" s="2" t="s">
        <v>1192</v>
      </c>
      <c r="C250" s="2" t="str">
        <f>sheet1[[#This Row],[Nombre]]&amp;sheet1[[#This Row],[Bp Id]]</f>
        <v>Perfiles TransaccionalesGOB0014</v>
      </c>
      <c r="D250" s="2" t="str">
        <f>VLOOKUP(sheet1[[#This Row],[Columna1]],sheet13[[Columna1]:[Estado]],4,FALSE)</f>
        <v>Operativo</v>
      </c>
      <c r="E250" s="2" t="s">
        <v>1193</v>
      </c>
      <c r="F250" s="2" t="s">
        <v>32</v>
      </c>
      <c r="G250" s="2" t="s">
        <v>48</v>
      </c>
      <c r="H250" s="2" t="s">
        <v>34</v>
      </c>
      <c r="I250" s="2" t="s">
        <v>225</v>
      </c>
      <c r="J250" s="2" t="s">
        <v>226</v>
      </c>
      <c r="K250" s="2" t="s">
        <v>227</v>
      </c>
      <c r="L250" s="2" t="s">
        <v>228</v>
      </c>
      <c r="M250" s="2" t="s">
        <v>63</v>
      </c>
      <c r="N250" s="2" t="s">
        <v>40</v>
      </c>
      <c r="O250" s="2" t="s">
        <v>41</v>
      </c>
      <c r="P250" s="2" t="s">
        <v>53</v>
      </c>
      <c r="Q250" s="2" t="s">
        <v>53</v>
      </c>
      <c r="R250" s="2" t="s">
        <v>43</v>
      </c>
      <c r="S250" s="2" t="s">
        <v>43</v>
      </c>
      <c r="T250" s="2"/>
      <c r="U250" s="3"/>
      <c r="V250" s="2"/>
      <c r="W250" s="2"/>
      <c r="X250" s="2"/>
      <c r="Y250" s="2"/>
      <c r="Z250" s="2"/>
      <c r="AA250" s="2"/>
      <c r="AB250" s="2"/>
      <c r="AC250" s="2"/>
    </row>
    <row r="251" spans="1:29" ht="20.100000000000001" customHeight="1">
      <c r="A251" s="2" t="s">
        <v>1194</v>
      </c>
      <c r="B251" s="2" t="s">
        <v>1195</v>
      </c>
      <c r="C251" s="2" t="str">
        <f>sheet1[[#This Row],[Nombre]]&amp;sheet1[[#This Row],[Bp Id]]</f>
        <v>PFTR (prevención de fraude en tiempo real)SEC0065</v>
      </c>
      <c r="D251" s="2" t="str">
        <f>VLOOKUP(sheet1[[#This Row],[Columna1]],sheet13[[Columna1]:[Estado]],4,FALSE)</f>
        <v>Operativo</v>
      </c>
      <c r="E251" s="2" t="s">
        <v>1196</v>
      </c>
      <c r="F251" s="2" t="s">
        <v>32</v>
      </c>
      <c r="G251" s="2" t="s">
        <v>76</v>
      </c>
      <c r="H251" s="2" t="s">
        <v>59</v>
      </c>
      <c r="I251" s="2" t="s">
        <v>258</v>
      </c>
      <c r="J251" s="2" t="s">
        <v>259</v>
      </c>
      <c r="K251" s="2" t="s">
        <v>1197</v>
      </c>
      <c r="L251" s="2" t="s">
        <v>1198</v>
      </c>
      <c r="M251" s="2" t="s">
        <v>111</v>
      </c>
      <c r="N251" s="2" t="s">
        <v>40</v>
      </c>
      <c r="O251" s="2" t="s">
        <v>41</v>
      </c>
      <c r="P251" s="2" t="s">
        <v>64</v>
      </c>
      <c r="Q251" s="2" t="s">
        <v>64</v>
      </c>
      <c r="R251" s="2" t="s">
        <v>41</v>
      </c>
      <c r="S251" s="2" t="s">
        <v>41</v>
      </c>
      <c r="T251" s="2" t="s">
        <v>1199</v>
      </c>
      <c r="U251" s="3">
        <v>45624</v>
      </c>
      <c r="V251" s="2" t="s">
        <v>1200</v>
      </c>
      <c r="W251" s="2" t="s">
        <v>187</v>
      </c>
      <c r="X251" s="2" t="s">
        <v>626</v>
      </c>
      <c r="Y251" s="2" t="s">
        <v>376</v>
      </c>
      <c r="Z251" s="2" t="s">
        <v>376</v>
      </c>
      <c r="AA251" s="2" t="s">
        <v>263</v>
      </c>
      <c r="AB251" s="2" t="s">
        <v>129</v>
      </c>
      <c r="AC251" s="2"/>
    </row>
    <row r="252" spans="1:29" ht="20.100000000000001" customHeight="1">
      <c r="A252" s="2" t="s">
        <v>1201</v>
      </c>
      <c r="B252" s="2" t="s">
        <v>1202</v>
      </c>
      <c r="C252" s="2" t="str">
        <f>sheet1[[#This Row],[Nombre]]&amp;sheet1[[#This Row],[Bp Id]]</f>
        <v>Pichincha EmpresasCHL0034</v>
      </c>
      <c r="D252" s="2" t="str">
        <f>VLOOKUP(sheet1[[#This Row],[Columna1]],sheet13[[Columna1]:[Estado]],4,FALSE)</f>
        <v>Operativo</v>
      </c>
      <c r="E252" s="2" t="s">
        <v>1203</v>
      </c>
      <c r="F252" s="2" t="s">
        <v>32</v>
      </c>
      <c r="G252" s="2" t="s">
        <v>33</v>
      </c>
      <c r="H252" s="2" t="s">
        <v>59</v>
      </c>
      <c r="I252" s="2" t="s">
        <v>116</v>
      </c>
      <c r="J252" s="2" t="s">
        <v>62</v>
      </c>
      <c r="K252" s="2" t="s">
        <v>62</v>
      </c>
      <c r="L252" s="2" t="s">
        <v>1174</v>
      </c>
      <c r="M252" s="2" t="s">
        <v>39</v>
      </c>
      <c r="N252" s="2" t="s">
        <v>91</v>
      </c>
      <c r="O252" s="2" t="s">
        <v>41</v>
      </c>
      <c r="P252" s="2" t="s">
        <v>53</v>
      </c>
      <c r="Q252" s="2" t="s">
        <v>53</v>
      </c>
      <c r="R252" s="2" t="s">
        <v>43</v>
      </c>
      <c r="S252" s="2" t="s">
        <v>43</v>
      </c>
      <c r="T252" s="2"/>
      <c r="U252" s="3"/>
      <c r="V252" s="2"/>
      <c r="W252" s="2"/>
      <c r="X252" s="2"/>
      <c r="Y252" s="2"/>
      <c r="Z252" s="2"/>
      <c r="AA252" s="2"/>
      <c r="AB252" s="2"/>
      <c r="AC252" s="2"/>
    </row>
    <row r="253" spans="1:29" ht="57.95" customHeight="1">
      <c r="A253" s="2" t="s">
        <v>1204</v>
      </c>
      <c r="B253" s="2" t="s">
        <v>1205</v>
      </c>
      <c r="C253" s="2" t="str">
        <f>sheet1[[#This Row],[Nombre]]&amp;sheet1[[#This Row],[Bp Id]]</f>
        <v>RiesgoGlobalComRIS0011</v>
      </c>
      <c r="D253" s="2" t="str">
        <f>VLOOKUP(sheet1[[#This Row],[Columna1]],sheet13[[Columna1]:[Estado]],4,FALSE)</f>
        <v>Operativo</v>
      </c>
      <c r="E253" s="2" t="s">
        <v>1206</v>
      </c>
      <c r="F253" s="2" t="s">
        <v>32</v>
      </c>
      <c r="G253" s="2" t="s">
        <v>76</v>
      </c>
      <c r="H253" s="2" t="s">
        <v>34</v>
      </c>
      <c r="I253" s="2" t="s">
        <v>320</v>
      </c>
      <c r="J253" s="2" t="s">
        <v>321</v>
      </c>
      <c r="K253" s="2" t="s">
        <v>672</v>
      </c>
      <c r="L253" s="2" t="s">
        <v>323</v>
      </c>
      <c r="M253" s="2" t="s">
        <v>39</v>
      </c>
      <c r="N253" s="2" t="s">
        <v>40</v>
      </c>
      <c r="O253" s="2" t="s">
        <v>41</v>
      </c>
      <c r="P253" s="2" t="s">
        <v>42</v>
      </c>
      <c r="Q253" s="2" t="s">
        <v>53</v>
      </c>
      <c r="R253" s="2" t="s">
        <v>41</v>
      </c>
      <c r="S253" s="2" t="s">
        <v>41</v>
      </c>
      <c r="T253" s="2" t="s">
        <v>99</v>
      </c>
      <c r="U253" s="3">
        <v>45199</v>
      </c>
      <c r="V253" s="2"/>
      <c r="W253" s="2" t="s">
        <v>100</v>
      </c>
      <c r="X253" s="2" t="s">
        <v>101</v>
      </c>
      <c r="Y253" s="2"/>
      <c r="Z253" s="2"/>
      <c r="AA253" s="2" t="s">
        <v>1207</v>
      </c>
      <c r="AB253" s="2"/>
      <c r="AC253" s="2" t="s">
        <v>103</v>
      </c>
    </row>
    <row r="254" spans="1:29" ht="14.45" customHeight="1">
      <c r="A254" s="2" t="s">
        <v>1208</v>
      </c>
      <c r="B254" s="2" t="s">
        <v>1209</v>
      </c>
      <c r="C254" s="2" t="str">
        <f>sheet1[[#This Row],[Nombre]]&amp;sheet1[[#This Row],[Bp Id]]</f>
        <v>RPA - UIPathTIE0013</v>
      </c>
      <c r="D254" s="2" t="e">
        <f>VLOOKUP(sheet1[[#This Row],[Columna1]],sheet13[[Columna1]:[Estado]],4,FALSE)</f>
        <v>#N/A</v>
      </c>
      <c r="E254" s="2" t="s">
        <v>1210</v>
      </c>
      <c r="F254" s="2" t="s">
        <v>32</v>
      </c>
      <c r="G254" s="2" t="s">
        <v>48</v>
      </c>
      <c r="H254" s="2" t="s">
        <v>59</v>
      </c>
      <c r="I254" s="2" t="s">
        <v>198</v>
      </c>
      <c r="J254" s="2" t="s">
        <v>240</v>
      </c>
      <c r="K254" s="2" t="s">
        <v>666</v>
      </c>
      <c r="L254" s="2" t="s">
        <v>1211</v>
      </c>
      <c r="M254" s="2" t="s">
        <v>63</v>
      </c>
      <c r="N254" s="2" t="s">
        <v>40</v>
      </c>
      <c r="O254" s="2" t="s">
        <v>41</v>
      </c>
      <c r="P254" s="2" t="s">
        <v>64</v>
      </c>
      <c r="Q254" s="2" t="s">
        <v>64</v>
      </c>
      <c r="R254" s="2" t="s">
        <v>43</v>
      </c>
      <c r="S254" s="2" t="s">
        <v>43</v>
      </c>
      <c r="T254" s="2"/>
      <c r="U254" s="3"/>
      <c r="V254" s="2"/>
      <c r="W254" s="2"/>
      <c r="X254" s="2"/>
      <c r="Y254" s="2"/>
      <c r="Z254" s="2"/>
      <c r="AA254" s="2"/>
      <c r="AB254" s="2"/>
      <c r="AC254" s="2"/>
    </row>
    <row r="255" spans="1:29" ht="20.100000000000001" customHeight="1">
      <c r="A255" s="2" t="s">
        <v>1212</v>
      </c>
      <c r="B255" s="2" t="s">
        <v>1213</v>
      </c>
      <c r="C255" s="2" t="str">
        <f>sheet1[[#This Row],[Nombre]]&amp;sheet1[[#This Row],[Bp Id]]</f>
        <v>Ruta de los VolcanesSUP0034</v>
      </c>
      <c r="D255" s="2" t="str">
        <f>VLOOKUP(sheet1[[#This Row],[Columna1]],sheet13[[Columna1]:[Estado]],4,FALSE)</f>
        <v>Operativo</v>
      </c>
      <c r="E255" s="2" t="s">
        <v>1214</v>
      </c>
      <c r="F255" s="2" t="s">
        <v>32</v>
      </c>
      <c r="G255" s="2" t="s">
        <v>48</v>
      </c>
      <c r="H255" s="2" t="s">
        <v>59</v>
      </c>
      <c r="I255" s="2" t="s">
        <v>225</v>
      </c>
      <c r="J255" s="2" t="s">
        <v>226</v>
      </c>
      <c r="K255" s="2" t="s">
        <v>1215</v>
      </c>
      <c r="L255" s="2" t="s">
        <v>304</v>
      </c>
      <c r="M255" s="2" t="s">
        <v>63</v>
      </c>
      <c r="N255" s="2" t="s">
        <v>40</v>
      </c>
      <c r="O255" s="2" t="s">
        <v>41</v>
      </c>
      <c r="P255" s="2" t="s">
        <v>64</v>
      </c>
      <c r="Q255" s="2" t="s">
        <v>64</v>
      </c>
      <c r="R255" s="2" t="s">
        <v>43</v>
      </c>
      <c r="S255" s="2" t="s">
        <v>43</v>
      </c>
      <c r="T255" s="2"/>
      <c r="U255" s="3"/>
      <c r="V255" s="2"/>
      <c r="W255" s="2"/>
      <c r="X255" s="2"/>
      <c r="Y255" s="2"/>
      <c r="Z255" s="2"/>
      <c r="AA255" s="2"/>
      <c r="AB255" s="2"/>
      <c r="AC255" s="2"/>
    </row>
    <row r="256" spans="1:29" ht="20.100000000000001" customHeight="1">
      <c r="A256" s="2" t="s">
        <v>1216</v>
      </c>
      <c r="B256" s="2" t="s">
        <v>1217</v>
      </c>
      <c r="C256" s="2" t="str">
        <f>sheet1[[#This Row],[Nombre]]&amp;sheet1[[#This Row],[Bp Id]]</f>
        <v>Harmony VPN externosSEC0063</v>
      </c>
      <c r="D256" s="2" t="e">
        <f>VLOOKUP(sheet1[[#This Row],[Columna1]],sheet13[[Columna1]:[Estado]],4,FALSE)</f>
        <v>#N/A</v>
      </c>
      <c r="E256" s="2" t="s">
        <v>1218</v>
      </c>
      <c r="F256" s="2" t="s">
        <v>32</v>
      </c>
      <c r="G256" s="2" t="s">
        <v>48</v>
      </c>
      <c r="H256" s="2" t="s">
        <v>59</v>
      </c>
      <c r="I256" s="2" t="s">
        <v>107</v>
      </c>
      <c r="J256" s="2" t="s">
        <v>219</v>
      </c>
      <c r="K256" s="2" t="s">
        <v>176</v>
      </c>
      <c r="L256" s="2" t="s">
        <v>177</v>
      </c>
      <c r="M256" s="2" t="s">
        <v>111</v>
      </c>
      <c r="N256" s="2" t="s">
        <v>40</v>
      </c>
      <c r="O256" s="2" t="s">
        <v>41</v>
      </c>
      <c r="P256" s="2" t="s">
        <v>42</v>
      </c>
      <c r="Q256" s="2" t="s">
        <v>53</v>
      </c>
      <c r="R256" s="2" t="s">
        <v>41</v>
      </c>
      <c r="S256" s="2" t="s">
        <v>43</v>
      </c>
      <c r="T256" s="2" t="s">
        <v>1219</v>
      </c>
      <c r="U256" s="3">
        <v>45747</v>
      </c>
      <c r="V256" s="2" t="s">
        <v>186</v>
      </c>
      <c r="W256" s="2" t="s">
        <v>369</v>
      </c>
      <c r="X256" s="2"/>
      <c r="Y256" s="2" t="s">
        <v>127</v>
      </c>
      <c r="Z256" s="2" t="s">
        <v>127</v>
      </c>
      <c r="AA256" s="2" t="s">
        <v>180</v>
      </c>
      <c r="AB256" s="2" t="s">
        <v>129</v>
      </c>
      <c r="AC256" s="2" t="s">
        <v>1220</v>
      </c>
    </row>
    <row r="257" spans="1:29" ht="57.95" customHeight="1">
      <c r="A257" s="2" t="s">
        <v>1221</v>
      </c>
      <c r="B257" s="2" t="s">
        <v>1222</v>
      </c>
      <c r="C257" s="2" t="str">
        <f>sheet1[[#This Row],[Nombre]]&amp;sheet1[[#This Row],[Bp Id]]</f>
        <v>SAP Finanzas SAC - PamPMSUP0036</v>
      </c>
      <c r="D257" s="2" t="str">
        <f>VLOOKUP(sheet1[[#This Row],[Columna1]],sheet13[[Columna1]:[Estado]],4,FALSE)</f>
        <v>Operativo</v>
      </c>
      <c r="E257" s="2" t="s">
        <v>1223</v>
      </c>
      <c r="F257" s="2" t="s">
        <v>32</v>
      </c>
      <c r="G257" s="2" t="s">
        <v>48</v>
      </c>
      <c r="H257" s="2" t="s">
        <v>140</v>
      </c>
      <c r="I257" s="2" t="s">
        <v>225</v>
      </c>
      <c r="J257" s="2" t="s">
        <v>226</v>
      </c>
      <c r="K257" s="2" t="s">
        <v>276</v>
      </c>
      <c r="L257" s="2" t="s">
        <v>277</v>
      </c>
      <c r="M257" s="2" t="s">
        <v>39</v>
      </c>
      <c r="N257" s="2" t="s">
        <v>40</v>
      </c>
      <c r="O257" s="2" t="s">
        <v>41</v>
      </c>
      <c r="P257" s="2" t="s">
        <v>64</v>
      </c>
      <c r="Q257" s="2" t="s">
        <v>53</v>
      </c>
      <c r="R257" s="2" t="s">
        <v>41</v>
      </c>
      <c r="S257" s="2" t="s">
        <v>41</v>
      </c>
      <c r="T257" s="2"/>
      <c r="U257" s="3">
        <v>45898</v>
      </c>
      <c r="V257" s="2"/>
      <c r="W257" s="2" t="s">
        <v>100</v>
      </c>
      <c r="X257" s="2" t="s">
        <v>626</v>
      </c>
      <c r="Y257" s="2" t="s">
        <v>127</v>
      </c>
      <c r="Z257" s="2" t="s">
        <v>127</v>
      </c>
      <c r="AA257" s="2" t="s">
        <v>180</v>
      </c>
      <c r="AB257" s="2" t="s">
        <v>129</v>
      </c>
      <c r="AC257" s="2" t="s">
        <v>1224</v>
      </c>
    </row>
    <row r="258" spans="1:29" ht="14.45" customHeight="1">
      <c r="A258" s="2" t="s">
        <v>1225</v>
      </c>
      <c r="B258" s="2" t="s">
        <v>1226</v>
      </c>
      <c r="C258" s="2" t="str">
        <f>sheet1[[#This Row],[Nombre]]&amp;sheet1[[#This Row],[Bp Id]]</f>
        <v>SAP SuccessFactorsSUP0029</v>
      </c>
      <c r="D258" s="2" t="str">
        <f>VLOOKUP(sheet1[[#This Row],[Columna1]],sheet13[[Columna1]:[Estado]],4,FALSE)</f>
        <v>Operativo</v>
      </c>
      <c r="E258" s="2" t="s">
        <v>1227</v>
      </c>
      <c r="F258" s="2" t="s">
        <v>32</v>
      </c>
      <c r="G258" s="2" t="s">
        <v>48</v>
      </c>
      <c r="H258" s="2" t="s">
        <v>59</v>
      </c>
      <c r="I258" s="2" t="s">
        <v>225</v>
      </c>
      <c r="J258" s="2" t="s">
        <v>226</v>
      </c>
      <c r="K258" s="2" t="s">
        <v>300</v>
      </c>
      <c r="L258" s="2" t="s">
        <v>304</v>
      </c>
      <c r="M258" s="2" t="s">
        <v>39</v>
      </c>
      <c r="N258" s="2" t="s">
        <v>40</v>
      </c>
      <c r="O258" s="2" t="s">
        <v>41</v>
      </c>
      <c r="P258" s="2" t="s">
        <v>64</v>
      </c>
      <c r="Q258" s="2" t="s">
        <v>64</v>
      </c>
      <c r="R258" s="2" t="s">
        <v>41</v>
      </c>
      <c r="S258" s="2" t="s">
        <v>43</v>
      </c>
      <c r="T258" s="2"/>
      <c r="U258" s="3"/>
      <c r="V258" s="2"/>
      <c r="W258" s="2"/>
      <c r="X258" s="2"/>
      <c r="Y258" s="2"/>
      <c r="Z258" s="2"/>
      <c r="AA258" s="2"/>
      <c r="AB258" s="2"/>
      <c r="AC258" s="2"/>
    </row>
    <row r="259" spans="1:29" ht="20.100000000000001" customHeight="1">
      <c r="A259" s="2" t="s">
        <v>1228</v>
      </c>
      <c r="B259" s="2" t="s">
        <v>1229</v>
      </c>
      <c r="C259" s="2" t="str">
        <f>sheet1[[#This Row],[Nombre]]&amp;sheet1[[#This Row],[Bp Id]]</f>
        <v>ScoringRIS0012</v>
      </c>
      <c r="D259" s="2" t="str">
        <f>VLOOKUP(sheet1[[#This Row],[Columna1]],sheet13[[Columna1]:[Estado]],4,FALSE)</f>
        <v>Retirado</v>
      </c>
      <c r="E259" s="2" t="s">
        <v>1230</v>
      </c>
      <c r="F259" s="2" t="s">
        <v>47</v>
      </c>
      <c r="G259" s="2" t="s">
        <v>48</v>
      </c>
      <c r="H259" s="2" t="s">
        <v>34</v>
      </c>
      <c r="I259" s="2" t="s">
        <v>320</v>
      </c>
      <c r="J259" s="2" t="s">
        <v>321</v>
      </c>
      <c r="K259" s="2" t="s">
        <v>1231</v>
      </c>
      <c r="L259" s="2" t="s">
        <v>595</v>
      </c>
      <c r="M259" s="2" t="s">
        <v>63</v>
      </c>
      <c r="N259" s="2" t="s">
        <v>40</v>
      </c>
      <c r="O259" s="2" t="s">
        <v>41</v>
      </c>
      <c r="P259" s="2" t="s">
        <v>53</v>
      </c>
      <c r="Q259" s="2" t="s">
        <v>53</v>
      </c>
      <c r="R259" s="2" t="s">
        <v>43</v>
      </c>
      <c r="S259" s="2" t="s">
        <v>43</v>
      </c>
      <c r="T259" s="2"/>
      <c r="U259" s="3"/>
      <c r="V259" s="2"/>
      <c r="W259" s="2"/>
      <c r="X259" s="2"/>
      <c r="Y259" s="2"/>
      <c r="Z259" s="2"/>
      <c r="AA259" s="2"/>
      <c r="AB259" s="2"/>
      <c r="AC259" s="2"/>
    </row>
    <row r="260" spans="1:29" ht="29.1" customHeight="1">
      <c r="A260" s="2" t="s">
        <v>1232</v>
      </c>
      <c r="B260" s="2" t="s">
        <v>1233</v>
      </c>
      <c r="C260" s="2" t="str">
        <f>sheet1[[#This Row],[Nombre]]&amp;sheet1[[#This Row],[Bp Id]]</f>
        <v>SegUnixOranServiceSEC0032</v>
      </c>
      <c r="D260" s="2" t="str">
        <f>VLOOKUP(sheet1[[#This Row],[Columna1]],sheet13[[Columna1]:[Estado]],4,FALSE)</f>
        <v>Operativo</v>
      </c>
      <c r="E260" s="2" t="s">
        <v>1234</v>
      </c>
      <c r="F260" s="2" t="s">
        <v>32</v>
      </c>
      <c r="G260" s="2" t="s">
        <v>123</v>
      </c>
      <c r="H260" s="2" t="s">
        <v>34</v>
      </c>
      <c r="I260" s="2" t="s">
        <v>258</v>
      </c>
      <c r="J260" s="2" t="s">
        <v>259</v>
      </c>
      <c r="K260" s="2" t="s">
        <v>260</v>
      </c>
      <c r="L260" s="2" t="s">
        <v>261</v>
      </c>
      <c r="M260" s="2" t="s">
        <v>63</v>
      </c>
      <c r="N260" s="2" t="s">
        <v>40</v>
      </c>
      <c r="O260" s="2" t="s">
        <v>43</v>
      </c>
      <c r="P260" s="2" t="s">
        <v>53</v>
      </c>
      <c r="Q260" s="2" t="s">
        <v>53</v>
      </c>
      <c r="R260" s="2" t="s">
        <v>43</v>
      </c>
      <c r="S260" s="2" t="s">
        <v>43</v>
      </c>
      <c r="T260" s="2"/>
      <c r="U260" s="3"/>
      <c r="V260" s="2"/>
      <c r="W260" s="2"/>
      <c r="X260" s="2"/>
      <c r="Y260" s="2"/>
      <c r="Z260" s="2"/>
      <c r="AA260" s="2"/>
      <c r="AB260" s="2"/>
      <c r="AC260" s="2"/>
    </row>
    <row r="261" spans="1:29" ht="14.45" customHeight="1">
      <c r="A261" s="2" t="s">
        <v>1235</v>
      </c>
      <c r="B261" s="2" t="s">
        <v>1236</v>
      </c>
      <c r="C261" s="2" t="str">
        <f>sheet1[[#This Row],[Nombre]]&amp;sheet1[[#This Row],[Bp Id]]</f>
        <v>Sentinel ComplianceGOB0015</v>
      </c>
      <c r="D261" s="2" t="str">
        <f>VLOOKUP(sheet1[[#This Row],[Columna1]],sheet13[[Columna1]:[Estado]],4,FALSE)</f>
        <v>Operativo</v>
      </c>
      <c r="E261" s="2" t="s">
        <v>1237</v>
      </c>
      <c r="F261" s="2" t="s">
        <v>32</v>
      </c>
      <c r="G261" s="2" t="s">
        <v>48</v>
      </c>
      <c r="H261" s="2" t="s">
        <v>34</v>
      </c>
      <c r="I261" s="2" t="s">
        <v>225</v>
      </c>
      <c r="J261" s="2" t="s">
        <v>226</v>
      </c>
      <c r="K261" s="2" t="s">
        <v>227</v>
      </c>
      <c r="L261" s="2" t="s">
        <v>228</v>
      </c>
      <c r="M261" s="2" t="s">
        <v>39</v>
      </c>
      <c r="N261" s="2" t="s">
        <v>40</v>
      </c>
      <c r="O261" s="2" t="s">
        <v>41</v>
      </c>
      <c r="P261" s="2" t="s">
        <v>42</v>
      </c>
      <c r="Q261" s="2" t="s">
        <v>53</v>
      </c>
      <c r="R261" s="2" t="s">
        <v>41</v>
      </c>
      <c r="S261" s="2" t="s">
        <v>41</v>
      </c>
      <c r="T261" s="2"/>
      <c r="U261" s="3">
        <v>45917</v>
      </c>
      <c r="V261" s="2" t="s">
        <v>1238</v>
      </c>
      <c r="W261" s="2" t="s">
        <v>590</v>
      </c>
      <c r="X261" s="2" t="s">
        <v>101</v>
      </c>
      <c r="Y261" s="2" t="s">
        <v>839</v>
      </c>
      <c r="Z261" s="2" t="s">
        <v>839</v>
      </c>
      <c r="AA261" s="2" t="s">
        <v>180</v>
      </c>
      <c r="AB261" s="2" t="s">
        <v>129</v>
      </c>
      <c r="AC261" s="2" t="s">
        <v>1239</v>
      </c>
    </row>
    <row r="262" spans="1:29" ht="20.100000000000001" customHeight="1">
      <c r="A262" s="2" t="s">
        <v>1240</v>
      </c>
      <c r="B262" s="2" t="s">
        <v>1241</v>
      </c>
      <c r="C262" s="2" t="str">
        <f>sheet1[[#This Row],[Nombre]]&amp;sheet1[[#This Row],[Bp Id]]</f>
        <v>Sentinel Informer CardGOB0017</v>
      </c>
      <c r="D262" s="2" t="str">
        <f>VLOOKUP(sheet1[[#This Row],[Columna1]],sheet13[[Columna1]:[Estado]],4,FALSE)</f>
        <v>Operativo</v>
      </c>
      <c r="E262" s="2" t="s">
        <v>139</v>
      </c>
      <c r="F262" s="2" t="s">
        <v>32</v>
      </c>
      <c r="G262" s="2" t="s">
        <v>48</v>
      </c>
      <c r="H262" s="2" t="s">
        <v>34</v>
      </c>
      <c r="I262" s="2" t="s">
        <v>141</v>
      </c>
      <c r="J262" s="2" t="s">
        <v>151</v>
      </c>
      <c r="K262" s="2" t="s">
        <v>564</v>
      </c>
      <c r="L262" s="2" t="s">
        <v>565</v>
      </c>
      <c r="M262" s="2" t="s">
        <v>63</v>
      </c>
      <c r="N262" s="2" t="s">
        <v>40</v>
      </c>
      <c r="O262" s="2" t="s">
        <v>43</v>
      </c>
      <c r="P262" s="2" t="s">
        <v>53</v>
      </c>
      <c r="Q262" s="2" t="s">
        <v>53</v>
      </c>
      <c r="R262" s="2" t="s">
        <v>43</v>
      </c>
      <c r="S262" s="2" t="s">
        <v>43</v>
      </c>
      <c r="T262" s="2"/>
      <c r="U262" s="3"/>
      <c r="V262" s="2"/>
      <c r="W262" s="2"/>
      <c r="X262" s="2"/>
      <c r="Y262" s="2"/>
      <c r="Z262" s="2"/>
      <c r="AA262" s="2"/>
      <c r="AB262" s="2"/>
      <c r="AC262" s="2"/>
    </row>
    <row r="263" spans="1:29" ht="14.45" customHeight="1">
      <c r="A263" s="2" t="s">
        <v>1242</v>
      </c>
      <c r="B263" s="2" t="s">
        <v>1243</v>
      </c>
      <c r="C263" s="2" t="str">
        <f>sheet1[[#This Row],[Nombre]]&amp;sheet1[[#This Row],[Bp Id]]</f>
        <v>Sentinel PreventionGOB0018</v>
      </c>
      <c r="D263" s="2" t="str">
        <f>VLOOKUP(sheet1[[#This Row],[Columna1]],sheet13[[Columna1]:[Estado]],4,FALSE)</f>
        <v>Operativo</v>
      </c>
      <c r="E263" s="2" t="s">
        <v>1237</v>
      </c>
      <c r="F263" s="2" t="s">
        <v>32</v>
      </c>
      <c r="G263" s="2" t="s">
        <v>123</v>
      </c>
      <c r="H263" s="2" t="s">
        <v>34</v>
      </c>
      <c r="I263" s="2" t="s">
        <v>107</v>
      </c>
      <c r="J263" s="2" t="s">
        <v>214</v>
      </c>
      <c r="K263" s="2" t="s">
        <v>176</v>
      </c>
      <c r="L263" s="2" t="s">
        <v>213</v>
      </c>
      <c r="M263" s="2" t="s">
        <v>39</v>
      </c>
      <c r="N263" s="2" t="s">
        <v>40</v>
      </c>
      <c r="O263" s="2" t="s">
        <v>41</v>
      </c>
      <c r="P263" s="2" t="s">
        <v>42</v>
      </c>
      <c r="Q263" s="2" t="s">
        <v>53</v>
      </c>
      <c r="R263" s="2" t="s">
        <v>41</v>
      </c>
      <c r="S263" s="2" t="s">
        <v>41</v>
      </c>
      <c r="T263" s="2"/>
      <c r="U263" s="3">
        <v>45534</v>
      </c>
      <c r="V263" s="2" t="s">
        <v>440</v>
      </c>
      <c r="W263" s="2" t="s">
        <v>590</v>
      </c>
      <c r="X263" s="2" t="s">
        <v>101</v>
      </c>
      <c r="Y263" s="2" t="s">
        <v>839</v>
      </c>
      <c r="Z263" s="2" t="s">
        <v>839</v>
      </c>
      <c r="AA263" s="2" t="s">
        <v>180</v>
      </c>
      <c r="AB263" s="2" t="s">
        <v>129</v>
      </c>
      <c r="AC263" s="2" t="s">
        <v>1244</v>
      </c>
    </row>
    <row r="264" spans="1:29" ht="20.100000000000001" customHeight="1">
      <c r="A264" s="2" t="s">
        <v>1245</v>
      </c>
      <c r="B264" s="2" t="s">
        <v>1246</v>
      </c>
      <c r="C264" s="2" t="str">
        <f>sheet1[[#This Row],[Nombre]]&amp;sheet1[[#This Row],[Bp Id]]</f>
        <v>SEPMSEC0033</v>
      </c>
      <c r="D264" s="2" t="str">
        <f>VLOOKUP(sheet1[[#This Row],[Columna1]],sheet13[[Columna1]:[Estado]],4,FALSE)</f>
        <v>Retirado</v>
      </c>
      <c r="E264" s="2" t="s">
        <v>1247</v>
      </c>
      <c r="F264" s="2" t="s">
        <v>47</v>
      </c>
      <c r="G264" s="2" t="s">
        <v>76</v>
      </c>
      <c r="H264" s="2" t="s">
        <v>34</v>
      </c>
      <c r="I264" s="2" t="s">
        <v>107</v>
      </c>
      <c r="J264" s="2" t="s">
        <v>272</v>
      </c>
      <c r="K264" s="2" t="s">
        <v>176</v>
      </c>
      <c r="L264" s="2" t="s">
        <v>185</v>
      </c>
      <c r="M264" s="2" t="s">
        <v>111</v>
      </c>
      <c r="N264" s="2" t="s">
        <v>40</v>
      </c>
      <c r="O264" s="2" t="s">
        <v>41</v>
      </c>
      <c r="P264" s="2" t="s">
        <v>42</v>
      </c>
      <c r="Q264" s="2" t="s">
        <v>53</v>
      </c>
      <c r="R264" s="2" t="s">
        <v>41</v>
      </c>
      <c r="S264" s="2" t="s">
        <v>43</v>
      </c>
      <c r="T264" s="2"/>
      <c r="U264" s="3"/>
      <c r="V264" s="2"/>
      <c r="W264" s="2"/>
      <c r="X264" s="2"/>
      <c r="Y264" s="2"/>
      <c r="Z264" s="2"/>
      <c r="AA264" s="2"/>
      <c r="AB264" s="2"/>
      <c r="AC264" s="2"/>
    </row>
    <row r="265" spans="1:29" ht="290.10000000000002" customHeight="1">
      <c r="A265" s="2" t="s">
        <v>1248</v>
      </c>
      <c r="B265" s="2" t="s">
        <v>1249</v>
      </c>
      <c r="C265" s="2" t="str">
        <f>sheet1[[#This Row],[Nombre]]&amp;sheet1[[#This Row],[Bp Id]]</f>
        <v>SERVER PUEXCHL0024</v>
      </c>
      <c r="D265" s="2" t="str">
        <f>VLOOKUP(sheet1[[#This Row],[Columna1]],sheet13[[Columna1]:[Estado]],4,FALSE)</f>
        <v>Operativo</v>
      </c>
      <c r="E265" s="2" t="s">
        <v>532</v>
      </c>
      <c r="F265" s="2" t="s">
        <v>32</v>
      </c>
      <c r="G265" s="2" t="s">
        <v>48</v>
      </c>
      <c r="H265" s="2" t="s">
        <v>34</v>
      </c>
      <c r="I265" s="2" t="s">
        <v>35</v>
      </c>
      <c r="J265" s="2" t="s">
        <v>36</v>
      </c>
      <c r="K265" s="2" t="s">
        <v>381</v>
      </c>
      <c r="L265" s="2" t="s">
        <v>382</v>
      </c>
      <c r="M265" s="2" t="s">
        <v>52</v>
      </c>
      <c r="N265" s="2" t="s">
        <v>40</v>
      </c>
      <c r="O265" s="2" t="s">
        <v>43</v>
      </c>
      <c r="P265" s="2" t="s">
        <v>42</v>
      </c>
      <c r="Q265" s="2" t="s">
        <v>42</v>
      </c>
      <c r="R265" s="2" t="s">
        <v>41</v>
      </c>
      <c r="S265" s="2" t="s">
        <v>41</v>
      </c>
      <c r="T265" s="2" t="s">
        <v>1250</v>
      </c>
      <c r="U265" s="3">
        <v>45199</v>
      </c>
      <c r="V265" s="2" t="s">
        <v>1251</v>
      </c>
      <c r="W265" s="2"/>
      <c r="X265" s="2" t="s">
        <v>626</v>
      </c>
      <c r="Y265" s="2"/>
      <c r="Z265" s="2"/>
      <c r="AA265" s="2" t="s">
        <v>1252</v>
      </c>
      <c r="AB265" s="2"/>
      <c r="AC265" s="2"/>
    </row>
    <row r="266" spans="1:29" ht="20.100000000000001" customHeight="1">
      <c r="A266" s="2" t="s">
        <v>1253</v>
      </c>
      <c r="B266" s="2" t="s">
        <v>1254</v>
      </c>
      <c r="C266" s="2" t="str">
        <f>sheet1[[#This Row],[Nombre]]&amp;sheet1[[#This Row],[Bp Id]]</f>
        <v>Service ManagerITM0050</v>
      </c>
      <c r="D266" s="2" t="str">
        <f>VLOOKUP(sheet1[[#This Row],[Columna1]],sheet13[[Columna1]:[Estado]],4,FALSE)</f>
        <v>Retirado</v>
      </c>
      <c r="E266" s="2" t="s">
        <v>1255</v>
      </c>
      <c r="F266" s="2" t="s">
        <v>47</v>
      </c>
      <c r="G266" s="2" t="s">
        <v>58</v>
      </c>
      <c r="H266" s="2" t="s">
        <v>34</v>
      </c>
      <c r="I266" s="2" t="s">
        <v>68</v>
      </c>
      <c r="J266" s="2" t="s">
        <v>236</v>
      </c>
      <c r="K266" s="2"/>
      <c r="L266" s="2" t="s">
        <v>1256</v>
      </c>
      <c r="M266" s="2" t="s">
        <v>63</v>
      </c>
      <c r="N266" s="2" t="s">
        <v>40</v>
      </c>
      <c r="O266" s="2" t="s">
        <v>41</v>
      </c>
      <c r="P266" s="2" t="s">
        <v>53</v>
      </c>
      <c r="Q266" s="2" t="s">
        <v>53</v>
      </c>
      <c r="R266" s="2" t="s">
        <v>43</v>
      </c>
      <c r="S266" s="2" t="s">
        <v>43</v>
      </c>
      <c r="T266" s="2"/>
      <c r="U266" s="3"/>
      <c r="V266" s="2"/>
      <c r="W266" s="2"/>
      <c r="X266" s="2"/>
      <c r="Y266" s="2"/>
      <c r="Z266" s="2"/>
      <c r="AA266" s="2"/>
      <c r="AB266" s="2"/>
      <c r="AC266" s="2"/>
    </row>
    <row r="267" spans="1:29" ht="20.100000000000001" customHeight="1">
      <c r="A267" s="2" t="s">
        <v>1257</v>
      </c>
      <c r="B267" s="2" t="s">
        <v>1258</v>
      </c>
      <c r="C267" s="2" t="str">
        <f>sheet1[[#This Row],[Nombre]]&amp;sheet1[[#This Row],[Bp Id]]</f>
        <v>ServiceNow ITOM/ITAMITM0064</v>
      </c>
      <c r="D267" s="2" t="str">
        <f>VLOOKUP(sheet1[[#This Row],[Columna1]],sheet13[[Columna1]:[Estado]],4,FALSE)</f>
        <v>Operativo</v>
      </c>
      <c r="E267" s="2" t="s">
        <v>1259</v>
      </c>
      <c r="F267" s="2" t="s">
        <v>32</v>
      </c>
      <c r="G267" s="2" t="s">
        <v>76</v>
      </c>
      <c r="H267" s="2" t="s">
        <v>345</v>
      </c>
      <c r="I267" s="2" t="s">
        <v>580</v>
      </c>
      <c r="J267" s="2" t="s">
        <v>581</v>
      </c>
      <c r="K267" s="2" t="s">
        <v>1260</v>
      </c>
      <c r="L267" s="2" t="s">
        <v>1261</v>
      </c>
      <c r="M267" s="2" t="s">
        <v>63</v>
      </c>
      <c r="N267" s="2" t="s">
        <v>40</v>
      </c>
      <c r="O267" s="2" t="s">
        <v>41</v>
      </c>
      <c r="P267" s="2" t="s">
        <v>42</v>
      </c>
      <c r="Q267" s="2" t="s">
        <v>42</v>
      </c>
      <c r="R267" s="2" t="s">
        <v>43</v>
      </c>
      <c r="S267" s="2" t="s">
        <v>43</v>
      </c>
      <c r="T267" s="2"/>
      <c r="U267" s="3"/>
      <c r="V267" s="2"/>
      <c r="W267" s="2"/>
      <c r="X267" s="2"/>
      <c r="Y267" s="2"/>
      <c r="Z267" s="2"/>
      <c r="AA267" s="2"/>
      <c r="AB267" s="2"/>
      <c r="AC267" s="2"/>
    </row>
    <row r="268" spans="1:29" ht="20.100000000000001" customHeight="1">
      <c r="A268" s="2" t="s">
        <v>1262</v>
      </c>
      <c r="B268" s="2" t="s">
        <v>1263</v>
      </c>
      <c r="C268" s="2" t="str">
        <f>sheet1[[#This Row],[Nombre]]&amp;sheet1[[#This Row],[Bp Id]]</f>
        <v>SGUCGOB0020</v>
      </c>
      <c r="D268" s="2" t="str">
        <f>VLOOKUP(sheet1[[#This Row],[Columna1]],sheet13[[Columna1]:[Estado]],4,FALSE)</f>
        <v>Operativo</v>
      </c>
      <c r="E268" s="2" t="s">
        <v>1264</v>
      </c>
      <c r="F268" s="2" t="s">
        <v>32</v>
      </c>
      <c r="G268" s="2" t="s">
        <v>48</v>
      </c>
      <c r="H268" s="2" t="s">
        <v>34</v>
      </c>
      <c r="I268" s="2" t="s">
        <v>225</v>
      </c>
      <c r="J268" s="2" t="s">
        <v>226</v>
      </c>
      <c r="K268" s="2" t="s">
        <v>227</v>
      </c>
      <c r="L268" s="2" t="s">
        <v>228</v>
      </c>
      <c r="M268" s="2" t="s">
        <v>296</v>
      </c>
      <c r="N268" s="2"/>
      <c r="O268" s="2"/>
      <c r="P268" s="2"/>
      <c r="Q268" s="2"/>
      <c r="R268" s="2"/>
      <c r="S268" s="2"/>
      <c r="T268" s="2"/>
      <c r="U268" s="3"/>
      <c r="V268" s="2"/>
      <c r="W268" s="2"/>
      <c r="X268" s="2"/>
      <c r="Y268" s="2"/>
      <c r="Z268" s="2"/>
      <c r="AA268" s="2"/>
      <c r="AB268" s="2"/>
      <c r="AC268" s="2"/>
    </row>
    <row r="269" spans="1:29" ht="29.1" customHeight="1">
      <c r="A269" s="2" t="s">
        <v>1265</v>
      </c>
      <c r="B269" s="2" t="s">
        <v>1266</v>
      </c>
      <c r="C269" s="2" t="str">
        <f>sheet1[[#This Row],[Nombre]]&amp;sheet1[[#This Row],[Bp Id]]</f>
        <v>SIEM - RSAGOB0006</v>
      </c>
      <c r="D269" s="2" t="str">
        <f>VLOOKUP(sheet1[[#This Row],[Columna1]],sheet13[[Columna1]:[Estado]],4,FALSE)</f>
        <v>Retirado</v>
      </c>
      <c r="E269" s="2" t="s">
        <v>1267</v>
      </c>
      <c r="F269" s="2" t="s">
        <v>47</v>
      </c>
      <c r="G269" s="2" t="s">
        <v>48</v>
      </c>
      <c r="H269" s="2" t="s">
        <v>34</v>
      </c>
      <c r="I269" s="2" t="s">
        <v>107</v>
      </c>
      <c r="J269" s="2" t="s">
        <v>176</v>
      </c>
      <c r="K269" s="2"/>
      <c r="L269" s="2" t="s">
        <v>1268</v>
      </c>
      <c r="M269" s="2" t="s">
        <v>111</v>
      </c>
      <c r="N269" s="2" t="s">
        <v>40</v>
      </c>
      <c r="O269" s="2" t="s">
        <v>41</v>
      </c>
      <c r="P269" s="2" t="s">
        <v>53</v>
      </c>
      <c r="Q269" s="2" t="s">
        <v>53</v>
      </c>
      <c r="R269" s="2" t="s">
        <v>41</v>
      </c>
      <c r="S269" s="2" t="s">
        <v>43</v>
      </c>
      <c r="T269" s="2"/>
      <c r="U269" s="3"/>
      <c r="V269" s="2"/>
      <c r="W269" s="2"/>
      <c r="X269" s="2"/>
      <c r="Y269" s="2"/>
      <c r="Z269" s="2"/>
      <c r="AA269" s="2"/>
      <c r="AB269" s="2"/>
      <c r="AC269" s="2"/>
    </row>
    <row r="270" spans="1:29" ht="20.100000000000001" customHeight="1">
      <c r="A270" s="2" t="s">
        <v>1269</v>
      </c>
      <c r="B270" s="2" t="s">
        <v>1270</v>
      </c>
      <c r="C270" s="2" t="str">
        <f>sheet1[[#This Row],[Nombre]]&amp;sheet1[[#This Row],[Bp Id]]</f>
        <v>Siglo 21 Seguridad ¿ Acceso WebSEC0035</v>
      </c>
      <c r="D270" s="2" t="str">
        <f>VLOOKUP(sheet1[[#This Row],[Columna1]],sheet13[[Columna1]:[Estado]],4,FALSE)</f>
        <v>Operativo</v>
      </c>
      <c r="E270" s="2" t="s">
        <v>1271</v>
      </c>
      <c r="F270" s="2" t="s">
        <v>32</v>
      </c>
      <c r="G270" s="2" t="s">
        <v>123</v>
      </c>
      <c r="H270" s="2" t="s">
        <v>34</v>
      </c>
      <c r="I270" s="2" t="s">
        <v>258</v>
      </c>
      <c r="J270" s="2" t="s">
        <v>259</v>
      </c>
      <c r="K270" s="2" t="s">
        <v>260</v>
      </c>
      <c r="L270" s="2" t="s">
        <v>261</v>
      </c>
      <c r="M270" s="2" t="s">
        <v>111</v>
      </c>
      <c r="N270" s="2" t="s">
        <v>40</v>
      </c>
      <c r="O270" s="2" t="s">
        <v>41</v>
      </c>
      <c r="P270" s="2" t="s">
        <v>246</v>
      </c>
      <c r="Q270" s="2" t="s">
        <v>247</v>
      </c>
      <c r="R270" s="2" t="s">
        <v>41</v>
      </c>
      <c r="S270" s="2" t="s">
        <v>43</v>
      </c>
      <c r="T270" s="2"/>
      <c r="U270" s="3"/>
      <c r="V270" s="2"/>
      <c r="W270" s="2"/>
      <c r="X270" s="2"/>
      <c r="Y270" s="2"/>
      <c r="Z270" s="2"/>
      <c r="AA270" s="2"/>
      <c r="AB270" s="2"/>
      <c r="AC270" s="2"/>
    </row>
    <row r="271" spans="1:29" ht="20.100000000000001" customHeight="1">
      <c r="A271" s="2" t="s">
        <v>1272</v>
      </c>
      <c r="B271" s="2" t="s">
        <v>1273</v>
      </c>
      <c r="C271" s="2" t="str">
        <f>sheet1[[#This Row],[Nombre]]&amp;sheet1[[#This Row],[Bp Id]]</f>
        <v>Siglo21SEC0034</v>
      </c>
      <c r="D271" s="2" t="str">
        <f>VLOOKUP(sheet1[[#This Row],[Columna1]],sheet13[[Columna1]:[Estado]],4,FALSE)</f>
        <v>Operativo</v>
      </c>
      <c r="E271" s="2" t="s">
        <v>1274</v>
      </c>
      <c r="F271" s="2" t="s">
        <v>32</v>
      </c>
      <c r="G271" s="2" t="s">
        <v>58</v>
      </c>
      <c r="H271" s="2" t="s">
        <v>34</v>
      </c>
      <c r="I271" s="2" t="s">
        <v>339</v>
      </c>
      <c r="J271" s="2" t="s">
        <v>50</v>
      </c>
      <c r="K271" s="2" t="s">
        <v>1275</v>
      </c>
      <c r="L271" s="2" t="s">
        <v>50</v>
      </c>
      <c r="M271" s="2" t="s">
        <v>39</v>
      </c>
      <c r="N271" s="2" t="s">
        <v>40</v>
      </c>
      <c r="O271" s="2" t="s">
        <v>41</v>
      </c>
      <c r="P271" s="2" t="s">
        <v>53</v>
      </c>
      <c r="Q271" s="2" t="s">
        <v>53</v>
      </c>
      <c r="R271" s="2" t="s">
        <v>41</v>
      </c>
      <c r="S271" s="2" t="s">
        <v>41</v>
      </c>
      <c r="T271" s="2"/>
      <c r="U271" s="3">
        <v>45199</v>
      </c>
      <c r="V271" s="2"/>
      <c r="W271" s="2" t="s">
        <v>100</v>
      </c>
      <c r="X271" s="2"/>
      <c r="Y271" s="2" t="s">
        <v>839</v>
      </c>
      <c r="Z271" s="2" t="s">
        <v>839</v>
      </c>
      <c r="AA271" s="2"/>
      <c r="AB271" s="2" t="s">
        <v>129</v>
      </c>
      <c r="AC271" s="2"/>
    </row>
    <row r="272" spans="1:29" ht="29.1" customHeight="1">
      <c r="A272" s="2" t="s">
        <v>1276</v>
      </c>
      <c r="B272" s="2" t="s">
        <v>1277</v>
      </c>
      <c r="C272" s="2" t="str">
        <f>sheet1[[#This Row],[Nombre]]&amp;sheet1[[#This Row],[Bp Id]]</f>
        <v>SIMA_APPPRD0056</v>
      </c>
      <c r="D272" s="2" t="str">
        <f>VLOOKUP(sheet1[[#This Row],[Columna1]],sheet13[[Columna1]:[Estado]],4,FALSE)</f>
        <v>Operativo</v>
      </c>
      <c r="E272" s="2" t="s">
        <v>1278</v>
      </c>
      <c r="F272" s="2" t="s">
        <v>32</v>
      </c>
      <c r="G272" s="2" t="s">
        <v>48</v>
      </c>
      <c r="H272" s="2" t="s">
        <v>59</v>
      </c>
      <c r="I272" s="2" t="s">
        <v>309</v>
      </c>
      <c r="J272" s="2" t="s">
        <v>96</v>
      </c>
      <c r="K272" s="2" t="s">
        <v>315</v>
      </c>
      <c r="L272" s="2" t="s">
        <v>316</v>
      </c>
      <c r="M272" s="2" t="s">
        <v>39</v>
      </c>
      <c r="N272" s="2" t="s">
        <v>40</v>
      </c>
      <c r="O272" s="2" t="s">
        <v>43</v>
      </c>
      <c r="P272" s="2" t="s">
        <v>42</v>
      </c>
      <c r="Q272" s="2" t="s">
        <v>42</v>
      </c>
      <c r="R272" s="2" t="s">
        <v>43</v>
      </c>
      <c r="S272" s="2" t="s">
        <v>41</v>
      </c>
      <c r="T272" s="2" t="s">
        <v>1279</v>
      </c>
      <c r="U272" s="3">
        <v>45200</v>
      </c>
      <c r="V272" s="2"/>
      <c r="W272" s="2" t="s">
        <v>125</v>
      </c>
      <c r="X272" s="2" t="s">
        <v>262</v>
      </c>
      <c r="Y272" s="2" t="s">
        <v>147</v>
      </c>
      <c r="Z272" s="2" t="s">
        <v>127</v>
      </c>
      <c r="AA272" s="2" t="s">
        <v>263</v>
      </c>
      <c r="AB272" s="2" t="s">
        <v>129</v>
      </c>
      <c r="AC272" s="2" t="s">
        <v>1280</v>
      </c>
    </row>
    <row r="273" spans="1:29" ht="14.45" customHeight="1">
      <c r="A273" s="2" t="s">
        <v>1281</v>
      </c>
      <c r="B273" s="2" t="s">
        <v>1282</v>
      </c>
      <c r="C273" s="2" t="str">
        <f>sheet1[[#This Row],[Nombre]]&amp;sheet1[[#This Row],[Bp Id]]</f>
        <v>SiroRIS0017</v>
      </c>
      <c r="D273" s="2" t="str">
        <f>VLOOKUP(sheet1[[#This Row],[Columna1]],sheet13[[Columna1]:[Estado]],4,FALSE)</f>
        <v>Operativo</v>
      </c>
      <c r="E273" s="2" t="s">
        <v>1283</v>
      </c>
      <c r="F273" s="2" t="s">
        <v>32</v>
      </c>
      <c r="G273" s="2" t="s">
        <v>48</v>
      </c>
      <c r="H273" s="2" t="s">
        <v>59</v>
      </c>
      <c r="I273" s="2" t="s">
        <v>320</v>
      </c>
      <c r="J273" s="2" t="s">
        <v>321</v>
      </c>
      <c r="K273" s="2" t="s">
        <v>672</v>
      </c>
      <c r="L273" s="2" t="s">
        <v>323</v>
      </c>
      <c r="M273" s="2" t="s">
        <v>39</v>
      </c>
      <c r="N273" s="2" t="s">
        <v>40</v>
      </c>
      <c r="O273" s="2" t="s">
        <v>41</v>
      </c>
      <c r="P273" s="2" t="s">
        <v>64</v>
      </c>
      <c r="Q273" s="2" t="s">
        <v>64</v>
      </c>
      <c r="R273" s="2" t="s">
        <v>41</v>
      </c>
      <c r="S273" s="2" t="s">
        <v>41</v>
      </c>
      <c r="T273" s="2"/>
      <c r="U273" s="3">
        <v>45951</v>
      </c>
      <c r="V273" s="2"/>
      <c r="W273" s="2" t="s">
        <v>100</v>
      </c>
      <c r="X273" s="2" t="s">
        <v>375</v>
      </c>
      <c r="Y273" s="2" t="s">
        <v>127</v>
      </c>
      <c r="Z273" s="2" t="s">
        <v>127</v>
      </c>
      <c r="AA273" s="2" t="s">
        <v>263</v>
      </c>
      <c r="AB273" s="2" t="s">
        <v>129</v>
      </c>
      <c r="AC273" s="2" t="s">
        <v>1284</v>
      </c>
    </row>
    <row r="274" spans="1:29" ht="14.45" customHeight="1">
      <c r="A274" s="2" t="s">
        <v>1285</v>
      </c>
      <c r="B274" s="2" t="s">
        <v>1286</v>
      </c>
      <c r="C274" s="2" t="str">
        <f>sheet1[[#This Row],[Nombre]]&amp;sheet1[[#This Row],[Bp Id]]</f>
        <v>Sistema de Chapter Desarrollo IniciativasITM0065</v>
      </c>
      <c r="D274" s="2" t="str">
        <f>VLOOKUP(sheet1[[#This Row],[Columna1]],sheet13[[Columna1]:[Estado]],4,FALSE)</f>
        <v>Retirado</v>
      </c>
      <c r="E274" s="2" t="s">
        <v>1287</v>
      </c>
      <c r="F274" s="2" t="s">
        <v>47</v>
      </c>
      <c r="G274" s="2" t="s">
        <v>48</v>
      </c>
      <c r="H274" s="2" t="s">
        <v>59</v>
      </c>
      <c r="I274" s="2" t="s">
        <v>198</v>
      </c>
      <c r="J274" s="2" t="s">
        <v>240</v>
      </c>
      <c r="K274" s="2" t="s">
        <v>1288</v>
      </c>
      <c r="L274" s="2" t="s">
        <v>433</v>
      </c>
      <c r="M274" s="2" t="s">
        <v>63</v>
      </c>
      <c r="N274" s="2" t="s">
        <v>40</v>
      </c>
      <c r="O274" s="2" t="s">
        <v>41</v>
      </c>
      <c r="P274" s="2" t="s">
        <v>53</v>
      </c>
      <c r="Q274" s="2" t="s">
        <v>53</v>
      </c>
      <c r="R274" s="2" t="s">
        <v>43</v>
      </c>
      <c r="S274" s="2" t="s">
        <v>43</v>
      </c>
      <c r="T274" s="2"/>
      <c r="U274" s="3"/>
      <c r="V274" s="2"/>
      <c r="W274" s="2"/>
      <c r="X274" s="2"/>
      <c r="Y274" s="2"/>
      <c r="Z274" s="2"/>
      <c r="AA274" s="2"/>
      <c r="AB274" s="2"/>
      <c r="AC274" s="2"/>
    </row>
    <row r="275" spans="1:29" ht="20.100000000000001" customHeight="1">
      <c r="A275" s="2" t="s">
        <v>1289</v>
      </c>
      <c r="B275" s="2" t="s">
        <v>1290</v>
      </c>
      <c r="C275" s="2" t="str">
        <f>sheet1[[#This Row],[Nombre]]&amp;sheet1[[#This Row],[Bp Id]]</f>
        <v>Sistema de Gestión Gerencial (SGG)CHL0025</v>
      </c>
      <c r="D275" s="2" t="str">
        <f>VLOOKUP(sheet1[[#This Row],[Columna1]],sheet13[[Columna1]:[Estado]],4,FALSE)</f>
        <v>Operativo</v>
      </c>
      <c r="E275" s="2" t="s">
        <v>139</v>
      </c>
      <c r="F275" s="2" t="s">
        <v>32</v>
      </c>
      <c r="G275" s="2" t="s">
        <v>58</v>
      </c>
      <c r="H275" s="2" t="s">
        <v>34</v>
      </c>
      <c r="I275" s="2" t="s">
        <v>35</v>
      </c>
      <c r="J275" s="2" t="s">
        <v>36</v>
      </c>
      <c r="K275" s="2" t="s">
        <v>37</v>
      </c>
      <c r="L275" s="2" t="s">
        <v>38</v>
      </c>
      <c r="M275" s="2" t="s">
        <v>39</v>
      </c>
      <c r="N275" s="2" t="s">
        <v>40</v>
      </c>
      <c r="O275" s="2" t="s">
        <v>41</v>
      </c>
      <c r="P275" s="2" t="s">
        <v>42</v>
      </c>
      <c r="Q275" s="2" t="s">
        <v>53</v>
      </c>
      <c r="R275" s="2" t="s">
        <v>41</v>
      </c>
      <c r="S275" s="2" t="s">
        <v>41</v>
      </c>
      <c r="T275" s="2" t="s">
        <v>1291</v>
      </c>
      <c r="U275" s="3">
        <v>45200</v>
      </c>
      <c r="V275" s="2"/>
      <c r="W275" s="2" t="s">
        <v>179</v>
      </c>
      <c r="X275" s="2" t="s">
        <v>101</v>
      </c>
      <c r="Y275" s="2" t="s">
        <v>363</v>
      </c>
      <c r="Z275" s="2" t="s">
        <v>127</v>
      </c>
      <c r="AA275" s="2" t="s">
        <v>1292</v>
      </c>
      <c r="AB275" s="2" t="s">
        <v>129</v>
      </c>
      <c r="AC275" s="2"/>
    </row>
    <row r="276" spans="1:29" ht="20.100000000000001" customHeight="1">
      <c r="A276" s="2" t="s">
        <v>1293</v>
      </c>
      <c r="B276" s="2" t="s">
        <v>1294</v>
      </c>
      <c r="C276" s="2" t="str">
        <f>sheet1[[#This Row],[Nombre]]&amp;sheet1[[#This Row],[Bp Id]]</f>
        <v>Sistema Financiero IntegradoPRD0058</v>
      </c>
      <c r="D276" s="2" t="str">
        <f>VLOOKUP(sheet1[[#This Row],[Columna1]],sheet13[[Columna1]:[Estado]],4,FALSE)</f>
        <v>Operativo</v>
      </c>
      <c r="E276" s="2" t="s">
        <v>1295</v>
      </c>
      <c r="F276" s="2" t="s">
        <v>32</v>
      </c>
      <c r="G276" s="2" t="s">
        <v>48</v>
      </c>
      <c r="H276" s="2" t="s">
        <v>34</v>
      </c>
      <c r="I276" s="2" t="s">
        <v>309</v>
      </c>
      <c r="J276" s="2" t="s">
        <v>96</v>
      </c>
      <c r="K276" s="2" t="s">
        <v>315</v>
      </c>
      <c r="L276" s="2" t="s">
        <v>316</v>
      </c>
      <c r="M276" s="2" t="s">
        <v>39</v>
      </c>
      <c r="N276" s="2" t="s">
        <v>40</v>
      </c>
      <c r="O276" s="2" t="s">
        <v>41</v>
      </c>
      <c r="P276" s="2" t="s">
        <v>53</v>
      </c>
      <c r="Q276" s="2" t="s">
        <v>53</v>
      </c>
      <c r="R276" s="2" t="s">
        <v>41</v>
      </c>
      <c r="S276" s="2" t="s">
        <v>41</v>
      </c>
      <c r="T276" s="2"/>
      <c r="U276" s="3">
        <v>45200</v>
      </c>
      <c r="V276" s="2"/>
      <c r="W276" s="2" t="s">
        <v>100</v>
      </c>
      <c r="X276" s="2" t="s">
        <v>369</v>
      </c>
      <c r="Y276" s="2" t="s">
        <v>147</v>
      </c>
      <c r="Z276" s="2" t="s">
        <v>147</v>
      </c>
      <c r="AA276" s="2" t="s">
        <v>180</v>
      </c>
      <c r="AB276" s="2" t="s">
        <v>129</v>
      </c>
      <c r="AC276" s="2" t="s">
        <v>1296</v>
      </c>
    </row>
    <row r="277" spans="1:29" ht="20.100000000000001" customHeight="1">
      <c r="A277" s="2" t="s">
        <v>1297</v>
      </c>
      <c r="B277" s="2" t="s">
        <v>1298</v>
      </c>
      <c r="C277" s="2" t="str">
        <f>sheet1[[#This Row],[Nombre]]&amp;sheet1[[#This Row],[Bp Id]]</f>
        <v>Sistema Gestión de CuentasCOR0002</v>
      </c>
      <c r="D277" s="2" t="str">
        <f>VLOOKUP(sheet1[[#This Row],[Columna1]],sheet13[[Columna1]:[Estado]],4,FALSE)</f>
        <v>Operativo</v>
      </c>
      <c r="E277" s="2" t="s">
        <v>139</v>
      </c>
      <c r="F277" s="2" t="s">
        <v>32</v>
      </c>
      <c r="G277" s="2" t="s">
        <v>58</v>
      </c>
      <c r="H277" s="2" t="s">
        <v>140</v>
      </c>
      <c r="I277" s="2" t="s">
        <v>141</v>
      </c>
      <c r="J277" s="2" t="s">
        <v>151</v>
      </c>
      <c r="K277" s="2" t="s">
        <v>564</v>
      </c>
      <c r="L277" s="2" t="s">
        <v>565</v>
      </c>
      <c r="M277" s="2" t="s">
        <v>39</v>
      </c>
      <c r="N277" s="2" t="s">
        <v>40</v>
      </c>
      <c r="O277" s="2" t="s">
        <v>41</v>
      </c>
      <c r="P277" s="2" t="s">
        <v>53</v>
      </c>
      <c r="Q277" s="2" t="s">
        <v>53</v>
      </c>
      <c r="R277" s="2" t="s">
        <v>41</v>
      </c>
      <c r="S277" s="2" t="s">
        <v>43</v>
      </c>
      <c r="T277" s="2"/>
      <c r="U277" s="3"/>
      <c r="V277" s="2"/>
      <c r="W277" s="2"/>
      <c r="X277" s="2"/>
      <c r="Y277" s="2"/>
      <c r="Z277" s="2"/>
      <c r="AA277" s="2"/>
      <c r="AB277" s="2"/>
      <c r="AC277" s="2"/>
    </row>
    <row r="278" spans="1:29" ht="20.100000000000001" customHeight="1">
      <c r="A278" s="2" t="s">
        <v>1299</v>
      </c>
      <c r="B278" s="2" t="s">
        <v>1300</v>
      </c>
      <c r="C278" s="2" t="str">
        <f>sheet1[[#This Row],[Nombre]]&amp;sheet1[[#This Row],[Bp Id]]</f>
        <v>Smart ProtectionSEC0036</v>
      </c>
      <c r="D278" s="2" t="str">
        <f>VLOOKUP(sheet1[[#This Row],[Columna1]],sheet13[[Columna1]:[Estado]],4,FALSE)</f>
        <v>Retirado</v>
      </c>
      <c r="E278" s="2" t="s">
        <v>1301</v>
      </c>
      <c r="F278" s="2" t="s">
        <v>47</v>
      </c>
      <c r="G278" s="2" t="s">
        <v>48</v>
      </c>
      <c r="H278" s="2" t="s">
        <v>34</v>
      </c>
      <c r="I278" s="2" t="s">
        <v>107</v>
      </c>
      <c r="J278" s="2" t="s">
        <v>272</v>
      </c>
      <c r="K278" s="2" t="s">
        <v>176</v>
      </c>
      <c r="L278" s="2" t="s">
        <v>175</v>
      </c>
      <c r="M278" s="2" t="s">
        <v>111</v>
      </c>
      <c r="N278" s="2" t="s">
        <v>40</v>
      </c>
      <c r="O278" s="2" t="s">
        <v>41</v>
      </c>
      <c r="P278" s="2" t="s">
        <v>53</v>
      </c>
      <c r="Q278" s="2" t="s">
        <v>53</v>
      </c>
      <c r="R278" s="2" t="s">
        <v>41</v>
      </c>
      <c r="S278" s="2" t="s">
        <v>43</v>
      </c>
      <c r="T278" s="2"/>
      <c r="U278" s="3"/>
      <c r="V278" s="2"/>
      <c r="W278" s="2"/>
      <c r="X278" s="2"/>
      <c r="Y278" s="2"/>
      <c r="Z278" s="2"/>
      <c r="AA278" s="2"/>
      <c r="AB278" s="2"/>
      <c r="AC278" s="2"/>
    </row>
    <row r="279" spans="1:29" ht="20.100000000000001" customHeight="1">
      <c r="A279" s="2" t="s">
        <v>1302</v>
      </c>
      <c r="B279" s="2" t="s">
        <v>1303</v>
      </c>
      <c r="C279" s="2" t="str">
        <f>sheet1[[#This Row],[Nombre]]&amp;sheet1[[#This Row],[Bp Id]]</f>
        <v>SoftguardSEC0044</v>
      </c>
      <c r="D279" s="2" t="str">
        <f>VLOOKUP(sheet1[[#This Row],[Columna1]],sheet13[[Columna1]:[Estado]],4,FALSE)</f>
        <v>Operativo</v>
      </c>
      <c r="E279" s="2" t="s">
        <v>1304</v>
      </c>
      <c r="F279" s="2" t="s">
        <v>32</v>
      </c>
      <c r="G279" s="2" t="s">
        <v>123</v>
      </c>
      <c r="H279" s="2" t="s">
        <v>34</v>
      </c>
      <c r="I279" s="2" t="s">
        <v>107</v>
      </c>
      <c r="J279" s="2" t="s">
        <v>546</v>
      </c>
      <c r="K279" s="2" t="s">
        <v>176</v>
      </c>
      <c r="L279" s="2" t="s">
        <v>412</v>
      </c>
      <c r="M279" s="2" t="s">
        <v>111</v>
      </c>
      <c r="N279" s="2" t="s">
        <v>40</v>
      </c>
      <c r="O279" s="2" t="s">
        <v>41</v>
      </c>
      <c r="P279" s="2" t="s">
        <v>53</v>
      </c>
      <c r="Q279" s="2" t="s">
        <v>53</v>
      </c>
      <c r="R279" s="2" t="s">
        <v>41</v>
      </c>
      <c r="S279" s="2" t="s">
        <v>41</v>
      </c>
      <c r="T279" s="2" t="s">
        <v>180</v>
      </c>
      <c r="U279" s="3">
        <v>46052</v>
      </c>
      <c r="V279" s="2" t="s">
        <v>413</v>
      </c>
      <c r="W279" s="2" t="s">
        <v>100</v>
      </c>
      <c r="X279" s="2" t="s">
        <v>126</v>
      </c>
      <c r="Y279" s="2" t="s">
        <v>127</v>
      </c>
      <c r="Z279" s="2" t="s">
        <v>127</v>
      </c>
      <c r="AA279" s="2" t="s">
        <v>180</v>
      </c>
      <c r="AB279" s="2" t="s">
        <v>129</v>
      </c>
      <c r="AC279" s="2" t="s">
        <v>1305</v>
      </c>
    </row>
    <row r="280" spans="1:29" ht="14.45" customHeight="1">
      <c r="A280" s="2" t="s">
        <v>1306</v>
      </c>
      <c r="B280" s="2" t="s">
        <v>1307</v>
      </c>
      <c r="C280" s="2" t="str">
        <f>sheet1[[#This Row],[Nombre]]&amp;sheet1[[#This Row],[Bp Id]]</f>
        <v>Solicitud Digital - Tarjetas de CréditoPAY0015</v>
      </c>
      <c r="D280" s="2" t="str">
        <f>VLOOKUP(sheet1[[#This Row],[Columna1]],sheet13[[Columna1]:[Estado]],4,FALSE)</f>
        <v>Operativo</v>
      </c>
      <c r="E280" s="2" t="s">
        <v>1308</v>
      </c>
      <c r="F280" s="2" t="s">
        <v>32</v>
      </c>
      <c r="G280" s="2" t="s">
        <v>48</v>
      </c>
      <c r="H280" s="2" t="s">
        <v>59</v>
      </c>
      <c r="I280" s="2" t="s">
        <v>141</v>
      </c>
      <c r="J280" s="2" t="s">
        <v>151</v>
      </c>
      <c r="K280" s="2" t="s">
        <v>143</v>
      </c>
      <c r="L280" s="2" t="s">
        <v>144</v>
      </c>
      <c r="M280" s="2" t="s">
        <v>39</v>
      </c>
      <c r="N280" s="2" t="s">
        <v>91</v>
      </c>
      <c r="O280" s="2" t="s">
        <v>43</v>
      </c>
      <c r="P280" s="2" t="s">
        <v>64</v>
      </c>
      <c r="Q280" s="2" t="s">
        <v>64</v>
      </c>
      <c r="R280" s="2" t="s">
        <v>43</v>
      </c>
      <c r="S280" s="2" t="s">
        <v>43</v>
      </c>
      <c r="T280" s="2" t="s">
        <v>1309</v>
      </c>
      <c r="U280" s="3">
        <v>46083</v>
      </c>
      <c r="V280" s="2" t="s">
        <v>1310</v>
      </c>
      <c r="W280" s="2"/>
      <c r="X280" s="2"/>
      <c r="Y280" s="2"/>
      <c r="Z280" s="2"/>
      <c r="AA280" s="2"/>
      <c r="AB280" s="2"/>
      <c r="AC280" s="2"/>
    </row>
    <row r="281" spans="1:29" ht="20.100000000000001" customHeight="1">
      <c r="A281" s="2" t="s">
        <v>1311</v>
      </c>
      <c r="B281" s="2" t="s">
        <v>1312</v>
      </c>
      <c r="C281" s="2" t="str">
        <f>sheet1[[#This Row],[Nombre]]&amp;sheet1[[#This Row],[Bp Id]]</f>
        <v>Solicitud inmediataCUS0012</v>
      </c>
      <c r="D281" s="2" t="str">
        <f>VLOOKUP(sheet1[[#This Row],[Columna1]],sheet13[[Columna1]:[Estado]],4,FALSE)</f>
        <v>Retirado</v>
      </c>
      <c r="E281" s="2" t="s">
        <v>1313</v>
      </c>
      <c r="F281" s="2" t="s">
        <v>47</v>
      </c>
      <c r="G281" s="2" t="s">
        <v>48</v>
      </c>
      <c r="H281" s="2" t="s">
        <v>59</v>
      </c>
      <c r="I281" s="2" t="s">
        <v>134</v>
      </c>
      <c r="J281" s="2" t="s">
        <v>88</v>
      </c>
      <c r="K281" s="2" t="s">
        <v>88</v>
      </c>
      <c r="L281" s="2" t="s">
        <v>480</v>
      </c>
      <c r="M281" s="2" t="s">
        <v>39</v>
      </c>
      <c r="N281" s="2" t="s">
        <v>91</v>
      </c>
      <c r="O281" s="2" t="s">
        <v>43</v>
      </c>
      <c r="P281" s="2" t="s">
        <v>311</v>
      </c>
      <c r="Q281" s="2" t="s">
        <v>311</v>
      </c>
      <c r="R281" s="2" t="s">
        <v>43</v>
      </c>
      <c r="S281" s="2" t="s">
        <v>43</v>
      </c>
      <c r="T281" s="2"/>
      <c r="U281" s="3"/>
      <c r="V281" s="2"/>
      <c r="W281" s="2"/>
      <c r="X281" s="2"/>
      <c r="Y281" s="2"/>
      <c r="Z281" s="2"/>
      <c r="AA281" s="2"/>
      <c r="AB281" s="2"/>
      <c r="AC281" s="2"/>
    </row>
    <row r="282" spans="1:29" ht="20.100000000000001" customHeight="1">
      <c r="A282" s="2" t="s">
        <v>1314</v>
      </c>
      <c r="B282" s="2" t="s">
        <v>1315</v>
      </c>
      <c r="C282" s="2" t="str">
        <f>sheet1[[#This Row],[Nombre]]&amp;sheet1[[#This Row],[Bp Id]]</f>
        <v>SPARTANGOB0007</v>
      </c>
      <c r="D282" s="2" t="str">
        <f>VLOOKUP(sheet1[[#This Row],[Columna1]],sheet13[[Columna1]:[Estado]],4,FALSE)</f>
        <v>Operativo</v>
      </c>
      <c r="E282" s="2" t="s">
        <v>1316</v>
      </c>
      <c r="F282" s="2" t="s">
        <v>32</v>
      </c>
      <c r="G282" s="2" t="s">
        <v>123</v>
      </c>
      <c r="H282" s="2" t="s">
        <v>345</v>
      </c>
      <c r="I282" s="2" t="s">
        <v>258</v>
      </c>
      <c r="J282" s="2" t="s">
        <v>214</v>
      </c>
      <c r="K282" s="2" t="s">
        <v>658</v>
      </c>
      <c r="L282" s="2" t="s">
        <v>658</v>
      </c>
      <c r="M282" s="2" t="s">
        <v>39</v>
      </c>
      <c r="N282" s="2" t="s">
        <v>40</v>
      </c>
      <c r="O282" s="2" t="s">
        <v>41</v>
      </c>
      <c r="P282" s="2" t="s">
        <v>42</v>
      </c>
      <c r="Q282" s="2" t="s">
        <v>53</v>
      </c>
      <c r="R282" s="2" t="s">
        <v>41</v>
      </c>
      <c r="S282" s="2" t="s">
        <v>41</v>
      </c>
      <c r="T282" s="2" t="s">
        <v>1317</v>
      </c>
      <c r="U282" s="3">
        <v>45200</v>
      </c>
      <c r="V282" s="2"/>
      <c r="W282" s="2" t="s">
        <v>253</v>
      </c>
      <c r="X282" s="2" t="s">
        <v>146</v>
      </c>
      <c r="Y282" s="2" t="s">
        <v>147</v>
      </c>
      <c r="Z282" s="2" t="s">
        <v>147</v>
      </c>
      <c r="AA282" s="2" t="s">
        <v>180</v>
      </c>
      <c r="AB282" s="2" t="s">
        <v>129</v>
      </c>
      <c r="AC282" s="2" t="s">
        <v>1318</v>
      </c>
    </row>
    <row r="283" spans="1:29" ht="14.45" customHeight="1">
      <c r="A283" s="2" t="s">
        <v>1319</v>
      </c>
      <c r="B283" s="2" t="s">
        <v>1320</v>
      </c>
      <c r="C283" s="2" t="str">
        <f>sheet1[[#This Row],[Nombre]]&amp;sheet1[[#This Row],[Bp Id]]</f>
        <v>Correlacionador de Eventos SOC (SPLUNK)SEC0068</v>
      </c>
      <c r="D283" s="2" t="str">
        <f>VLOOKUP(sheet1[[#This Row],[Columna1]],sheet13[[Columna1]:[Estado]],4,FALSE)</f>
        <v>Operativo</v>
      </c>
      <c r="E283" s="2" t="s">
        <v>1321</v>
      </c>
      <c r="F283" s="2" t="s">
        <v>32</v>
      </c>
      <c r="G283" s="2" t="s">
        <v>76</v>
      </c>
      <c r="H283" s="2" t="s">
        <v>59</v>
      </c>
      <c r="I283" s="2" t="s">
        <v>107</v>
      </c>
      <c r="J283" s="2" t="s">
        <v>175</v>
      </c>
      <c r="K283" s="2" t="s">
        <v>176</v>
      </c>
      <c r="L283" s="2" t="s">
        <v>1152</v>
      </c>
      <c r="M283" s="2" t="s">
        <v>111</v>
      </c>
      <c r="N283" s="2" t="s">
        <v>40</v>
      </c>
      <c r="O283" s="2" t="s">
        <v>41</v>
      </c>
      <c r="P283" s="2" t="s">
        <v>42</v>
      </c>
      <c r="Q283" s="2" t="s">
        <v>42</v>
      </c>
      <c r="R283" s="2" t="s">
        <v>41</v>
      </c>
      <c r="S283" s="2" t="s">
        <v>41</v>
      </c>
      <c r="T283" s="2"/>
      <c r="U283" s="3">
        <v>45713</v>
      </c>
      <c r="V283" s="2"/>
      <c r="W283" s="2" t="s">
        <v>179</v>
      </c>
      <c r="X283" s="2" t="s">
        <v>125</v>
      </c>
      <c r="Y283" s="2" t="s">
        <v>376</v>
      </c>
      <c r="Z283" s="2" t="s">
        <v>376</v>
      </c>
      <c r="AA283" s="2" t="s">
        <v>263</v>
      </c>
      <c r="AB283" s="2" t="s">
        <v>129</v>
      </c>
      <c r="AC283" s="2" t="s">
        <v>1322</v>
      </c>
    </row>
    <row r="284" spans="1:29" ht="20.100000000000001" customHeight="1">
      <c r="A284" s="2" t="s">
        <v>1323</v>
      </c>
      <c r="B284" s="2" t="s">
        <v>1324</v>
      </c>
      <c r="C284" s="2" t="str">
        <f>sheet1[[#This Row],[Nombre]]&amp;sheet1[[#This Row],[Bp Id]]</f>
        <v>SSTOBITM0053</v>
      </c>
      <c r="D284" s="2" t="str">
        <f>VLOOKUP(sheet1[[#This Row],[Columna1]],sheet13[[Columna1]:[Estado]],4,FALSE)</f>
        <v>Retirado</v>
      </c>
      <c r="E284" s="2" t="s">
        <v>1325</v>
      </c>
      <c r="F284" s="2" t="s">
        <v>47</v>
      </c>
      <c r="G284" s="2" t="s">
        <v>48</v>
      </c>
      <c r="H284" s="2" t="s">
        <v>140</v>
      </c>
      <c r="I284" s="2" t="s">
        <v>232</v>
      </c>
      <c r="J284" s="2" t="s">
        <v>69</v>
      </c>
      <c r="K284" s="2" t="s">
        <v>381</v>
      </c>
      <c r="L284" s="2" t="s">
        <v>1326</v>
      </c>
      <c r="M284" s="2" t="s">
        <v>52</v>
      </c>
      <c r="N284" s="2" t="s">
        <v>40</v>
      </c>
      <c r="O284" s="2" t="s">
        <v>41</v>
      </c>
      <c r="P284" s="2" t="s">
        <v>53</v>
      </c>
      <c r="Q284" s="2" t="s">
        <v>53</v>
      </c>
      <c r="R284" s="2" t="s">
        <v>41</v>
      </c>
      <c r="S284" s="2" t="s">
        <v>43</v>
      </c>
      <c r="T284" s="2"/>
      <c r="U284" s="3"/>
      <c r="V284" s="2"/>
      <c r="W284" s="2"/>
      <c r="X284" s="2"/>
      <c r="Y284" s="2"/>
      <c r="Z284" s="2"/>
      <c r="AA284" s="2"/>
      <c r="AB284" s="2"/>
      <c r="AC284" s="2"/>
    </row>
    <row r="285" spans="1:29" ht="20.100000000000001" customHeight="1">
      <c r="A285" s="2" t="s">
        <v>1327</v>
      </c>
      <c r="B285" s="2" t="s">
        <v>1328</v>
      </c>
      <c r="C285" s="2" t="str">
        <f>sheet1[[#This Row],[Nombre]]&amp;sheet1[[#This Row],[Bp Id]]</f>
        <v>StackHawkSEC0058</v>
      </c>
      <c r="D285" s="2" t="str">
        <f>VLOOKUP(sheet1[[#This Row],[Columna1]],sheet13[[Columna1]:[Estado]],4,FALSE)</f>
        <v>Operativo</v>
      </c>
      <c r="E285" s="2" t="s">
        <v>1329</v>
      </c>
      <c r="F285" s="2" t="s">
        <v>32</v>
      </c>
      <c r="G285" s="2" t="s">
        <v>48</v>
      </c>
      <c r="H285" s="2" t="s">
        <v>345</v>
      </c>
      <c r="I285" s="2" t="s">
        <v>107</v>
      </c>
      <c r="J285" s="2" t="s">
        <v>1330</v>
      </c>
      <c r="K285" s="2" t="s">
        <v>176</v>
      </c>
      <c r="L285" s="2" t="s">
        <v>214</v>
      </c>
      <c r="M285" s="2" t="s">
        <v>111</v>
      </c>
      <c r="N285" s="2" t="s">
        <v>40</v>
      </c>
      <c r="O285" s="2" t="s">
        <v>41</v>
      </c>
      <c r="P285" s="2" t="s">
        <v>64</v>
      </c>
      <c r="Q285" s="2" t="s">
        <v>64</v>
      </c>
      <c r="R285" s="2" t="s">
        <v>41</v>
      </c>
      <c r="S285" s="2" t="s">
        <v>41</v>
      </c>
      <c r="T285" s="2" t="s">
        <v>1331</v>
      </c>
      <c r="U285" s="3">
        <v>45716</v>
      </c>
      <c r="V285" s="2"/>
      <c r="W285" s="2" t="s">
        <v>101</v>
      </c>
      <c r="X285" s="2" t="s">
        <v>146</v>
      </c>
      <c r="Y285" s="2" t="s">
        <v>1332</v>
      </c>
      <c r="Z285" s="2"/>
      <c r="AA285" s="2" t="s">
        <v>180</v>
      </c>
      <c r="AB285" s="2" t="s">
        <v>129</v>
      </c>
      <c r="AC285" s="2" t="s">
        <v>1333</v>
      </c>
    </row>
    <row r="286" spans="1:29" ht="20.100000000000001" customHeight="1">
      <c r="A286" s="2" t="s">
        <v>1334</v>
      </c>
      <c r="B286" s="2" t="s">
        <v>1335</v>
      </c>
      <c r="C286" s="2" t="str">
        <f>sheet1[[#This Row],[Nombre]]&amp;sheet1[[#This Row],[Bp Id]]</f>
        <v>StealtwatchSEC0038</v>
      </c>
      <c r="D286" s="2" t="str">
        <f>VLOOKUP(sheet1[[#This Row],[Columna1]],sheet13[[Columna1]:[Estado]],4,FALSE)</f>
        <v>Operativo</v>
      </c>
      <c r="E286" s="2" t="s">
        <v>1336</v>
      </c>
      <c r="F286" s="2" t="s">
        <v>32</v>
      </c>
      <c r="G286" s="2" t="s">
        <v>48</v>
      </c>
      <c r="H286" s="2" t="s">
        <v>34</v>
      </c>
      <c r="I286" s="2" t="s">
        <v>107</v>
      </c>
      <c r="J286" s="2" t="s">
        <v>177</v>
      </c>
      <c r="K286" s="2" t="s">
        <v>176</v>
      </c>
      <c r="L286" s="2" t="s">
        <v>219</v>
      </c>
      <c r="M286" s="2" t="s">
        <v>111</v>
      </c>
      <c r="N286" s="2" t="s">
        <v>40</v>
      </c>
      <c r="O286" s="2" t="s">
        <v>41</v>
      </c>
      <c r="P286" s="2" t="s">
        <v>53</v>
      </c>
      <c r="Q286" s="2" t="s">
        <v>53</v>
      </c>
      <c r="R286" s="2" t="s">
        <v>41</v>
      </c>
      <c r="S286" s="2" t="s">
        <v>41</v>
      </c>
      <c r="T286" s="2" t="s">
        <v>1337</v>
      </c>
      <c r="U286" s="3">
        <v>46028</v>
      </c>
      <c r="V286" s="2" t="s">
        <v>186</v>
      </c>
      <c r="W286" s="2" t="s">
        <v>375</v>
      </c>
      <c r="X286" s="2" t="s">
        <v>959</v>
      </c>
      <c r="Y286" s="2" t="s">
        <v>127</v>
      </c>
      <c r="Z286" s="2" t="s">
        <v>127</v>
      </c>
      <c r="AA286" s="2" t="s">
        <v>180</v>
      </c>
      <c r="AB286" s="2" t="s">
        <v>129</v>
      </c>
      <c r="AC286" s="2" t="s">
        <v>1338</v>
      </c>
    </row>
    <row r="287" spans="1:29" ht="14.45" customHeight="1">
      <c r="A287" s="2" t="s">
        <v>1339</v>
      </c>
      <c r="B287" s="2" t="s">
        <v>1340</v>
      </c>
      <c r="C287" s="2" t="str">
        <f>sheet1[[#This Row],[Nombre]]&amp;sheet1[[#This Row],[Bp Id]]</f>
        <v>SupermetricsCUS0013</v>
      </c>
      <c r="D287" s="2" t="str">
        <f>VLOOKUP(sheet1[[#This Row],[Columna1]],sheet13[[Columna1]:[Estado]],4,FALSE)</f>
        <v>Operativo</v>
      </c>
      <c r="E287" s="2" t="s">
        <v>1341</v>
      </c>
      <c r="F287" s="2" t="s">
        <v>32</v>
      </c>
      <c r="G287" s="2" t="s">
        <v>48</v>
      </c>
      <c r="H287" s="2" t="s">
        <v>59</v>
      </c>
      <c r="I287" s="2" t="s">
        <v>87</v>
      </c>
      <c r="J287" s="2" t="s">
        <v>88</v>
      </c>
      <c r="K287" s="2" t="s">
        <v>1342</v>
      </c>
      <c r="L287" s="2" t="s">
        <v>88</v>
      </c>
      <c r="M287" s="2" t="s">
        <v>63</v>
      </c>
      <c r="N287" s="2" t="s">
        <v>40</v>
      </c>
      <c r="O287" s="2" t="s">
        <v>41</v>
      </c>
      <c r="P287" s="2" t="s">
        <v>53</v>
      </c>
      <c r="Q287" s="2" t="s">
        <v>53</v>
      </c>
      <c r="R287" s="2" t="s">
        <v>43</v>
      </c>
      <c r="S287" s="2" t="s">
        <v>43</v>
      </c>
      <c r="T287" s="2"/>
      <c r="U287" s="3"/>
      <c r="V287" s="2"/>
      <c r="W287" s="2"/>
      <c r="X287" s="2"/>
      <c r="Y287" s="2"/>
      <c r="Z287" s="2"/>
      <c r="AA287" s="2"/>
      <c r="AB287" s="2"/>
      <c r="AC287" s="2"/>
    </row>
    <row r="288" spans="1:29" ht="29.1" customHeight="1">
      <c r="A288" s="2" t="s">
        <v>1343</v>
      </c>
      <c r="B288" s="2" t="s">
        <v>1344</v>
      </c>
      <c r="C288" s="2" t="str">
        <f>sheet1[[#This Row],[Nombre]]&amp;sheet1[[#This Row],[Bp Id]]</f>
        <v>Swift Alliance FullStackPRD0040</v>
      </c>
      <c r="D288" s="2" t="str">
        <f>VLOOKUP(sheet1[[#This Row],[Columna1]],sheet13[[Columna1]:[Estado]],4,FALSE)</f>
        <v>Operativo</v>
      </c>
      <c r="E288" s="2" t="s">
        <v>1345</v>
      </c>
      <c r="F288" s="2" t="s">
        <v>32</v>
      </c>
      <c r="G288" s="2" t="s">
        <v>33</v>
      </c>
      <c r="H288" s="2" t="s">
        <v>34</v>
      </c>
      <c r="I288" s="2" t="s">
        <v>141</v>
      </c>
      <c r="J288" s="2" t="s">
        <v>151</v>
      </c>
      <c r="K288" s="2" t="s">
        <v>1346</v>
      </c>
      <c r="L288" s="2" t="s">
        <v>1347</v>
      </c>
      <c r="M288" s="2" t="s">
        <v>39</v>
      </c>
      <c r="N288" s="2" t="s">
        <v>40</v>
      </c>
      <c r="O288" s="2" t="s">
        <v>41</v>
      </c>
      <c r="P288" s="2" t="s">
        <v>53</v>
      </c>
      <c r="Q288" s="2" t="s">
        <v>53</v>
      </c>
      <c r="R288" s="2" t="s">
        <v>41</v>
      </c>
      <c r="S288" s="2" t="s">
        <v>41</v>
      </c>
      <c r="T288" s="2" t="s">
        <v>1348</v>
      </c>
      <c r="U288" s="3">
        <v>45200</v>
      </c>
      <c r="V288" s="2" t="s">
        <v>970</v>
      </c>
      <c r="W288" s="2" t="s">
        <v>851</v>
      </c>
      <c r="X288" s="2" t="s">
        <v>126</v>
      </c>
      <c r="Y288" s="2" t="s">
        <v>147</v>
      </c>
      <c r="Z288" s="2" t="s">
        <v>127</v>
      </c>
      <c r="AA288" s="2" t="s">
        <v>180</v>
      </c>
      <c r="AB288" s="2" t="s">
        <v>129</v>
      </c>
      <c r="AC288" s="2" t="s">
        <v>1349</v>
      </c>
    </row>
    <row r="289" spans="1:29" ht="29.1" customHeight="1">
      <c r="A289" s="2" t="s">
        <v>1350</v>
      </c>
      <c r="B289" s="2" t="s">
        <v>1351</v>
      </c>
      <c r="C289" s="2" t="str">
        <f>sheet1[[#This Row],[Nombre]]&amp;sheet1[[#This Row],[Bp Id]]</f>
        <v>Swift Alliance WareHousePRD0041</v>
      </c>
      <c r="D289" s="2" t="str">
        <f>VLOOKUP(sheet1[[#This Row],[Columna1]],sheet13[[Columna1]:[Estado]],4,FALSE)</f>
        <v>Retirado</v>
      </c>
      <c r="E289" s="2" t="s">
        <v>1345</v>
      </c>
      <c r="F289" s="2" t="s">
        <v>47</v>
      </c>
      <c r="G289" s="2" t="s">
        <v>76</v>
      </c>
      <c r="H289" s="2" t="s">
        <v>34</v>
      </c>
      <c r="I289" s="2" t="s">
        <v>921</v>
      </c>
      <c r="J289" s="2" t="s">
        <v>50</v>
      </c>
      <c r="K289" s="2" t="s">
        <v>634</v>
      </c>
      <c r="L289" s="2" t="s">
        <v>1189</v>
      </c>
      <c r="M289" s="2" t="s">
        <v>39</v>
      </c>
      <c r="N289" s="2" t="s">
        <v>40</v>
      </c>
      <c r="O289" s="2" t="s">
        <v>41</v>
      </c>
      <c r="P289" s="2" t="s">
        <v>53</v>
      </c>
      <c r="Q289" s="2" t="s">
        <v>53</v>
      </c>
      <c r="R289" s="2" t="s">
        <v>41</v>
      </c>
      <c r="S289" s="2" t="s">
        <v>41</v>
      </c>
      <c r="T289" s="2" t="s">
        <v>1352</v>
      </c>
      <c r="U289" s="3">
        <v>45200</v>
      </c>
      <c r="V289" s="2" t="s">
        <v>970</v>
      </c>
      <c r="W289" s="2" t="s">
        <v>851</v>
      </c>
      <c r="X289" s="2" t="s">
        <v>126</v>
      </c>
      <c r="Y289" s="2" t="s">
        <v>147</v>
      </c>
      <c r="Z289" s="2" t="s">
        <v>127</v>
      </c>
      <c r="AA289" s="2" t="s">
        <v>180</v>
      </c>
      <c r="AB289" s="2" t="s">
        <v>129</v>
      </c>
      <c r="AC289" s="2" t="s">
        <v>1353</v>
      </c>
    </row>
    <row r="290" spans="1:29" ht="20.100000000000001" customHeight="1">
      <c r="A290" s="2" t="s">
        <v>1354</v>
      </c>
      <c r="B290" s="2" t="s">
        <v>1355</v>
      </c>
      <c r="C290" s="2" t="str">
        <f>sheet1[[#This Row],[Nombre]]&amp;sheet1[[#This Row],[Bp Id]]</f>
        <v>Swift Transaction ScreeningGOB0019</v>
      </c>
      <c r="D290" s="2" t="str">
        <f>VLOOKUP(sheet1[[#This Row],[Columna1]],sheet13[[Columna1]:[Estado]],4,FALSE)</f>
        <v>Retirado</v>
      </c>
      <c r="E290" s="2" t="s">
        <v>1356</v>
      </c>
      <c r="F290" s="2" t="s">
        <v>47</v>
      </c>
      <c r="G290" s="2" t="s">
        <v>76</v>
      </c>
      <c r="H290" s="2" t="s">
        <v>140</v>
      </c>
      <c r="I290" s="2" t="s">
        <v>921</v>
      </c>
      <c r="J290" s="2" t="s">
        <v>50</v>
      </c>
      <c r="K290" s="2" t="s">
        <v>634</v>
      </c>
      <c r="L290" s="2" t="s">
        <v>1189</v>
      </c>
      <c r="M290" s="2" t="s">
        <v>39</v>
      </c>
      <c r="N290" s="2" t="s">
        <v>40</v>
      </c>
      <c r="O290" s="2" t="s">
        <v>41</v>
      </c>
      <c r="P290" s="2" t="s">
        <v>53</v>
      </c>
      <c r="Q290" s="2" t="s">
        <v>53</v>
      </c>
      <c r="R290" s="2" t="s">
        <v>41</v>
      </c>
      <c r="S290" s="2" t="s">
        <v>41</v>
      </c>
      <c r="T290" s="2" t="s">
        <v>1331</v>
      </c>
      <c r="U290" s="3">
        <v>45200</v>
      </c>
      <c r="V290" s="2"/>
      <c r="W290" s="2" t="s">
        <v>126</v>
      </c>
      <c r="X290" s="2" t="s">
        <v>851</v>
      </c>
      <c r="Y290" s="2" t="s">
        <v>147</v>
      </c>
      <c r="Z290" s="2" t="s">
        <v>147</v>
      </c>
      <c r="AA290" s="2" t="s">
        <v>180</v>
      </c>
      <c r="AB290" s="2" t="s">
        <v>129</v>
      </c>
      <c r="AC290" s="2"/>
    </row>
    <row r="291" spans="1:29" ht="20.100000000000001" customHeight="1">
      <c r="A291" s="2" t="s">
        <v>1357</v>
      </c>
      <c r="B291" s="2" t="s">
        <v>1358</v>
      </c>
      <c r="C291" s="2" t="str">
        <f>sheet1[[#This Row],[Nombre]]&amp;sheet1[[#This Row],[Bp Id]]</f>
        <v>Switch Banred - RemesasPRD0036</v>
      </c>
      <c r="D291" s="2" t="str">
        <f>VLOOKUP(sheet1[[#This Row],[Columna1]],sheet13[[Columna1]:[Estado]],4,FALSE)</f>
        <v>Retirado</v>
      </c>
      <c r="E291" s="2" t="s">
        <v>139</v>
      </c>
      <c r="F291" s="2" t="s">
        <v>47</v>
      </c>
      <c r="G291" s="2" t="s">
        <v>76</v>
      </c>
      <c r="H291" s="2" t="s">
        <v>140</v>
      </c>
      <c r="I291" s="2" t="s">
        <v>141</v>
      </c>
      <c r="J291" s="2" t="s">
        <v>142</v>
      </c>
      <c r="K291" s="2" t="s">
        <v>1359</v>
      </c>
      <c r="L291" s="2" t="s">
        <v>160</v>
      </c>
      <c r="M291" s="2" t="s">
        <v>621</v>
      </c>
      <c r="N291" s="2" t="s">
        <v>40</v>
      </c>
      <c r="O291" s="2" t="s">
        <v>43</v>
      </c>
      <c r="P291" s="2" t="s">
        <v>53</v>
      </c>
      <c r="Q291" s="2" t="s">
        <v>53</v>
      </c>
      <c r="R291" s="2" t="s">
        <v>43</v>
      </c>
      <c r="S291" s="2" t="s">
        <v>43</v>
      </c>
      <c r="T291" s="2"/>
      <c r="U291" s="3"/>
      <c r="V291" s="2"/>
      <c r="W291" s="2"/>
      <c r="X291" s="2"/>
      <c r="Y291" s="2"/>
      <c r="Z291" s="2"/>
      <c r="AA291" s="2"/>
      <c r="AB291" s="2"/>
      <c r="AC291" s="2"/>
    </row>
    <row r="292" spans="1:29" ht="20.100000000000001" customHeight="1">
      <c r="A292" s="2" t="s">
        <v>1360</v>
      </c>
      <c r="B292" s="2" t="s">
        <v>1361</v>
      </c>
      <c r="C292" s="2" t="str">
        <f>sheet1[[#This Row],[Nombre]]&amp;sheet1[[#This Row],[Bp Id]]</f>
        <v>Switch Transacciones TarjetasPAY0016</v>
      </c>
      <c r="D292" s="2" t="str">
        <f>VLOOKUP(sheet1[[#This Row],[Columna1]],sheet13[[Columna1]:[Estado]],4,FALSE)</f>
        <v>Operativo</v>
      </c>
      <c r="E292" s="2" t="s">
        <v>139</v>
      </c>
      <c r="F292" s="2" t="s">
        <v>32</v>
      </c>
      <c r="G292" s="2" t="s">
        <v>76</v>
      </c>
      <c r="H292" s="2" t="s">
        <v>140</v>
      </c>
      <c r="I292" s="2" t="s">
        <v>141</v>
      </c>
      <c r="J292" s="2" t="s">
        <v>151</v>
      </c>
      <c r="K292" s="2" t="s">
        <v>143</v>
      </c>
      <c r="L292" s="2" t="s">
        <v>144</v>
      </c>
      <c r="M292" s="2" t="s">
        <v>621</v>
      </c>
      <c r="N292" s="2" t="s">
        <v>40</v>
      </c>
      <c r="O292" s="2" t="s">
        <v>43</v>
      </c>
      <c r="P292" s="2" t="s">
        <v>53</v>
      </c>
      <c r="Q292" s="2" t="s">
        <v>53</v>
      </c>
      <c r="R292" s="2" t="s">
        <v>43</v>
      </c>
      <c r="S292" s="2" t="s">
        <v>43</v>
      </c>
      <c r="T292" s="2"/>
      <c r="U292" s="3"/>
      <c r="V292" s="2"/>
      <c r="W292" s="2"/>
      <c r="X292" s="2"/>
      <c r="Y292" s="2"/>
      <c r="Z292" s="2"/>
      <c r="AA292" s="2"/>
      <c r="AB292" s="2"/>
      <c r="AC292" s="2"/>
    </row>
    <row r="293" spans="1:29" ht="20.100000000000001" customHeight="1">
      <c r="A293" s="2" t="s">
        <v>1362</v>
      </c>
      <c r="B293" s="2" t="s">
        <v>1363</v>
      </c>
      <c r="C293" s="2" t="str">
        <f>sheet1[[#This Row],[Nombre]]&amp;sheet1[[#This Row],[Bp Id]]</f>
        <v>Switch Banred - Tarjeta DébitoPAY0017</v>
      </c>
      <c r="D293" s="2" t="str">
        <f>VLOOKUP(sheet1[[#This Row],[Columna1]],sheet13[[Columna1]:[Estado]],4,FALSE)</f>
        <v>Retirado</v>
      </c>
      <c r="E293" s="2" t="s">
        <v>139</v>
      </c>
      <c r="F293" s="2" t="s">
        <v>47</v>
      </c>
      <c r="G293" s="2" t="s">
        <v>33</v>
      </c>
      <c r="H293" s="2" t="s">
        <v>140</v>
      </c>
      <c r="I293" s="2" t="s">
        <v>141</v>
      </c>
      <c r="J293" s="2" t="s">
        <v>142</v>
      </c>
      <c r="K293" s="2" t="s">
        <v>564</v>
      </c>
      <c r="L293" s="2" t="s">
        <v>565</v>
      </c>
      <c r="M293" s="2" t="s">
        <v>621</v>
      </c>
      <c r="N293" s="2" t="s">
        <v>40</v>
      </c>
      <c r="O293" s="2" t="s">
        <v>43</v>
      </c>
      <c r="P293" s="2" t="s">
        <v>53</v>
      </c>
      <c r="Q293" s="2" t="s">
        <v>53</v>
      </c>
      <c r="R293" s="2" t="s">
        <v>43</v>
      </c>
      <c r="S293" s="2" t="s">
        <v>43</v>
      </c>
      <c r="T293" s="2"/>
      <c r="U293" s="3"/>
      <c r="V293" s="2"/>
      <c r="W293" s="2"/>
      <c r="X293" s="2"/>
      <c r="Y293" s="2"/>
      <c r="Z293" s="2"/>
      <c r="AA293" s="2"/>
      <c r="AB293" s="2"/>
      <c r="AC293" s="2"/>
    </row>
    <row r="294" spans="1:29" ht="20.100000000000001" customHeight="1">
      <c r="A294" s="2" t="s">
        <v>1364</v>
      </c>
      <c r="B294" s="2" t="s">
        <v>1365</v>
      </c>
      <c r="C294" s="2" t="str">
        <f>sheet1[[#This Row],[Nombre]]&amp;sheet1[[#This Row],[Bp Id]]</f>
        <v>Switch Banred - Tarjeta PrepagoPAY0018</v>
      </c>
      <c r="D294" s="2" t="str">
        <f>VLOOKUP(sheet1[[#This Row],[Columna1]],sheet13[[Columna1]:[Estado]],4,FALSE)</f>
        <v>Retirado</v>
      </c>
      <c r="E294" s="2" t="s">
        <v>139</v>
      </c>
      <c r="F294" s="2" t="s">
        <v>47</v>
      </c>
      <c r="G294" s="2" t="s">
        <v>48</v>
      </c>
      <c r="H294" s="2" t="s">
        <v>140</v>
      </c>
      <c r="I294" s="2" t="s">
        <v>141</v>
      </c>
      <c r="J294" s="2" t="s">
        <v>142</v>
      </c>
      <c r="K294" s="2" t="s">
        <v>1366</v>
      </c>
      <c r="L294" s="2" t="s">
        <v>1367</v>
      </c>
      <c r="M294" s="2" t="s">
        <v>621</v>
      </c>
      <c r="N294" s="2" t="s">
        <v>40</v>
      </c>
      <c r="O294" s="2" t="s">
        <v>43</v>
      </c>
      <c r="P294" s="2" t="s">
        <v>53</v>
      </c>
      <c r="Q294" s="2" t="s">
        <v>53</v>
      </c>
      <c r="R294" s="2" t="s">
        <v>43</v>
      </c>
      <c r="S294" s="2" t="s">
        <v>43</v>
      </c>
      <c r="T294" s="2"/>
      <c r="U294" s="3"/>
      <c r="V294" s="2"/>
      <c r="W294" s="2"/>
      <c r="X294" s="2"/>
      <c r="Y294" s="2"/>
      <c r="Z294" s="2"/>
      <c r="AA294" s="2"/>
      <c r="AB294" s="2"/>
      <c r="AC294" s="2"/>
    </row>
    <row r="295" spans="1:29" ht="29.1" customHeight="1">
      <c r="A295" s="2" t="s">
        <v>1368</v>
      </c>
      <c r="B295" s="2" t="s">
        <v>1369</v>
      </c>
      <c r="C295" s="2" t="str">
        <f>sheet1[[#This Row],[Nombre]]&amp;sheet1[[#This Row],[Bp Id]]</f>
        <v>Switch BayteqINT0001</v>
      </c>
      <c r="D295" s="2" t="str">
        <f>VLOOKUP(sheet1[[#This Row],[Columna1]],sheet13[[Columna1]:[Estado]],4,FALSE)</f>
        <v>Operativo</v>
      </c>
      <c r="E295" s="2" t="s">
        <v>1370</v>
      </c>
      <c r="F295" s="2" t="s">
        <v>32</v>
      </c>
      <c r="G295" s="2" t="s">
        <v>76</v>
      </c>
      <c r="H295" s="2" t="s">
        <v>34</v>
      </c>
      <c r="I295" s="2" t="s">
        <v>116</v>
      </c>
      <c r="J295" s="2" t="s">
        <v>62</v>
      </c>
      <c r="K295" s="2" t="s">
        <v>555</v>
      </c>
      <c r="L295" s="2" t="s">
        <v>1174</v>
      </c>
      <c r="M295" s="2" t="s">
        <v>621</v>
      </c>
      <c r="N295" s="2" t="s">
        <v>40</v>
      </c>
      <c r="O295" s="2" t="s">
        <v>43</v>
      </c>
      <c r="P295" s="2" t="s">
        <v>53</v>
      </c>
      <c r="Q295" s="2" t="s">
        <v>53</v>
      </c>
      <c r="R295" s="2" t="s">
        <v>43</v>
      </c>
      <c r="S295" s="2" t="s">
        <v>43</v>
      </c>
      <c r="T295" s="2"/>
      <c r="U295" s="3"/>
      <c r="V295" s="2"/>
      <c r="W295" s="2"/>
      <c r="X295" s="2"/>
      <c r="Y295" s="2"/>
      <c r="Z295" s="2"/>
      <c r="AA295" s="2"/>
      <c r="AB295" s="2"/>
      <c r="AC295" s="2"/>
    </row>
    <row r="296" spans="1:29" ht="87" customHeight="1">
      <c r="A296" s="2" t="s">
        <v>1371</v>
      </c>
      <c r="B296" s="2" t="s">
        <v>1372</v>
      </c>
      <c r="C296" s="2" t="str">
        <f>sheet1[[#This Row],[Nombre]]&amp;sheet1[[#This Row],[Bp Id]]</f>
        <v>Switch NETManager CNBCHL0028</v>
      </c>
      <c r="D296" s="2" t="str">
        <f>VLOOKUP(sheet1[[#This Row],[Columna1]],sheet13[[Columna1]:[Estado]],4,FALSE)</f>
        <v>Operativo</v>
      </c>
      <c r="E296" s="2" t="s">
        <v>1373</v>
      </c>
      <c r="F296" s="2" t="s">
        <v>32</v>
      </c>
      <c r="G296" s="2" t="s">
        <v>33</v>
      </c>
      <c r="H296" s="2" t="s">
        <v>34</v>
      </c>
      <c r="I296" s="2" t="s">
        <v>35</v>
      </c>
      <c r="J296" s="2" t="s">
        <v>36</v>
      </c>
      <c r="K296" s="2" t="s">
        <v>1374</v>
      </c>
      <c r="L296" s="2" t="s">
        <v>382</v>
      </c>
      <c r="M296" s="2" t="s">
        <v>621</v>
      </c>
      <c r="N296" s="2" t="s">
        <v>40</v>
      </c>
      <c r="O296" s="2" t="s">
        <v>43</v>
      </c>
      <c r="P296" s="2" t="s">
        <v>53</v>
      </c>
      <c r="Q296" s="2" t="s">
        <v>53</v>
      </c>
      <c r="R296" s="2" t="s">
        <v>43</v>
      </c>
      <c r="S296" s="2" t="s">
        <v>43</v>
      </c>
      <c r="T296" s="2"/>
      <c r="U296" s="3"/>
      <c r="V296" s="2"/>
      <c r="W296" s="2"/>
      <c r="X296" s="2"/>
      <c r="Y296" s="2"/>
      <c r="Z296" s="2"/>
      <c r="AA296" s="2"/>
      <c r="AB296" s="2"/>
      <c r="AC296" s="2"/>
    </row>
    <row r="297" spans="1:29" ht="87" customHeight="1">
      <c r="A297" s="2" t="s">
        <v>1375</v>
      </c>
      <c r="B297" s="2" t="s">
        <v>1376</v>
      </c>
      <c r="C297" s="2" t="str">
        <f>sheet1[[#This Row],[Nombre]]&amp;sheet1[[#This Row],[Bp Id]]</f>
        <v>Switch NETManager Pago Directo / IESSPRD0029</v>
      </c>
      <c r="D297" s="2" t="str">
        <f>VLOOKUP(sheet1[[#This Row],[Columna1]],sheet13[[Columna1]:[Estado]],4,FALSE)</f>
        <v>Operativo</v>
      </c>
      <c r="E297" s="2" t="s">
        <v>1373</v>
      </c>
      <c r="F297" s="2" t="s">
        <v>32</v>
      </c>
      <c r="G297" s="2" t="s">
        <v>48</v>
      </c>
      <c r="H297" s="2" t="s">
        <v>34</v>
      </c>
      <c r="I297" s="2" t="s">
        <v>116</v>
      </c>
      <c r="J297" s="2" t="s">
        <v>62</v>
      </c>
      <c r="K297" s="2" t="s">
        <v>555</v>
      </c>
      <c r="L297" s="2" t="s">
        <v>1174</v>
      </c>
      <c r="M297" s="2" t="s">
        <v>621</v>
      </c>
      <c r="N297" s="2" t="s">
        <v>40</v>
      </c>
      <c r="O297" s="2" t="s">
        <v>43</v>
      </c>
      <c r="P297" s="2" t="s">
        <v>53</v>
      </c>
      <c r="Q297" s="2" t="s">
        <v>53</v>
      </c>
      <c r="R297" s="2" t="s">
        <v>43</v>
      </c>
      <c r="S297" s="2" t="s">
        <v>43</v>
      </c>
      <c r="T297" s="2"/>
      <c r="U297" s="3"/>
      <c r="V297" s="2"/>
      <c r="W297" s="2"/>
      <c r="X297" s="2"/>
      <c r="Y297" s="2"/>
      <c r="Z297" s="2"/>
      <c r="AA297" s="2"/>
      <c r="AB297" s="2"/>
      <c r="AC297" s="2"/>
    </row>
    <row r="298" spans="1:29" ht="14.45" customHeight="1">
      <c r="A298" s="2" t="s">
        <v>1377</v>
      </c>
      <c r="B298" s="2" t="s">
        <v>1378</v>
      </c>
      <c r="C298" s="2" t="str">
        <f>sheet1[[#This Row],[Nombre]]&amp;sheet1[[#This Row],[Bp Id]]</f>
        <v>Pichincha TokenPRD0026</v>
      </c>
      <c r="D298" s="2" t="str">
        <f>VLOOKUP(sheet1[[#This Row],[Columna1]],sheet13[[Columna1]:[Estado]],4,FALSE)</f>
        <v>Retirado</v>
      </c>
      <c r="E298" s="2" t="s">
        <v>1379</v>
      </c>
      <c r="F298" s="2" t="s">
        <v>47</v>
      </c>
      <c r="G298" s="2" t="s">
        <v>123</v>
      </c>
      <c r="H298" s="2" t="s">
        <v>59</v>
      </c>
      <c r="I298" s="2" t="s">
        <v>553</v>
      </c>
      <c r="J298" s="2" t="s">
        <v>554</v>
      </c>
      <c r="K298" s="2" t="s">
        <v>1380</v>
      </c>
      <c r="L298" s="2" t="s">
        <v>1381</v>
      </c>
      <c r="M298" s="2" t="s">
        <v>296</v>
      </c>
      <c r="N298" s="2" t="s">
        <v>40</v>
      </c>
      <c r="O298" s="2" t="s">
        <v>41</v>
      </c>
      <c r="P298" s="2" t="s">
        <v>53</v>
      </c>
      <c r="Q298" s="2" t="s">
        <v>53</v>
      </c>
      <c r="R298" s="2" t="s">
        <v>43</v>
      </c>
      <c r="S298" s="2" t="s">
        <v>43</v>
      </c>
      <c r="T298" s="2"/>
      <c r="U298" s="3"/>
      <c r="V298" s="2"/>
      <c r="W298" s="2"/>
      <c r="X298" s="2"/>
      <c r="Y298" s="2"/>
      <c r="Z298" s="2"/>
      <c r="AA298" s="2"/>
      <c r="AB298" s="2"/>
      <c r="AC298" s="2"/>
    </row>
    <row r="299" spans="1:29" ht="20.100000000000001" customHeight="1">
      <c r="A299" s="2" t="s">
        <v>1382</v>
      </c>
      <c r="B299" s="2" t="s">
        <v>1383</v>
      </c>
      <c r="C299" s="2" t="str">
        <f>sheet1[[#This Row],[Nombre]]&amp;sheet1[[#This Row],[Bp Id]]</f>
        <v>PichinchaDigitalCHL0036</v>
      </c>
      <c r="D299" s="2" t="str">
        <f>VLOOKUP(sheet1[[#This Row],[Columna1]],sheet13[[Columna1]:[Estado]],4,FALSE)</f>
        <v>Retirado</v>
      </c>
      <c r="E299" s="2" t="s">
        <v>1384</v>
      </c>
      <c r="F299" s="2" t="s">
        <v>47</v>
      </c>
      <c r="G299" s="2" t="s">
        <v>48</v>
      </c>
      <c r="H299" s="2" t="s">
        <v>59</v>
      </c>
      <c r="I299" s="2" t="s">
        <v>225</v>
      </c>
      <c r="J299" s="2" t="s">
        <v>226</v>
      </c>
      <c r="K299" s="2" t="s">
        <v>277</v>
      </c>
      <c r="L299" s="2" t="s">
        <v>1385</v>
      </c>
      <c r="M299" s="2" t="s">
        <v>39</v>
      </c>
      <c r="N299" s="2" t="s">
        <v>91</v>
      </c>
      <c r="O299" s="2" t="s">
        <v>43</v>
      </c>
      <c r="P299" s="2" t="s">
        <v>53</v>
      </c>
      <c r="Q299" s="2" t="s">
        <v>53</v>
      </c>
      <c r="R299" s="2" t="s">
        <v>43</v>
      </c>
      <c r="S299" s="2" t="s">
        <v>43</v>
      </c>
      <c r="T299" s="2"/>
      <c r="U299" s="3"/>
      <c r="V299" s="2"/>
      <c r="W299" s="2"/>
      <c r="X299" s="2"/>
      <c r="Y299" s="2"/>
      <c r="Z299" s="2"/>
      <c r="AA299" s="2"/>
      <c r="AB299" s="2"/>
      <c r="AC299" s="2"/>
    </row>
    <row r="300" spans="1:29" ht="20.100000000000001" customHeight="1">
      <c r="A300" s="2" t="s">
        <v>1386</v>
      </c>
      <c r="B300" s="2" t="s">
        <v>1387</v>
      </c>
      <c r="C300" s="2" t="str">
        <f>sheet1[[#This Row],[Nombre]]&amp;sheet1[[#This Row],[Bp Id]]</f>
        <v>PichinchaServiciosSUP0001</v>
      </c>
      <c r="D300" s="2" t="str">
        <f>VLOOKUP(sheet1[[#This Row],[Columna1]],sheet13[[Columna1]:[Estado]],4,FALSE)</f>
        <v>Retirado</v>
      </c>
      <c r="E300" s="2" t="s">
        <v>1388</v>
      </c>
      <c r="F300" s="2" t="s">
        <v>47</v>
      </c>
      <c r="G300" s="2" t="s">
        <v>48</v>
      </c>
      <c r="H300" s="2" t="s">
        <v>34</v>
      </c>
      <c r="I300" s="2" t="s">
        <v>107</v>
      </c>
      <c r="J300" s="2" t="s">
        <v>571</v>
      </c>
      <c r="K300" s="2" t="s">
        <v>260</v>
      </c>
      <c r="L300" s="2" t="s">
        <v>108</v>
      </c>
      <c r="M300" s="2" t="s">
        <v>111</v>
      </c>
      <c r="N300" s="2" t="s">
        <v>40</v>
      </c>
      <c r="O300" s="2" t="s">
        <v>41</v>
      </c>
      <c r="P300" s="2" t="s">
        <v>53</v>
      </c>
      <c r="Q300" s="2" t="s">
        <v>53</v>
      </c>
      <c r="R300" s="2" t="s">
        <v>41</v>
      </c>
      <c r="S300" s="2" t="s">
        <v>43</v>
      </c>
      <c r="T300" s="2"/>
      <c r="U300" s="3"/>
      <c r="V300" s="2"/>
      <c r="W300" s="2"/>
      <c r="X300" s="2"/>
      <c r="Y300" s="2"/>
      <c r="Z300" s="2"/>
      <c r="AA300" s="2"/>
      <c r="AB300" s="2"/>
      <c r="AC300" s="2"/>
    </row>
    <row r="301" spans="1:29" ht="20.100000000000001" customHeight="1">
      <c r="A301" s="2" t="s">
        <v>1389</v>
      </c>
      <c r="B301" s="2" t="s">
        <v>1390</v>
      </c>
      <c r="C301" s="2" t="str">
        <f>sheet1[[#This Row],[Nombre]]&amp;sheet1[[#This Row],[Bp Id]]</f>
        <v>PichinchaVacantesSUP0015</v>
      </c>
      <c r="D301" s="2" t="str">
        <f>VLOOKUP(sheet1[[#This Row],[Columna1]],sheet13[[Columna1]:[Estado]],4,FALSE)</f>
        <v>Retirado</v>
      </c>
      <c r="E301" s="2" t="s">
        <v>1391</v>
      </c>
      <c r="F301" s="2" t="s">
        <v>47</v>
      </c>
      <c r="G301" s="2" t="s">
        <v>48</v>
      </c>
      <c r="H301" s="2" t="s">
        <v>59</v>
      </c>
      <c r="I301" s="2" t="s">
        <v>225</v>
      </c>
      <c r="J301" s="2" t="s">
        <v>226</v>
      </c>
      <c r="K301" s="2" t="s">
        <v>300</v>
      </c>
      <c r="L301" s="2" t="s">
        <v>1392</v>
      </c>
      <c r="M301" s="2" t="s">
        <v>63</v>
      </c>
      <c r="N301" s="2" t="s">
        <v>40</v>
      </c>
      <c r="O301" s="2" t="s">
        <v>43</v>
      </c>
      <c r="P301" s="2" t="s">
        <v>53</v>
      </c>
      <c r="Q301" s="2" t="s">
        <v>53</v>
      </c>
      <c r="R301" s="2" t="s">
        <v>43</v>
      </c>
      <c r="S301" s="2" t="s">
        <v>43</v>
      </c>
      <c r="T301" s="2"/>
      <c r="U301" s="3"/>
      <c r="V301" s="2"/>
      <c r="W301" s="2"/>
      <c r="X301" s="2"/>
      <c r="Y301" s="2"/>
      <c r="Z301" s="2"/>
      <c r="AA301" s="2"/>
      <c r="AB301" s="2"/>
      <c r="AC301" s="2"/>
    </row>
    <row r="302" spans="1:29" ht="20.100000000000001" customHeight="1">
      <c r="A302" s="2" t="s">
        <v>1393</v>
      </c>
      <c r="B302" s="2" t="s">
        <v>1394</v>
      </c>
      <c r="C302" s="2" t="str">
        <f>sheet1[[#This Row],[Nombre]]&amp;sheet1[[#This Row],[Bp Id]]</f>
        <v>PinPadCHL0020</v>
      </c>
      <c r="D302" s="2" t="str">
        <f>VLOOKUP(sheet1[[#This Row],[Columna1]],sheet13[[Columna1]:[Estado]],4,FALSE)</f>
        <v>Operativo</v>
      </c>
      <c r="E302" s="2" t="s">
        <v>1395</v>
      </c>
      <c r="F302" s="2" t="s">
        <v>32</v>
      </c>
      <c r="G302" s="2" t="s">
        <v>48</v>
      </c>
      <c r="H302" s="2" t="s">
        <v>34</v>
      </c>
      <c r="I302" s="2" t="s">
        <v>35</v>
      </c>
      <c r="J302" s="2" t="s">
        <v>349</v>
      </c>
      <c r="K302" s="2" t="s">
        <v>37</v>
      </c>
      <c r="L302" s="2" t="s">
        <v>38</v>
      </c>
      <c r="M302" s="2" t="s">
        <v>39</v>
      </c>
      <c r="N302" s="2" t="s">
        <v>40</v>
      </c>
      <c r="O302" s="2" t="s">
        <v>41</v>
      </c>
      <c r="P302" s="2" t="s">
        <v>53</v>
      </c>
      <c r="Q302" s="2" t="s">
        <v>53</v>
      </c>
      <c r="R302" s="2" t="s">
        <v>41</v>
      </c>
      <c r="S302" s="2" t="s">
        <v>41</v>
      </c>
      <c r="T302" s="2"/>
      <c r="U302" s="3">
        <v>45199</v>
      </c>
      <c r="V302" s="2" t="s">
        <v>1396</v>
      </c>
      <c r="W302" s="2" t="s">
        <v>262</v>
      </c>
      <c r="X302" s="2" t="s">
        <v>626</v>
      </c>
      <c r="Y302" s="2" t="s">
        <v>311</v>
      </c>
      <c r="Z302" s="2" t="s">
        <v>311</v>
      </c>
      <c r="AA302" s="2" t="s">
        <v>1175</v>
      </c>
      <c r="AB302" s="2" t="s">
        <v>415</v>
      </c>
      <c r="AC302" s="2" t="s">
        <v>1397</v>
      </c>
    </row>
    <row r="303" spans="1:29" ht="14.45" customHeight="1">
      <c r="A303" s="2" t="s">
        <v>1398</v>
      </c>
      <c r="B303" s="2" t="s">
        <v>1399</v>
      </c>
      <c r="C303" s="2" t="str">
        <f>sheet1[[#This Row],[Nombre]]&amp;sheet1[[#This Row],[Bp Id]]</f>
        <v>Plataforma de Pagos RippleNetPRD0035</v>
      </c>
      <c r="D303" s="2" t="str">
        <f>VLOOKUP(sheet1[[#This Row],[Columna1]],sheet13[[Columna1]:[Estado]],4,FALSE)</f>
        <v>Retirado</v>
      </c>
      <c r="E303" s="2" t="s">
        <v>1400</v>
      </c>
      <c r="F303" s="2" t="s">
        <v>47</v>
      </c>
      <c r="G303" s="2" t="s">
        <v>76</v>
      </c>
      <c r="H303" s="2" t="s">
        <v>34</v>
      </c>
      <c r="I303" s="2" t="s">
        <v>141</v>
      </c>
      <c r="J303" s="2" t="s">
        <v>142</v>
      </c>
      <c r="K303" s="2" t="s">
        <v>142</v>
      </c>
      <c r="L303" s="2" t="s">
        <v>160</v>
      </c>
      <c r="M303" s="2" t="s">
        <v>39</v>
      </c>
      <c r="N303" s="2" t="s">
        <v>91</v>
      </c>
      <c r="O303" s="2" t="s">
        <v>41</v>
      </c>
      <c r="P303" s="2" t="s">
        <v>53</v>
      </c>
      <c r="Q303" s="2" t="s">
        <v>53</v>
      </c>
      <c r="R303" s="2" t="s">
        <v>43</v>
      </c>
      <c r="S303" s="2" t="s">
        <v>43</v>
      </c>
      <c r="T303" s="2"/>
      <c r="U303" s="3"/>
      <c r="V303" s="2"/>
      <c r="W303" s="2"/>
      <c r="X303" s="2"/>
      <c r="Y303" s="2"/>
      <c r="Z303" s="2"/>
      <c r="AA303" s="2"/>
      <c r="AB303" s="2"/>
      <c r="AC303" s="2"/>
    </row>
    <row r="304" spans="1:29" ht="20.100000000000001" customHeight="1">
      <c r="A304" s="2" t="s">
        <v>1401</v>
      </c>
      <c r="B304" s="2" t="s">
        <v>1402</v>
      </c>
      <c r="C304" s="2" t="str">
        <f>sheet1[[#This Row],[Nombre]]&amp;sheet1[[#This Row],[Bp Id]]</f>
        <v>Polaris CloudCHL0021</v>
      </c>
      <c r="D304" s="2" t="str">
        <f>VLOOKUP(sheet1[[#This Row],[Columna1]],sheet13[[Columna1]:[Estado]],4,FALSE)</f>
        <v>Operativo</v>
      </c>
      <c r="E304" s="2" t="s">
        <v>139</v>
      </c>
      <c r="F304" s="2" t="s">
        <v>32</v>
      </c>
      <c r="G304" s="2" t="s">
        <v>48</v>
      </c>
      <c r="H304" s="2" t="s">
        <v>59</v>
      </c>
      <c r="I304" s="2" t="s">
        <v>35</v>
      </c>
      <c r="J304" s="2" t="s">
        <v>36</v>
      </c>
      <c r="K304" s="2" t="s">
        <v>1374</v>
      </c>
      <c r="L304" s="2" t="s">
        <v>382</v>
      </c>
      <c r="M304" s="2" t="s">
        <v>52</v>
      </c>
      <c r="N304" s="2" t="s">
        <v>40</v>
      </c>
      <c r="O304" s="2" t="s">
        <v>41</v>
      </c>
      <c r="P304" s="2" t="s">
        <v>53</v>
      </c>
      <c r="Q304" s="2" t="s">
        <v>53</v>
      </c>
      <c r="R304" s="2" t="s">
        <v>43</v>
      </c>
      <c r="S304" s="2" t="s">
        <v>43</v>
      </c>
      <c r="T304" s="2"/>
      <c r="U304" s="3"/>
      <c r="V304" s="2"/>
      <c r="W304" s="2"/>
      <c r="X304" s="2"/>
      <c r="Y304" s="2"/>
      <c r="Z304" s="2"/>
      <c r="AA304" s="2"/>
      <c r="AB304" s="2"/>
      <c r="AC304" s="2"/>
    </row>
    <row r="305" spans="1:29" ht="20.100000000000001" customHeight="1">
      <c r="A305" s="2" t="s">
        <v>1403</v>
      </c>
      <c r="B305" s="2" t="s">
        <v>1404</v>
      </c>
      <c r="C305" s="2" t="str">
        <f>sheet1[[#This Row],[Nombre]]&amp;sheet1[[#This Row],[Bp Id]]</f>
        <v>Portal APIsINT0015</v>
      </c>
      <c r="D305" s="2" t="str">
        <f>VLOOKUP(sheet1[[#This Row],[Columna1]],sheet13[[Columna1]:[Estado]],4,FALSE)</f>
        <v>Retirado</v>
      </c>
      <c r="E305" s="2" t="s">
        <v>432</v>
      </c>
      <c r="F305" s="2" t="s">
        <v>47</v>
      </c>
      <c r="G305" s="2" t="s">
        <v>48</v>
      </c>
      <c r="H305" s="2" t="s">
        <v>59</v>
      </c>
      <c r="I305" s="2" t="s">
        <v>921</v>
      </c>
      <c r="J305" s="2" t="s">
        <v>50</v>
      </c>
      <c r="K305" s="2" t="s">
        <v>340</v>
      </c>
      <c r="L305" s="2" t="s">
        <v>473</v>
      </c>
      <c r="M305" s="2" t="s">
        <v>63</v>
      </c>
      <c r="N305" s="2" t="s">
        <v>40</v>
      </c>
      <c r="O305" s="2" t="s">
        <v>43</v>
      </c>
      <c r="P305" s="2" t="s">
        <v>64</v>
      </c>
      <c r="Q305" s="2" t="s">
        <v>64</v>
      </c>
      <c r="R305" s="2" t="s">
        <v>43</v>
      </c>
      <c r="S305" s="2" t="s">
        <v>43</v>
      </c>
      <c r="T305" s="2"/>
      <c r="U305" s="3"/>
      <c r="V305" s="2"/>
      <c r="W305" s="2"/>
      <c r="X305" s="2"/>
      <c r="Y305" s="2"/>
      <c r="Z305" s="2"/>
      <c r="AA305" s="2"/>
      <c r="AB305" s="2"/>
      <c r="AC305" s="2"/>
    </row>
    <row r="306" spans="1:29" ht="20.100000000000001" customHeight="1">
      <c r="A306" s="2" t="s">
        <v>1405</v>
      </c>
      <c r="B306" s="2" t="s">
        <v>1406</v>
      </c>
      <c r="C306" s="2" t="str">
        <f>sheet1[[#This Row],[Nombre]]&amp;sheet1[[#This Row],[Bp Id]]</f>
        <v>Portal de Gestión Formiik - MicrofinanzasPRD0054</v>
      </c>
      <c r="D306" s="2" t="str">
        <f>VLOOKUP(sheet1[[#This Row],[Columna1]],sheet13[[Columna1]:[Estado]],4,FALSE)</f>
        <v>Operativo</v>
      </c>
      <c r="E306" s="2" t="s">
        <v>139</v>
      </c>
      <c r="F306" s="2" t="s">
        <v>32</v>
      </c>
      <c r="G306" s="2" t="s">
        <v>48</v>
      </c>
      <c r="H306" s="2" t="s">
        <v>59</v>
      </c>
      <c r="I306" s="2" t="s">
        <v>309</v>
      </c>
      <c r="J306" s="2" t="s">
        <v>96</v>
      </c>
      <c r="K306" s="2" t="s">
        <v>315</v>
      </c>
      <c r="L306" s="2" t="s">
        <v>316</v>
      </c>
      <c r="M306" s="2" t="s">
        <v>39</v>
      </c>
      <c r="N306" s="2" t="s">
        <v>40</v>
      </c>
      <c r="O306" s="2" t="s">
        <v>41</v>
      </c>
      <c r="P306" s="2" t="s">
        <v>42</v>
      </c>
      <c r="Q306" s="2" t="s">
        <v>42</v>
      </c>
      <c r="R306" s="2" t="s">
        <v>41</v>
      </c>
      <c r="S306" s="2" t="s">
        <v>43</v>
      </c>
      <c r="T306" s="2"/>
      <c r="U306" s="3"/>
      <c r="V306" s="2"/>
      <c r="W306" s="2"/>
      <c r="X306" s="2"/>
      <c r="Y306" s="2"/>
      <c r="Z306" s="2"/>
      <c r="AA306" s="2"/>
      <c r="AB306" s="2"/>
      <c r="AC306" s="2"/>
    </row>
    <row r="307" spans="1:29" ht="290.10000000000002" customHeight="1">
      <c r="A307" s="2" t="s">
        <v>1407</v>
      </c>
      <c r="B307" s="2" t="s">
        <v>1408</v>
      </c>
      <c r="C307" s="2" t="str">
        <f>sheet1[[#This Row],[Nombre]]&amp;sheet1[[#This Row],[Bp Id]]</f>
        <v>Portal de Verificacion MicrofinanzasPRD0055</v>
      </c>
      <c r="D307" s="2" t="str">
        <f>VLOOKUP(sheet1[[#This Row],[Columna1]],sheet13[[Columna1]:[Estado]],4,FALSE)</f>
        <v>Operativo</v>
      </c>
      <c r="E307" s="2" t="s">
        <v>1409</v>
      </c>
      <c r="F307" s="2" t="s">
        <v>32</v>
      </c>
      <c r="G307" s="2" t="s">
        <v>48</v>
      </c>
      <c r="H307" s="2" t="s">
        <v>59</v>
      </c>
      <c r="I307" s="2" t="s">
        <v>309</v>
      </c>
      <c r="J307" s="2" t="s">
        <v>96</v>
      </c>
      <c r="K307" s="2" t="s">
        <v>315</v>
      </c>
      <c r="L307" s="2" t="s">
        <v>316</v>
      </c>
      <c r="M307" s="2" t="s">
        <v>39</v>
      </c>
      <c r="N307" s="2" t="s">
        <v>40</v>
      </c>
      <c r="O307" s="2" t="s">
        <v>43</v>
      </c>
      <c r="P307" s="2" t="s">
        <v>53</v>
      </c>
      <c r="Q307" s="2" t="s">
        <v>53</v>
      </c>
      <c r="R307" s="2" t="s">
        <v>43</v>
      </c>
      <c r="S307" s="2" t="s">
        <v>43</v>
      </c>
      <c r="T307" s="2" t="s">
        <v>1410</v>
      </c>
      <c r="U307" s="3">
        <v>46092</v>
      </c>
      <c r="V307" s="2" t="s">
        <v>1411</v>
      </c>
      <c r="W307" s="2"/>
      <c r="X307" s="2"/>
      <c r="Y307" s="2"/>
      <c r="Z307" s="2"/>
      <c r="AA307" s="2" t="s">
        <v>1252</v>
      </c>
      <c r="AB307" s="2"/>
      <c r="AC307" s="2"/>
    </row>
    <row r="308" spans="1:29" ht="20.100000000000001" customHeight="1">
      <c r="A308" s="2" t="s">
        <v>1412</v>
      </c>
      <c r="B308" s="2" t="s">
        <v>1413</v>
      </c>
      <c r="C308" s="2" t="str">
        <f>sheet1[[#This Row],[Nombre]]&amp;sheet1[[#This Row],[Bp Id]]</f>
        <v>Portal Informativo PichinchaCHL0022</v>
      </c>
      <c r="D308" s="2" t="str">
        <f>VLOOKUP(sheet1[[#This Row],[Columna1]],sheet13[[Columna1]:[Estado]],4,FALSE)</f>
        <v>Operativo</v>
      </c>
      <c r="E308" s="2" t="s">
        <v>1414</v>
      </c>
      <c r="F308" s="2" t="s">
        <v>32</v>
      </c>
      <c r="G308" s="2" t="s">
        <v>48</v>
      </c>
      <c r="H308" s="2" t="s">
        <v>59</v>
      </c>
      <c r="I308" s="2" t="s">
        <v>35</v>
      </c>
      <c r="J308" s="2" t="s">
        <v>394</v>
      </c>
      <c r="K308" s="2" t="s">
        <v>1415</v>
      </c>
      <c r="L308" s="2" t="s">
        <v>680</v>
      </c>
      <c r="M308" s="2" t="s">
        <v>63</v>
      </c>
      <c r="N308" s="2" t="s">
        <v>40</v>
      </c>
      <c r="O308" s="2" t="s">
        <v>41</v>
      </c>
      <c r="P308" s="2" t="s">
        <v>53</v>
      </c>
      <c r="Q308" s="2" t="s">
        <v>53</v>
      </c>
      <c r="R308" s="2" t="s">
        <v>43</v>
      </c>
      <c r="S308" s="2" t="s">
        <v>43</v>
      </c>
      <c r="T308" s="2"/>
      <c r="U308" s="3"/>
      <c r="V308" s="2"/>
      <c r="W308" s="2"/>
      <c r="X308" s="2"/>
      <c r="Y308" s="2"/>
      <c r="Z308" s="2"/>
      <c r="AA308" s="2"/>
      <c r="AB308" s="2"/>
      <c r="AC308" s="2"/>
    </row>
    <row r="309" spans="1:29" ht="14.45" customHeight="1">
      <c r="A309" s="2" t="s">
        <v>1416</v>
      </c>
      <c r="B309" s="2" t="s">
        <v>1417</v>
      </c>
      <c r="C309" s="2" t="str">
        <f>sheet1[[#This Row],[Nombre]]&amp;sheet1[[#This Row],[Bp Id]]</f>
        <v>POS_CNBCHL0023</v>
      </c>
      <c r="D309" s="2" t="str">
        <f>VLOOKUP(sheet1[[#This Row],[Columna1]],sheet13[[Columna1]:[Estado]],4,FALSE)</f>
        <v>Operativo</v>
      </c>
      <c r="E309" s="2" t="s">
        <v>1418</v>
      </c>
      <c r="F309" s="2" t="s">
        <v>32</v>
      </c>
      <c r="G309" s="2" t="s">
        <v>48</v>
      </c>
      <c r="H309" s="2" t="s">
        <v>140</v>
      </c>
      <c r="I309" s="2" t="s">
        <v>35</v>
      </c>
      <c r="J309" s="2" t="s">
        <v>36</v>
      </c>
      <c r="K309" s="2" t="s">
        <v>1374</v>
      </c>
      <c r="L309" s="2" t="s">
        <v>382</v>
      </c>
      <c r="M309" s="2" t="s">
        <v>39</v>
      </c>
      <c r="N309" s="2" t="s">
        <v>40</v>
      </c>
      <c r="O309" s="2" t="s">
        <v>41</v>
      </c>
      <c r="P309" s="2" t="s">
        <v>53</v>
      </c>
      <c r="Q309" s="2" t="s">
        <v>53</v>
      </c>
      <c r="R309" s="2" t="s">
        <v>41</v>
      </c>
      <c r="S309" s="2" t="s">
        <v>41</v>
      </c>
      <c r="T309" s="2" t="s">
        <v>119</v>
      </c>
      <c r="U309" s="3">
        <v>45199</v>
      </c>
      <c r="V309" s="2"/>
      <c r="W309" s="2" t="s">
        <v>100</v>
      </c>
      <c r="X309" s="2" t="s">
        <v>101</v>
      </c>
      <c r="Y309" s="2"/>
      <c r="Z309" s="2"/>
      <c r="AA309" s="2"/>
      <c r="AB309" s="2"/>
      <c r="AC309" s="2"/>
    </row>
    <row r="310" spans="1:29" ht="20.100000000000001" customHeight="1">
      <c r="A310" s="2" t="s">
        <v>1419</v>
      </c>
      <c r="B310" s="2" t="s">
        <v>1420</v>
      </c>
      <c r="C310" s="2" t="str">
        <f>sheet1[[#This Row],[Nombre]]&amp;sheet1[[#This Row],[Bp Id]]</f>
        <v>Power AppTIE0010</v>
      </c>
      <c r="D310" s="2" t="str">
        <f>VLOOKUP(sheet1[[#This Row],[Columna1]],sheet13[[Columna1]:[Estado]],4,FALSE)</f>
        <v>Retirado</v>
      </c>
      <c r="E310" s="2" t="s">
        <v>139</v>
      </c>
      <c r="F310" s="2" t="s">
        <v>47</v>
      </c>
      <c r="G310" s="2" t="s">
        <v>48</v>
      </c>
      <c r="H310" s="2" t="s">
        <v>59</v>
      </c>
      <c r="I310" s="2" t="s">
        <v>487</v>
      </c>
      <c r="J310" s="2" t="s">
        <v>488</v>
      </c>
      <c r="K310" s="2" t="s">
        <v>508</v>
      </c>
      <c r="L310" s="2" t="s">
        <v>509</v>
      </c>
      <c r="M310" s="2" t="s">
        <v>63</v>
      </c>
      <c r="N310" s="2" t="s">
        <v>40</v>
      </c>
      <c r="O310" s="2" t="s">
        <v>41</v>
      </c>
      <c r="P310" s="2" t="s">
        <v>64</v>
      </c>
      <c r="Q310" s="2" t="s">
        <v>64</v>
      </c>
      <c r="R310" s="2" t="s">
        <v>43</v>
      </c>
      <c r="S310" s="2" t="s">
        <v>43</v>
      </c>
      <c r="T310" s="2"/>
      <c r="U310" s="3"/>
      <c r="V310" s="2"/>
      <c r="W310" s="2"/>
      <c r="X310" s="2"/>
      <c r="Y310" s="2"/>
      <c r="Z310" s="2"/>
      <c r="AA310" s="2"/>
      <c r="AB310" s="2"/>
      <c r="AC310" s="2"/>
    </row>
    <row r="311" spans="1:29" ht="20.100000000000001" customHeight="1">
      <c r="A311" s="2" t="s">
        <v>1421</v>
      </c>
      <c r="B311" s="2" t="s">
        <v>1422</v>
      </c>
      <c r="C311" s="2" t="str">
        <f>sheet1[[#This Row],[Nombre]]&amp;sheet1[[#This Row],[Bp Id]]</f>
        <v>Power AutomateTIE0011</v>
      </c>
      <c r="D311" s="2" t="str">
        <f>VLOOKUP(sheet1[[#This Row],[Columna1]],sheet13[[Columna1]:[Estado]],4,FALSE)</f>
        <v>Retirado</v>
      </c>
      <c r="E311" s="2" t="s">
        <v>139</v>
      </c>
      <c r="F311" s="2" t="s">
        <v>47</v>
      </c>
      <c r="G311" s="2" t="s">
        <v>48</v>
      </c>
      <c r="H311" s="2" t="s">
        <v>59</v>
      </c>
      <c r="I311" s="2" t="s">
        <v>487</v>
      </c>
      <c r="J311" s="2" t="s">
        <v>488</v>
      </c>
      <c r="K311" s="2" t="s">
        <v>508</v>
      </c>
      <c r="L311" s="2" t="s">
        <v>509</v>
      </c>
      <c r="M311" s="2" t="s">
        <v>63</v>
      </c>
      <c r="N311" s="2" t="s">
        <v>40</v>
      </c>
      <c r="O311" s="2" t="s">
        <v>43</v>
      </c>
      <c r="P311" s="2" t="s">
        <v>64</v>
      </c>
      <c r="Q311" s="2" t="s">
        <v>64</v>
      </c>
      <c r="R311" s="2" t="s">
        <v>43</v>
      </c>
      <c r="S311" s="2" t="s">
        <v>43</v>
      </c>
      <c r="T311" s="2"/>
      <c r="U311" s="3"/>
      <c r="V311" s="2"/>
      <c r="W311" s="2"/>
      <c r="X311" s="2"/>
      <c r="Y311" s="2"/>
      <c r="Z311" s="2"/>
      <c r="AA311" s="2"/>
      <c r="AB311" s="2"/>
      <c r="AC311" s="2"/>
    </row>
    <row r="312" spans="1:29" ht="29.1" customHeight="1">
      <c r="A312" s="2" t="s">
        <v>1423</v>
      </c>
      <c r="B312" s="2" t="s">
        <v>1424</v>
      </c>
      <c r="C312" s="2" t="str">
        <f>sheet1[[#This Row],[Nombre]]&amp;sheet1[[#This Row],[Bp Id]]</f>
        <v>Power BIDAT0007</v>
      </c>
      <c r="D312" s="2" t="str">
        <f>VLOOKUP(sheet1[[#This Row],[Columna1]],sheet13[[Columna1]:[Estado]],4,FALSE)</f>
        <v>Retirado</v>
      </c>
      <c r="E312" s="2" t="s">
        <v>1425</v>
      </c>
      <c r="F312" s="2" t="s">
        <v>47</v>
      </c>
      <c r="G312" s="2" t="s">
        <v>58</v>
      </c>
      <c r="H312" s="2" t="s">
        <v>59</v>
      </c>
      <c r="I312" s="2" t="s">
        <v>328</v>
      </c>
      <c r="J312" s="2" t="s">
        <v>329</v>
      </c>
      <c r="K312" s="2" t="s">
        <v>646</v>
      </c>
      <c r="L312" s="2" t="s">
        <v>1426</v>
      </c>
      <c r="M312" s="2" t="s">
        <v>63</v>
      </c>
      <c r="N312" s="2" t="s">
        <v>40</v>
      </c>
      <c r="O312" s="2" t="s">
        <v>41</v>
      </c>
      <c r="P312" s="2" t="s">
        <v>64</v>
      </c>
      <c r="Q312" s="2" t="s">
        <v>64</v>
      </c>
      <c r="R312" s="2" t="s">
        <v>43</v>
      </c>
      <c r="S312" s="2" t="s">
        <v>43</v>
      </c>
      <c r="T312" s="2"/>
      <c r="U312" s="3"/>
      <c r="V312" s="2"/>
      <c r="W312" s="2"/>
      <c r="X312" s="2"/>
      <c r="Y312" s="2"/>
      <c r="Z312" s="2"/>
      <c r="AA312" s="2"/>
      <c r="AB312" s="2"/>
      <c r="AC312" s="2"/>
    </row>
    <row r="313" spans="1:29" ht="29.1" customHeight="1">
      <c r="A313" s="2" t="s">
        <v>1427</v>
      </c>
      <c r="B313" s="2" t="s">
        <v>1428</v>
      </c>
      <c r="C313" s="2" t="str">
        <f>sheet1[[#This Row],[Nombre]]&amp;sheet1[[#This Row],[Bp Id]]</f>
        <v>PPM Pichincha MilesCUS0016</v>
      </c>
      <c r="D313" s="2" t="str">
        <f>VLOOKUP(sheet1[[#This Row],[Columna1]],sheet13[[Columna1]:[Estado]],4,FALSE)</f>
        <v>Operativo</v>
      </c>
      <c r="E313" s="2" t="s">
        <v>1429</v>
      </c>
      <c r="F313" s="2" t="s">
        <v>32</v>
      </c>
      <c r="G313" s="2" t="s">
        <v>48</v>
      </c>
      <c r="H313" s="2" t="s">
        <v>140</v>
      </c>
      <c r="I313" s="2" t="s">
        <v>141</v>
      </c>
      <c r="J313" s="2" t="s">
        <v>151</v>
      </c>
      <c r="K313" s="2" t="s">
        <v>1430</v>
      </c>
      <c r="L313" s="2" t="s">
        <v>1431</v>
      </c>
      <c r="M313" s="2" t="s">
        <v>39</v>
      </c>
      <c r="N313" s="2" t="s">
        <v>91</v>
      </c>
      <c r="O313" s="2" t="s">
        <v>41</v>
      </c>
      <c r="P313" s="2" t="s">
        <v>53</v>
      </c>
      <c r="Q313" s="2" t="s">
        <v>53</v>
      </c>
      <c r="R313" s="2" t="s">
        <v>43</v>
      </c>
      <c r="S313" s="2" t="s">
        <v>43</v>
      </c>
      <c r="T313" s="2"/>
      <c r="U313" s="3"/>
      <c r="V313" s="2"/>
      <c r="W313" s="2"/>
      <c r="X313" s="2"/>
      <c r="Y313" s="2"/>
      <c r="Z313" s="2"/>
      <c r="AA313" s="2"/>
      <c r="AB313" s="2"/>
      <c r="AC313" s="2"/>
    </row>
    <row r="314" spans="1:29" ht="20.100000000000001" customHeight="1">
      <c r="A314" s="2" t="s">
        <v>1432</v>
      </c>
      <c r="B314" s="2" t="s">
        <v>1433</v>
      </c>
      <c r="C314" s="2" t="str">
        <f>sheet1[[#This Row],[Nombre]]&amp;sheet1[[#This Row],[Bp Id]]</f>
        <v>Preguntas de ValidaciónSEC0077</v>
      </c>
      <c r="D314" s="2" t="str">
        <f>VLOOKUP(sheet1[[#This Row],[Columna1]],sheet13[[Columna1]:[Estado]],4,FALSE)</f>
        <v>Operativo</v>
      </c>
      <c r="E314" s="2" t="s">
        <v>1434</v>
      </c>
      <c r="F314" s="2" t="s">
        <v>32</v>
      </c>
      <c r="G314" s="2" t="s">
        <v>48</v>
      </c>
      <c r="H314" s="2" t="s">
        <v>59</v>
      </c>
      <c r="I314" s="2" t="s">
        <v>258</v>
      </c>
      <c r="J314" s="2" t="s">
        <v>658</v>
      </c>
      <c r="K314" s="2" t="s">
        <v>658</v>
      </c>
      <c r="L314" s="2" t="s">
        <v>1435</v>
      </c>
      <c r="M314" s="2" t="s">
        <v>39</v>
      </c>
      <c r="N314" s="2" t="s">
        <v>40</v>
      </c>
      <c r="O314" s="2" t="s">
        <v>43</v>
      </c>
      <c r="P314" s="2" t="s">
        <v>64</v>
      </c>
      <c r="Q314" s="2" t="s">
        <v>53</v>
      </c>
      <c r="R314" s="2" t="s">
        <v>43</v>
      </c>
      <c r="S314" s="2" t="s">
        <v>43</v>
      </c>
      <c r="T314" s="2"/>
      <c r="U314" s="3"/>
      <c r="V314" s="2"/>
      <c r="W314" s="2"/>
      <c r="X314" s="2"/>
      <c r="Y314" s="2"/>
      <c r="Z314" s="2"/>
      <c r="AA314" s="2"/>
      <c r="AB314" s="2"/>
      <c r="AC314" s="2"/>
    </row>
    <row r="315" spans="1:29" ht="20.100000000000001" customHeight="1">
      <c r="A315" s="2" t="s">
        <v>1436</v>
      </c>
      <c r="B315" s="2" t="s">
        <v>1437</v>
      </c>
      <c r="C315" s="2" t="str">
        <f>sheet1[[#This Row],[Nombre]]&amp;sheet1[[#This Row],[Bp Id]]</f>
        <v>Nutanix Prism CentralITM0045</v>
      </c>
      <c r="D315" s="2" t="str">
        <f>VLOOKUP(sheet1[[#This Row],[Columna1]],sheet13[[Columna1]:[Estado]],4,FALSE)</f>
        <v>Operativo</v>
      </c>
      <c r="E315" s="2" t="s">
        <v>1438</v>
      </c>
      <c r="F315" s="2" t="s">
        <v>32</v>
      </c>
      <c r="G315" s="2" t="s">
        <v>58</v>
      </c>
      <c r="H315" s="2" t="s">
        <v>34</v>
      </c>
      <c r="I315" s="2" t="s">
        <v>68</v>
      </c>
      <c r="J315" s="2" t="s">
        <v>69</v>
      </c>
      <c r="K315" s="2" t="s">
        <v>82</v>
      </c>
      <c r="L315" s="2" t="s">
        <v>1147</v>
      </c>
      <c r="M315" s="2" t="s">
        <v>111</v>
      </c>
      <c r="N315" s="2" t="s">
        <v>40</v>
      </c>
      <c r="O315" s="2" t="s">
        <v>41</v>
      </c>
      <c r="P315" s="2" t="s">
        <v>42</v>
      </c>
      <c r="Q315" s="2" t="s">
        <v>53</v>
      </c>
      <c r="R315" s="2" t="s">
        <v>41</v>
      </c>
      <c r="S315" s="2" t="s">
        <v>41</v>
      </c>
      <c r="T315" s="2"/>
      <c r="U315" s="3">
        <v>46203</v>
      </c>
      <c r="V315" s="2"/>
      <c r="W315" s="2" t="s">
        <v>626</v>
      </c>
      <c r="X315" s="2" t="s">
        <v>252</v>
      </c>
      <c r="Y315" s="2"/>
      <c r="Z315" s="2"/>
      <c r="AA315" s="2"/>
      <c r="AB315" s="2"/>
      <c r="AC315" s="2"/>
    </row>
    <row r="316" spans="1:29" ht="20.100000000000001" customHeight="1">
      <c r="A316" s="2" t="s">
        <v>1439</v>
      </c>
      <c r="B316" s="2" t="s">
        <v>1440</v>
      </c>
      <c r="C316" s="2" t="str">
        <f>sheet1[[#This Row],[Nombre]]&amp;sheet1[[#This Row],[Bp Id]]</f>
        <v>Prisma CloudITM0046</v>
      </c>
      <c r="D316" s="2" t="str">
        <f>VLOOKUP(sheet1[[#This Row],[Columna1]],sheet13[[Columna1]:[Estado]],4,FALSE)</f>
        <v>Operativo</v>
      </c>
      <c r="E316" s="2" t="s">
        <v>139</v>
      </c>
      <c r="F316" s="2" t="s">
        <v>32</v>
      </c>
      <c r="G316" s="2" t="s">
        <v>48</v>
      </c>
      <c r="H316" s="2" t="s">
        <v>59</v>
      </c>
      <c r="I316" s="2" t="s">
        <v>107</v>
      </c>
      <c r="J316" s="2" t="s">
        <v>1441</v>
      </c>
      <c r="K316" s="2" t="s">
        <v>176</v>
      </c>
      <c r="L316" s="2" t="s">
        <v>1442</v>
      </c>
      <c r="M316" s="2" t="s">
        <v>111</v>
      </c>
      <c r="N316" s="2" t="s">
        <v>40</v>
      </c>
      <c r="O316" s="2" t="s">
        <v>41</v>
      </c>
      <c r="P316" s="2" t="s">
        <v>64</v>
      </c>
      <c r="Q316" s="2" t="s">
        <v>64</v>
      </c>
      <c r="R316" s="2" t="s">
        <v>41</v>
      </c>
      <c r="S316" s="2" t="s">
        <v>41</v>
      </c>
      <c r="T316" s="2"/>
      <c r="U316" s="3">
        <v>45657</v>
      </c>
      <c r="V316" s="2"/>
      <c r="W316" s="2" t="s">
        <v>187</v>
      </c>
      <c r="X316" s="2"/>
      <c r="Y316" s="2" t="s">
        <v>376</v>
      </c>
      <c r="Z316" s="2" t="s">
        <v>376</v>
      </c>
      <c r="AA316" s="2" t="s">
        <v>263</v>
      </c>
      <c r="AB316" s="2" t="s">
        <v>129</v>
      </c>
      <c r="AC316" s="2" t="s">
        <v>1443</v>
      </c>
    </row>
    <row r="317" spans="1:29" ht="29.1" customHeight="1">
      <c r="A317" s="2" t="s">
        <v>1444</v>
      </c>
      <c r="B317" s="2" t="s">
        <v>1445</v>
      </c>
      <c r="C317" s="2" t="str">
        <f>sheet1[[#This Row],[Nombre]]&amp;sheet1[[#This Row],[Bp Id]]</f>
        <v>ProofpointSEC0060</v>
      </c>
      <c r="D317" s="2" t="str">
        <f>VLOOKUP(sheet1[[#This Row],[Columna1]],sheet13[[Columna1]:[Estado]],4,FALSE)</f>
        <v>Operativo</v>
      </c>
      <c r="E317" s="2" t="s">
        <v>1446</v>
      </c>
      <c r="F317" s="2" t="s">
        <v>32</v>
      </c>
      <c r="G317" s="2" t="s">
        <v>76</v>
      </c>
      <c r="H317" s="2" t="s">
        <v>59</v>
      </c>
      <c r="I317" s="2" t="s">
        <v>107</v>
      </c>
      <c r="J317" s="2" t="s">
        <v>218</v>
      </c>
      <c r="K317" s="2" t="s">
        <v>176</v>
      </c>
      <c r="L317" s="2" t="s">
        <v>219</v>
      </c>
      <c r="M317" s="2" t="s">
        <v>111</v>
      </c>
      <c r="N317" s="2" t="s">
        <v>40</v>
      </c>
      <c r="O317" s="2" t="s">
        <v>41</v>
      </c>
      <c r="P317" s="2" t="s">
        <v>64</v>
      </c>
      <c r="Q317" s="2" t="s">
        <v>53</v>
      </c>
      <c r="R317" s="2" t="s">
        <v>41</v>
      </c>
      <c r="S317" s="2" t="s">
        <v>41</v>
      </c>
      <c r="T317" s="2"/>
      <c r="U317" s="3">
        <v>45716</v>
      </c>
      <c r="V317" s="2" t="s">
        <v>820</v>
      </c>
      <c r="W317" s="2" t="s">
        <v>590</v>
      </c>
      <c r="X317" s="2" t="s">
        <v>179</v>
      </c>
      <c r="Y317" s="2" t="s">
        <v>127</v>
      </c>
      <c r="Z317" s="2" t="s">
        <v>127</v>
      </c>
      <c r="AA317" s="2" t="s">
        <v>180</v>
      </c>
      <c r="AB317" s="2" t="s">
        <v>129</v>
      </c>
      <c r="AC317" s="2" t="s">
        <v>1447</v>
      </c>
    </row>
    <row r="318" spans="1:29" ht="20.100000000000001" customHeight="1">
      <c r="A318" s="2" t="s">
        <v>1448</v>
      </c>
      <c r="B318" s="2" t="s">
        <v>1449</v>
      </c>
      <c r="C318" s="2" t="str">
        <f>sheet1[[#This Row],[Nombre]]&amp;sheet1[[#This Row],[Bp Id]]</f>
        <v>Protección de datos personales - OneTrustDAT0014</v>
      </c>
      <c r="D318" s="2" t="str">
        <f>VLOOKUP(sheet1[[#This Row],[Columna1]],sheet13[[Columna1]:[Estado]],4,FALSE)</f>
        <v>Operativo</v>
      </c>
      <c r="E318" s="2" t="s">
        <v>1450</v>
      </c>
      <c r="F318" s="2" t="s">
        <v>32</v>
      </c>
      <c r="G318" s="2" t="s">
        <v>48</v>
      </c>
      <c r="H318" s="2" t="s">
        <v>59</v>
      </c>
      <c r="I318" s="2" t="s">
        <v>225</v>
      </c>
      <c r="J318" s="2" t="s">
        <v>226</v>
      </c>
      <c r="K318" s="2" t="s">
        <v>1451</v>
      </c>
      <c r="L318" s="2" t="s">
        <v>1452</v>
      </c>
      <c r="M318" s="2" t="s">
        <v>39</v>
      </c>
      <c r="N318" s="2" t="s">
        <v>40</v>
      </c>
      <c r="O318" s="2" t="s">
        <v>41</v>
      </c>
      <c r="P318" s="2" t="s">
        <v>64</v>
      </c>
      <c r="Q318" s="2" t="s">
        <v>64</v>
      </c>
      <c r="R318" s="2" t="s">
        <v>41</v>
      </c>
      <c r="S318" s="2" t="s">
        <v>41</v>
      </c>
      <c r="T318" s="2"/>
      <c r="U318" s="3">
        <v>45814</v>
      </c>
      <c r="V318" s="2" t="s">
        <v>1453</v>
      </c>
      <c r="W318" s="2" t="s">
        <v>253</v>
      </c>
      <c r="X318" s="2" t="s">
        <v>101</v>
      </c>
      <c r="Y318" s="2" t="s">
        <v>127</v>
      </c>
      <c r="Z318" s="2" t="s">
        <v>127</v>
      </c>
      <c r="AA318" s="2" t="s">
        <v>263</v>
      </c>
      <c r="AB318" s="2" t="s">
        <v>129</v>
      </c>
      <c r="AC318" s="2" t="s">
        <v>1454</v>
      </c>
    </row>
    <row r="319" spans="1:29" ht="57.95" customHeight="1">
      <c r="A319" s="2" t="s">
        <v>1455</v>
      </c>
      <c r="B319" s="2" t="s">
        <v>1456</v>
      </c>
      <c r="C319" s="2" t="str">
        <f>sheet1[[#This Row],[Nombre]]&amp;sheet1[[#This Row],[Bp Id]]</f>
        <v>360 Brand GuardianSEC0061</v>
      </c>
      <c r="D319" s="2" t="str">
        <f>VLOOKUP(sheet1[[#This Row],[Columna1]],sheet13[[Columna1]:[Estado]],4,FALSE)</f>
        <v>Operativo</v>
      </c>
      <c r="E319" s="2" t="s">
        <v>1457</v>
      </c>
      <c r="F319" s="2" t="s">
        <v>32</v>
      </c>
      <c r="G319" s="2" t="s">
        <v>48</v>
      </c>
      <c r="H319" s="2" t="s">
        <v>59</v>
      </c>
      <c r="I319" s="2" t="s">
        <v>107</v>
      </c>
      <c r="J319" s="2" t="s">
        <v>213</v>
      </c>
      <c r="K319" s="2" t="s">
        <v>176</v>
      </c>
      <c r="L319" s="2" t="s">
        <v>214</v>
      </c>
      <c r="M319" s="2" t="s">
        <v>111</v>
      </c>
      <c r="N319" s="2" t="s">
        <v>40</v>
      </c>
      <c r="O319" s="2" t="s">
        <v>41</v>
      </c>
      <c r="P319" s="2" t="s">
        <v>53</v>
      </c>
      <c r="Q319" s="2" t="s">
        <v>53</v>
      </c>
      <c r="R319" s="2" t="s">
        <v>41</v>
      </c>
      <c r="S319" s="2" t="s">
        <v>41</v>
      </c>
      <c r="T319" s="2" t="s">
        <v>1458</v>
      </c>
      <c r="U319" s="3">
        <v>46170</v>
      </c>
      <c r="V319" s="2" t="s">
        <v>1459</v>
      </c>
      <c r="W319" s="2" t="s">
        <v>146</v>
      </c>
      <c r="X319" s="2" t="s">
        <v>369</v>
      </c>
      <c r="Y319" s="2" t="s">
        <v>127</v>
      </c>
      <c r="Z319" s="2" t="s">
        <v>127</v>
      </c>
      <c r="AA319" s="2" t="s">
        <v>1175</v>
      </c>
      <c r="AB319" s="2" t="s">
        <v>129</v>
      </c>
      <c r="AC319" s="2" t="s">
        <v>1460</v>
      </c>
    </row>
    <row r="320" spans="1:29" ht="29.1" customHeight="1">
      <c r="A320" s="2" t="s">
        <v>1461</v>
      </c>
      <c r="B320" s="2" t="s">
        <v>1462</v>
      </c>
      <c r="C320" s="2" t="str">
        <f>sheet1[[#This Row],[Nombre]]&amp;sheet1[[#This Row],[Bp Id]]</f>
        <v>ProtegeGXSEC0075</v>
      </c>
      <c r="D320" s="2" t="str">
        <f>VLOOKUP(sheet1[[#This Row],[Columna1]],sheet13[[Columna1]:[Estado]],4,FALSE)</f>
        <v>Operativo</v>
      </c>
      <c r="E320" s="2" t="s">
        <v>1463</v>
      </c>
      <c r="F320" s="2" t="s">
        <v>32</v>
      </c>
      <c r="G320" s="2" t="s">
        <v>76</v>
      </c>
      <c r="H320" s="2" t="s">
        <v>34</v>
      </c>
      <c r="I320" s="2" t="s">
        <v>107</v>
      </c>
      <c r="J320" s="2" t="s">
        <v>546</v>
      </c>
      <c r="K320" s="2" t="s">
        <v>176</v>
      </c>
      <c r="L320" s="2" t="s">
        <v>411</v>
      </c>
      <c r="M320" s="2" t="s">
        <v>111</v>
      </c>
      <c r="N320" s="2" t="s">
        <v>40</v>
      </c>
      <c r="O320" s="2" t="s">
        <v>41</v>
      </c>
      <c r="P320" s="2" t="s">
        <v>53</v>
      </c>
      <c r="Q320" s="2" t="s">
        <v>53</v>
      </c>
      <c r="R320" s="2" t="s">
        <v>41</v>
      </c>
      <c r="S320" s="2" t="s">
        <v>41</v>
      </c>
      <c r="T320" s="2"/>
      <c r="U320" s="3">
        <v>45930</v>
      </c>
      <c r="V320" s="2" t="s">
        <v>1464</v>
      </c>
      <c r="W320" s="2" t="s">
        <v>252</v>
      </c>
      <c r="X320" s="2" t="s">
        <v>125</v>
      </c>
      <c r="Y320" s="2" t="s">
        <v>839</v>
      </c>
      <c r="Z320" s="2" t="s">
        <v>127</v>
      </c>
      <c r="AA320" s="2" t="s">
        <v>180</v>
      </c>
      <c r="AB320" s="2" t="s">
        <v>129</v>
      </c>
      <c r="AC320" s="2" t="s">
        <v>1465</v>
      </c>
    </row>
    <row r="321" spans="1:29" ht="20.100000000000001" customHeight="1">
      <c r="A321" s="2" t="s">
        <v>1466</v>
      </c>
      <c r="B321" s="2" t="s">
        <v>1467</v>
      </c>
      <c r="C321" s="2" t="str">
        <f>sheet1[[#This Row],[Nombre]]&amp;sheet1[[#This Row],[Bp Id]]</f>
        <v>QualtricsCUS0017</v>
      </c>
      <c r="D321" s="2" t="str">
        <f>VLOOKUP(sheet1[[#This Row],[Columna1]],sheet13[[Columna1]:[Estado]],4,FALSE)</f>
        <v>Operativo</v>
      </c>
      <c r="E321" s="2" t="s">
        <v>1468</v>
      </c>
      <c r="F321" s="2" t="s">
        <v>32</v>
      </c>
      <c r="G321" s="2" t="s">
        <v>48</v>
      </c>
      <c r="H321" s="2" t="s">
        <v>59</v>
      </c>
      <c r="I321" s="2" t="s">
        <v>87</v>
      </c>
      <c r="J321" s="2" t="s">
        <v>88</v>
      </c>
      <c r="K321" s="2" t="s">
        <v>1469</v>
      </c>
      <c r="L321" s="2" t="s">
        <v>1469</v>
      </c>
      <c r="M321" s="2" t="s">
        <v>63</v>
      </c>
      <c r="N321" s="2" t="s">
        <v>91</v>
      </c>
      <c r="O321" s="2" t="s">
        <v>41</v>
      </c>
      <c r="P321" s="2" t="s">
        <v>42</v>
      </c>
      <c r="Q321" s="2" t="s">
        <v>42</v>
      </c>
      <c r="R321" s="2" t="s">
        <v>43</v>
      </c>
      <c r="S321" s="2" t="s">
        <v>43</v>
      </c>
      <c r="T321" s="2"/>
      <c r="U321" s="3"/>
      <c r="V321" s="2"/>
      <c r="W321" s="2"/>
      <c r="X321" s="2"/>
      <c r="Y321" s="2"/>
      <c r="Z321" s="2"/>
      <c r="AA321" s="2"/>
      <c r="AB321" s="2"/>
      <c r="AC321" s="2"/>
    </row>
    <row r="322" spans="1:29" ht="29.1" customHeight="1">
      <c r="A322" s="2" t="s">
        <v>1470</v>
      </c>
      <c r="B322" s="2" t="s">
        <v>1471</v>
      </c>
      <c r="C322" s="2" t="str">
        <f>sheet1[[#This Row],[Nombre]]&amp;sheet1[[#This Row],[Bp Id]]</f>
        <v>Reclamos y RequerimientosCUS0015</v>
      </c>
      <c r="D322" s="2" t="str">
        <f>VLOOKUP(sheet1[[#This Row],[Columna1]],sheet13[[Columna1]:[Estado]],4,FALSE)</f>
        <v>Retirado</v>
      </c>
      <c r="E322" s="2" t="s">
        <v>1472</v>
      </c>
      <c r="F322" s="2" t="s">
        <v>47</v>
      </c>
      <c r="G322" s="2" t="s">
        <v>76</v>
      </c>
      <c r="H322" s="2" t="s">
        <v>34</v>
      </c>
      <c r="I322" s="2" t="s">
        <v>134</v>
      </c>
      <c r="J322" s="2" t="s">
        <v>88</v>
      </c>
      <c r="K322" s="2" t="s">
        <v>360</v>
      </c>
      <c r="L322" s="2" t="s">
        <v>136</v>
      </c>
      <c r="M322" s="2" t="s">
        <v>39</v>
      </c>
      <c r="N322" s="2" t="s">
        <v>40</v>
      </c>
      <c r="O322" s="2" t="s">
        <v>41</v>
      </c>
      <c r="P322" s="2" t="s">
        <v>53</v>
      </c>
      <c r="Q322" s="2" t="s">
        <v>53</v>
      </c>
      <c r="R322" s="2" t="s">
        <v>41</v>
      </c>
      <c r="S322" s="2" t="s">
        <v>43</v>
      </c>
      <c r="T322" s="2" t="s">
        <v>193</v>
      </c>
      <c r="U322" s="3"/>
      <c r="V322" s="2"/>
      <c r="W322" s="2"/>
      <c r="X322" s="2"/>
      <c r="Y322" s="2"/>
      <c r="Z322" s="2"/>
      <c r="AA322" s="2"/>
      <c r="AB322" s="2"/>
      <c r="AC322" s="2"/>
    </row>
    <row r="323" spans="1:29" ht="57.95" customHeight="1">
      <c r="A323" s="2" t="s">
        <v>1473</v>
      </c>
      <c r="B323" s="2" t="s">
        <v>1474</v>
      </c>
      <c r="C323" s="2" t="str">
        <f>sheet1[[#This Row],[Nombre]]&amp;sheet1[[#This Row],[Bp Id]]</f>
        <v>Recovery ApplianceITM0047</v>
      </c>
      <c r="D323" s="2" t="str">
        <f>VLOOKUP(sheet1[[#This Row],[Columna1]],sheet13[[Columna1]:[Estado]],4,FALSE)</f>
        <v>Operativo</v>
      </c>
      <c r="E323" s="2" t="s">
        <v>1475</v>
      </c>
      <c r="F323" s="2" t="s">
        <v>32</v>
      </c>
      <c r="G323" s="2" t="s">
        <v>48</v>
      </c>
      <c r="H323" s="2" t="s">
        <v>34</v>
      </c>
      <c r="I323" s="2" t="s">
        <v>68</v>
      </c>
      <c r="J323" s="2" t="s">
        <v>69</v>
      </c>
      <c r="K323" s="2" t="s">
        <v>70</v>
      </c>
      <c r="L323" s="2" t="s">
        <v>586</v>
      </c>
      <c r="M323" s="2" t="s">
        <v>52</v>
      </c>
      <c r="N323" s="2" t="s">
        <v>40</v>
      </c>
      <c r="O323" s="2" t="s">
        <v>43</v>
      </c>
      <c r="P323" s="2" t="s">
        <v>53</v>
      </c>
      <c r="Q323" s="2" t="s">
        <v>53</v>
      </c>
      <c r="R323" s="2" t="s">
        <v>43</v>
      </c>
      <c r="S323" s="2" t="s">
        <v>43</v>
      </c>
      <c r="T323" s="2"/>
      <c r="U323" s="3"/>
      <c r="V323" s="2"/>
      <c r="W323" s="2"/>
      <c r="X323" s="2"/>
      <c r="Y323" s="2"/>
      <c r="Z323" s="2"/>
      <c r="AA323" s="2"/>
      <c r="AB323" s="2"/>
      <c r="AC323" s="2"/>
    </row>
    <row r="324" spans="1:29" ht="20.100000000000001" customHeight="1">
      <c r="A324" s="2" t="s">
        <v>1476</v>
      </c>
      <c r="B324" s="2" t="s">
        <v>1477</v>
      </c>
      <c r="C324" s="2" t="str">
        <f>sheet1[[#This Row],[Nombre]]&amp;sheet1[[#This Row],[Bp Id]]</f>
        <v>Red Hat Directory ServerSEC0031</v>
      </c>
      <c r="D324" s="2" t="str">
        <f>VLOOKUP(sheet1[[#This Row],[Columna1]],sheet13[[Columna1]:[Estado]],4,FALSE)</f>
        <v>Operativo</v>
      </c>
      <c r="E324" s="2" t="s">
        <v>1478</v>
      </c>
      <c r="F324" s="2" t="s">
        <v>32</v>
      </c>
      <c r="G324" s="2" t="s">
        <v>48</v>
      </c>
      <c r="H324" s="2" t="s">
        <v>34</v>
      </c>
      <c r="I324" s="2" t="s">
        <v>68</v>
      </c>
      <c r="J324" s="2" t="s">
        <v>69</v>
      </c>
      <c r="K324" s="2" t="s">
        <v>82</v>
      </c>
      <c r="L324" s="2" t="s">
        <v>1479</v>
      </c>
      <c r="M324" s="2" t="s">
        <v>111</v>
      </c>
      <c r="N324" s="2" t="s">
        <v>40</v>
      </c>
      <c r="O324" s="2" t="s">
        <v>41</v>
      </c>
      <c r="P324" s="2" t="s">
        <v>42</v>
      </c>
      <c r="Q324" s="2" t="s">
        <v>42</v>
      </c>
      <c r="R324" s="2" t="s">
        <v>41</v>
      </c>
      <c r="S324" s="2" t="s">
        <v>41</v>
      </c>
      <c r="T324" s="2"/>
      <c r="U324" s="3">
        <v>45199</v>
      </c>
      <c r="V324" s="2"/>
      <c r="W324" s="2" t="s">
        <v>252</v>
      </c>
      <c r="X324" s="2" t="s">
        <v>375</v>
      </c>
      <c r="Y324" s="2"/>
      <c r="Z324" s="2"/>
      <c r="AA324" s="2"/>
      <c r="AB324" s="2"/>
      <c r="AC324" s="2"/>
    </row>
    <row r="325" spans="1:29" ht="57.95" customHeight="1">
      <c r="A325" s="2" t="s">
        <v>1480</v>
      </c>
      <c r="B325" s="2" t="s">
        <v>1481</v>
      </c>
      <c r="C325" s="2" t="str">
        <f>sheet1[[#This Row],[Nombre]]&amp;sheet1[[#This Row],[Bp Id]]</f>
        <v>Red Hat OpenShift Container PlatformITM0048</v>
      </c>
      <c r="D325" s="2" t="str">
        <f>VLOOKUP(sheet1[[#This Row],[Columna1]],sheet13[[Columna1]:[Estado]],4,FALSE)</f>
        <v>Operativo</v>
      </c>
      <c r="E325" s="2" t="s">
        <v>1482</v>
      </c>
      <c r="F325" s="2" t="s">
        <v>32</v>
      </c>
      <c r="G325" s="2" t="s">
        <v>123</v>
      </c>
      <c r="H325" s="2" t="s">
        <v>34</v>
      </c>
      <c r="I325" s="2" t="s">
        <v>449</v>
      </c>
      <c r="J325" s="2" t="s">
        <v>450</v>
      </c>
      <c r="K325" s="2" t="s">
        <v>450</v>
      </c>
      <c r="L325" s="2" t="s">
        <v>450</v>
      </c>
      <c r="M325" s="2" t="s">
        <v>52</v>
      </c>
      <c r="N325" s="2" t="s">
        <v>40</v>
      </c>
      <c r="O325" s="2" t="s">
        <v>41</v>
      </c>
      <c r="P325" s="2" t="s">
        <v>53</v>
      </c>
      <c r="Q325" s="2" t="s">
        <v>53</v>
      </c>
      <c r="R325" s="2" t="s">
        <v>41</v>
      </c>
      <c r="S325" s="2" t="s">
        <v>41</v>
      </c>
      <c r="T325" s="2" t="s">
        <v>1483</v>
      </c>
      <c r="U325" s="3">
        <v>45567</v>
      </c>
      <c r="V325" s="2" t="s">
        <v>1484</v>
      </c>
      <c r="W325" s="2" t="s">
        <v>187</v>
      </c>
      <c r="X325" s="2" t="s">
        <v>179</v>
      </c>
      <c r="Y325" s="2" t="s">
        <v>127</v>
      </c>
      <c r="Z325" s="2" t="s">
        <v>127</v>
      </c>
      <c r="AA325" s="2" t="s">
        <v>180</v>
      </c>
      <c r="AB325" s="2" t="s">
        <v>129</v>
      </c>
      <c r="AC325" s="2" t="s">
        <v>1485</v>
      </c>
    </row>
    <row r="326" spans="1:29" ht="20.100000000000001" customHeight="1">
      <c r="A326" s="2" t="s">
        <v>1486</v>
      </c>
      <c r="B326" s="2" t="s">
        <v>1487</v>
      </c>
      <c r="C326" s="2" t="str">
        <f>sheet1[[#This Row],[Nombre]]&amp;sheet1[[#This Row],[Bp Id]]</f>
        <v>Red Hat SatelliteITM0049</v>
      </c>
      <c r="D326" s="2" t="str">
        <f>VLOOKUP(sheet1[[#This Row],[Columna1]],sheet13[[Columna1]:[Estado]],4,FALSE)</f>
        <v>Operativo</v>
      </c>
      <c r="E326" s="2" t="s">
        <v>1488</v>
      </c>
      <c r="F326" s="2" t="s">
        <v>32</v>
      </c>
      <c r="G326" s="2" t="s">
        <v>48</v>
      </c>
      <c r="H326" s="2" t="s">
        <v>34</v>
      </c>
      <c r="I326" s="2" t="s">
        <v>68</v>
      </c>
      <c r="J326" s="2" t="s">
        <v>69</v>
      </c>
      <c r="K326" s="2" t="s">
        <v>82</v>
      </c>
      <c r="L326" s="2" t="s">
        <v>1479</v>
      </c>
      <c r="M326" s="2" t="s">
        <v>52</v>
      </c>
      <c r="N326" s="2" t="s">
        <v>40</v>
      </c>
      <c r="O326" s="2" t="s">
        <v>41</v>
      </c>
      <c r="P326" s="2" t="s">
        <v>53</v>
      </c>
      <c r="Q326" s="2" t="s">
        <v>53</v>
      </c>
      <c r="R326" s="2" t="s">
        <v>43</v>
      </c>
      <c r="S326" s="2" t="s">
        <v>43</v>
      </c>
      <c r="T326" s="2"/>
      <c r="U326" s="3"/>
      <c r="V326" s="2"/>
      <c r="W326" s="2"/>
      <c r="X326" s="2"/>
      <c r="Y326" s="2"/>
      <c r="Z326" s="2"/>
      <c r="AA326" s="2"/>
      <c r="AB326" s="2"/>
      <c r="AC326" s="2"/>
    </row>
    <row r="327" spans="1:29" ht="29.1" customHeight="1">
      <c r="A327" s="2" t="s">
        <v>1489</v>
      </c>
      <c r="B327" s="2" t="s">
        <v>1490</v>
      </c>
      <c r="C327" s="2" t="str">
        <f>sheet1[[#This Row],[Nombre]]&amp;sheet1[[#This Row],[Bp Id]]</f>
        <v>RedmineSUP0062</v>
      </c>
      <c r="D327" s="2" t="str">
        <f>VLOOKUP(sheet1[[#This Row],[Columna1]],sheet13[[Columna1]:[Estado]],4,FALSE)</f>
        <v>Retirado</v>
      </c>
      <c r="E327" s="2" t="s">
        <v>1491</v>
      </c>
      <c r="F327" s="2" t="s">
        <v>47</v>
      </c>
      <c r="G327" s="2" t="s">
        <v>48</v>
      </c>
      <c r="H327" s="2" t="s">
        <v>59</v>
      </c>
      <c r="I327" s="2" t="s">
        <v>107</v>
      </c>
      <c r="J327" s="2" t="s">
        <v>1492</v>
      </c>
      <c r="K327" s="2" t="s">
        <v>219</v>
      </c>
      <c r="L327" s="2" t="s">
        <v>1492</v>
      </c>
      <c r="M327" s="2" t="s">
        <v>111</v>
      </c>
      <c r="N327" s="2" t="s">
        <v>40</v>
      </c>
      <c r="O327" s="2" t="s">
        <v>41</v>
      </c>
      <c r="P327" s="2" t="s">
        <v>64</v>
      </c>
      <c r="Q327" s="2" t="s">
        <v>64</v>
      </c>
      <c r="R327" s="2" t="s">
        <v>41</v>
      </c>
      <c r="S327" s="2" t="s">
        <v>43</v>
      </c>
      <c r="T327" s="2"/>
      <c r="U327" s="3"/>
      <c r="V327" s="2"/>
      <c r="W327" s="2"/>
      <c r="X327" s="2"/>
      <c r="Y327" s="2"/>
      <c r="Z327" s="2"/>
      <c r="AA327" s="2"/>
      <c r="AB327" s="2"/>
      <c r="AC327" s="2"/>
    </row>
    <row r="328" spans="1:29" ht="20.100000000000001" customHeight="1">
      <c r="A328" s="2" t="s">
        <v>1493</v>
      </c>
      <c r="B328" s="2" t="s">
        <v>1494</v>
      </c>
      <c r="C328" s="2" t="str">
        <f>sheet1[[#This Row],[Nombre]]&amp;sheet1[[#This Row],[Bp Id]]</f>
        <v>RemesasPAY0023</v>
      </c>
      <c r="D328" s="2" t="str">
        <f>VLOOKUP(sheet1[[#This Row],[Columna1]],sheet13[[Columna1]:[Estado]],4,FALSE)</f>
        <v>Operativo</v>
      </c>
      <c r="E328" s="2" t="s">
        <v>1495</v>
      </c>
      <c r="F328" s="2" t="s">
        <v>32</v>
      </c>
      <c r="G328" s="2" t="s">
        <v>76</v>
      </c>
      <c r="H328" s="2" t="s">
        <v>345</v>
      </c>
      <c r="I328" s="2" t="s">
        <v>141</v>
      </c>
      <c r="J328" s="2" t="s">
        <v>151</v>
      </c>
      <c r="K328" s="2" t="s">
        <v>769</v>
      </c>
      <c r="L328" s="2" t="s">
        <v>770</v>
      </c>
      <c r="M328" s="2" t="s">
        <v>39</v>
      </c>
      <c r="N328" s="2" t="s">
        <v>40</v>
      </c>
      <c r="O328" s="2" t="s">
        <v>41</v>
      </c>
      <c r="P328" s="2" t="s">
        <v>53</v>
      </c>
      <c r="Q328" s="2" t="s">
        <v>53</v>
      </c>
      <c r="R328" s="2" t="s">
        <v>41</v>
      </c>
      <c r="S328" s="2" t="s">
        <v>43</v>
      </c>
      <c r="T328" s="2"/>
      <c r="U328" s="3"/>
      <c r="V328" s="2"/>
      <c r="W328" s="2"/>
      <c r="X328" s="2"/>
      <c r="Y328" s="2"/>
      <c r="Z328" s="2"/>
      <c r="AA328" s="2"/>
      <c r="AB328" s="2"/>
      <c r="AC328" s="2"/>
    </row>
    <row r="329" spans="1:29" ht="20.100000000000001" customHeight="1">
      <c r="A329" s="2" t="s">
        <v>1496</v>
      </c>
      <c r="B329" s="2" t="s">
        <v>1497</v>
      </c>
      <c r="C329" s="2" t="str">
        <f>sheet1[[#This Row],[Nombre]]&amp;sheet1[[#This Row],[Bp Id]]</f>
        <v>RENPAY0025</v>
      </c>
      <c r="D329" s="2" t="str">
        <f>VLOOKUP(sheet1[[#This Row],[Columna1]],sheet13[[Columna1]:[Estado]],4,FALSE)</f>
        <v>Operativo</v>
      </c>
      <c r="E329" s="2" t="s">
        <v>1498</v>
      </c>
      <c r="F329" s="2" t="s">
        <v>32</v>
      </c>
      <c r="G329" s="2" t="s">
        <v>33</v>
      </c>
      <c r="H329" s="2" t="s">
        <v>140</v>
      </c>
      <c r="I329" s="2" t="s">
        <v>141</v>
      </c>
      <c r="J329" s="2" t="s">
        <v>151</v>
      </c>
      <c r="K329" s="2" t="s">
        <v>564</v>
      </c>
      <c r="L329" s="2" t="s">
        <v>1499</v>
      </c>
      <c r="M329" s="2" t="s">
        <v>39</v>
      </c>
      <c r="N329" s="2" t="s">
        <v>40</v>
      </c>
      <c r="O329" s="2" t="s">
        <v>41</v>
      </c>
      <c r="P329" s="2" t="s">
        <v>64</v>
      </c>
      <c r="Q329" s="2" t="s">
        <v>53</v>
      </c>
      <c r="R329" s="2" t="s">
        <v>41</v>
      </c>
      <c r="S329" s="2" t="s">
        <v>41</v>
      </c>
      <c r="T329" s="2"/>
      <c r="U329" s="3">
        <v>45807</v>
      </c>
      <c r="V329" s="2"/>
      <c r="W329" s="2" t="s">
        <v>100</v>
      </c>
      <c r="X329" s="2" t="s">
        <v>590</v>
      </c>
      <c r="Y329" s="2"/>
      <c r="Z329" s="2"/>
      <c r="AA329" s="2" t="s">
        <v>180</v>
      </c>
      <c r="AB329" s="2" t="s">
        <v>129</v>
      </c>
      <c r="AC329" s="2" t="s">
        <v>1500</v>
      </c>
    </row>
    <row r="330" spans="1:29" ht="14.45" customHeight="1">
      <c r="A330" s="2" t="s">
        <v>1501</v>
      </c>
      <c r="B330" s="2" t="s">
        <v>1502</v>
      </c>
      <c r="C330" s="2" t="str">
        <f>sheet1[[#This Row],[Nombre]]&amp;sheet1[[#This Row],[Bp Id]]</f>
        <v>ReporteBuroCreditoRIS0010</v>
      </c>
      <c r="D330" s="2" t="str">
        <f>VLOOKUP(sheet1[[#This Row],[Columna1]],sheet13[[Columna1]:[Estado]],4,FALSE)</f>
        <v>Operativo</v>
      </c>
      <c r="E330" s="2" t="s">
        <v>1503</v>
      </c>
      <c r="F330" s="2" t="s">
        <v>32</v>
      </c>
      <c r="G330" s="2" t="s">
        <v>76</v>
      </c>
      <c r="H330" s="2" t="s">
        <v>59</v>
      </c>
      <c r="I330" s="2" t="s">
        <v>320</v>
      </c>
      <c r="J330" s="2" t="s">
        <v>321</v>
      </c>
      <c r="K330" s="2" t="s">
        <v>322</v>
      </c>
      <c r="L330" s="2" t="s">
        <v>323</v>
      </c>
      <c r="M330" s="2" t="s">
        <v>39</v>
      </c>
      <c r="N330" s="2" t="s">
        <v>40</v>
      </c>
      <c r="O330" s="2" t="s">
        <v>43</v>
      </c>
      <c r="P330" s="2" t="s">
        <v>64</v>
      </c>
      <c r="Q330" s="2" t="s">
        <v>64</v>
      </c>
      <c r="R330" s="2" t="s">
        <v>43</v>
      </c>
      <c r="S330" s="2" t="s">
        <v>43</v>
      </c>
      <c r="T330" s="2" t="s">
        <v>1504</v>
      </c>
      <c r="U330" s="3">
        <v>46115</v>
      </c>
      <c r="V330" s="2" t="s">
        <v>597</v>
      </c>
      <c r="W330" s="2"/>
      <c r="X330" s="2"/>
      <c r="Y330" s="2"/>
      <c r="Z330" s="2"/>
      <c r="AA330" s="2" t="s">
        <v>1505</v>
      </c>
      <c r="AB330" s="2"/>
      <c r="AC330" s="2" t="s">
        <v>1506</v>
      </c>
    </row>
    <row r="331" spans="1:29" ht="20.100000000000001" customHeight="1">
      <c r="A331" s="2" t="s">
        <v>1507</v>
      </c>
      <c r="B331" s="2" t="s">
        <v>1508</v>
      </c>
      <c r="C331" s="2" t="str">
        <f>sheet1[[#This Row],[Nombre]]&amp;sheet1[[#This Row],[Bp Id]]</f>
        <v>ReportesGafTIE0017</v>
      </c>
      <c r="D331" s="2" t="str">
        <f>VLOOKUP(sheet1[[#This Row],[Columna1]],sheet13[[Columna1]:[Estado]],4,FALSE)</f>
        <v>Operativo</v>
      </c>
      <c r="E331" s="2" t="s">
        <v>1509</v>
      </c>
      <c r="F331" s="2" t="s">
        <v>32</v>
      </c>
      <c r="G331" s="2" t="s">
        <v>48</v>
      </c>
      <c r="H331" s="2" t="s">
        <v>59</v>
      </c>
      <c r="I331" s="2" t="s">
        <v>1086</v>
      </c>
      <c r="J331" s="2" t="s">
        <v>96</v>
      </c>
      <c r="K331" s="2" t="s">
        <v>833</v>
      </c>
      <c r="L331" s="2" t="s">
        <v>941</v>
      </c>
      <c r="M331" s="2" t="s">
        <v>39</v>
      </c>
      <c r="N331" s="2" t="s">
        <v>40</v>
      </c>
      <c r="O331" s="2" t="s">
        <v>43</v>
      </c>
      <c r="P331" s="2" t="s">
        <v>42</v>
      </c>
      <c r="Q331" s="2" t="s">
        <v>42</v>
      </c>
      <c r="R331" s="2" t="s">
        <v>41</v>
      </c>
      <c r="S331" s="2" t="s">
        <v>41</v>
      </c>
      <c r="T331" s="2"/>
      <c r="U331" s="3">
        <v>46206</v>
      </c>
      <c r="V331" s="2" t="s">
        <v>1510</v>
      </c>
      <c r="W331" s="2" t="s">
        <v>125</v>
      </c>
      <c r="X331" s="2" t="s">
        <v>262</v>
      </c>
      <c r="Y331" s="2" t="s">
        <v>376</v>
      </c>
      <c r="Z331" s="2" t="s">
        <v>376</v>
      </c>
      <c r="AA331" s="2" t="s">
        <v>1511</v>
      </c>
      <c r="AB331" s="2" t="s">
        <v>129</v>
      </c>
      <c r="AC331" s="2" t="s">
        <v>1512</v>
      </c>
    </row>
    <row r="332" spans="1:29" ht="57.95" customHeight="1">
      <c r="A332" s="2" t="s">
        <v>1513</v>
      </c>
      <c r="B332" s="2" t="s">
        <v>1514</v>
      </c>
      <c r="C332" s="2" t="str">
        <f>sheet1[[#This Row],[Nombre]]&amp;sheet1[[#This Row],[Bp Id]]</f>
        <v>MonitorCajerosCHL0038</v>
      </c>
      <c r="D332" s="2" t="str">
        <f>VLOOKUP(sheet1[[#This Row],[Columna1]],sheet13[[Columna1]:[Estado]],4,FALSE)</f>
        <v>Operativo</v>
      </c>
      <c r="E332" s="2" t="s">
        <v>1515</v>
      </c>
      <c r="F332" s="2" t="s">
        <v>32</v>
      </c>
      <c r="G332" s="2" t="s">
        <v>48</v>
      </c>
      <c r="H332" s="2" t="s">
        <v>59</v>
      </c>
      <c r="I332" s="2" t="s">
        <v>35</v>
      </c>
      <c r="J332" s="2" t="s">
        <v>36</v>
      </c>
      <c r="K332" s="2" t="s">
        <v>37</v>
      </c>
      <c r="L332" s="2" t="s">
        <v>38</v>
      </c>
      <c r="M332" s="2" t="s">
        <v>39</v>
      </c>
      <c r="N332" s="2" t="s">
        <v>40</v>
      </c>
      <c r="O332" s="2" t="s">
        <v>41</v>
      </c>
      <c r="P332" s="2" t="s">
        <v>42</v>
      </c>
      <c r="Q332" s="2" t="s">
        <v>53</v>
      </c>
      <c r="R332" s="2" t="s">
        <v>41</v>
      </c>
      <c r="S332" s="2" t="s">
        <v>41</v>
      </c>
      <c r="T332" s="2" t="s">
        <v>99</v>
      </c>
      <c r="U332" s="3">
        <v>45199</v>
      </c>
      <c r="V332" s="2"/>
      <c r="W332" s="2" t="s">
        <v>100</v>
      </c>
      <c r="X332" s="2" t="s">
        <v>101</v>
      </c>
      <c r="Y332" s="2"/>
      <c r="Z332" s="2"/>
      <c r="AA332" s="2" t="s">
        <v>1516</v>
      </c>
      <c r="AB332" s="2"/>
      <c r="AC332" s="2" t="s">
        <v>103</v>
      </c>
    </row>
    <row r="333" spans="1:29" ht="14.45" customHeight="1">
      <c r="A333" s="2" t="s">
        <v>1517</v>
      </c>
      <c r="B333" s="2" t="s">
        <v>1518</v>
      </c>
      <c r="C333" s="2" t="str">
        <f>sheet1[[#This Row],[Nombre]]&amp;sheet1[[#This Row],[Bp Id]]</f>
        <v>Monitoreo ATM SSTOBITM0040</v>
      </c>
      <c r="D333" s="2" t="str">
        <f>VLOOKUP(sheet1[[#This Row],[Columna1]],sheet13[[Columna1]:[Estado]],4,FALSE)</f>
        <v>Operativo</v>
      </c>
      <c r="E333" s="2" t="s">
        <v>1519</v>
      </c>
      <c r="F333" s="2" t="s">
        <v>32</v>
      </c>
      <c r="G333" s="2" t="s">
        <v>76</v>
      </c>
      <c r="H333" s="2" t="s">
        <v>140</v>
      </c>
      <c r="I333" s="2" t="s">
        <v>35</v>
      </c>
      <c r="J333" s="2" t="s">
        <v>349</v>
      </c>
      <c r="K333" s="2" t="s">
        <v>381</v>
      </c>
      <c r="L333" s="2" t="s">
        <v>382</v>
      </c>
      <c r="M333" s="2" t="s">
        <v>63</v>
      </c>
      <c r="N333" s="2" t="s">
        <v>40</v>
      </c>
      <c r="O333" s="2" t="s">
        <v>41</v>
      </c>
      <c r="P333" s="2" t="s">
        <v>53</v>
      </c>
      <c r="Q333" s="2" t="s">
        <v>53</v>
      </c>
      <c r="R333" s="2" t="s">
        <v>43</v>
      </c>
      <c r="S333" s="2" t="s">
        <v>43</v>
      </c>
      <c r="T333" s="2"/>
      <c r="U333" s="3"/>
      <c r="V333" s="2"/>
      <c r="W333" s="2"/>
      <c r="X333" s="2"/>
      <c r="Y333" s="2"/>
      <c r="Z333" s="2"/>
      <c r="AA333" s="2"/>
      <c r="AB333" s="2"/>
      <c r="AC333" s="2"/>
    </row>
    <row r="334" spans="1:29" ht="29.1" customHeight="1">
      <c r="A334" s="2" t="s">
        <v>1520</v>
      </c>
      <c r="B334" s="2" t="s">
        <v>1521</v>
      </c>
      <c r="C334" s="2" t="str">
        <f>sheet1[[#This Row],[Nombre]]&amp;sheet1[[#This Row],[Bp Id]]</f>
        <v>MonitoreoEfectivoCHL0002</v>
      </c>
      <c r="D334" s="2" t="str">
        <f>VLOOKUP(sheet1[[#This Row],[Columna1]],sheet13[[Columna1]:[Estado]],4,FALSE)</f>
        <v>Operativo</v>
      </c>
      <c r="E334" s="2" t="s">
        <v>1522</v>
      </c>
      <c r="F334" s="2" t="s">
        <v>32</v>
      </c>
      <c r="G334" s="2" t="s">
        <v>76</v>
      </c>
      <c r="H334" s="2" t="s">
        <v>34</v>
      </c>
      <c r="I334" s="2" t="s">
        <v>225</v>
      </c>
      <c r="J334" s="2" t="s">
        <v>226</v>
      </c>
      <c r="K334" s="2" t="s">
        <v>268</v>
      </c>
      <c r="L334" s="2" t="s">
        <v>268</v>
      </c>
      <c r="M334" s="2" t="s">
        <v>39</v>
      </c>
      <c r="N334" s="2" t="s">
        <v>40</v>
      </c>
      <c r="O334" s="2" t="s">
        <v>43</v>
      </c>
      <c r="P334" s="2" t="s">
        <v>42</v>
      </c>
      <c r="Q334" s="2" t="s">
        <v>53</v>
      </c>
      <c r="R334" s="2" t="s">
        <v>41</v>
      </c>
      <c r="S334" s="2" t="s">
        <v>41</v>
      </c>
      <c r="T334" s="2" t="s">
        <v>1105</v>
      </c>
      <c r="U334" s="3">
        <v>45199</v>
      </c>
      <c r="V334" s="2"/>
      <c r="W334" s="2" t="s">
        <v>100</v>
      </c>
      <c r="X334" s="2" t="s">
        <v>101</v>
      </c>
      <c r="Y334" s="2"/>
      <c r="Z334" s="2"/>
      <c r="AA334" s="2"/>
      <c r="AB334" s="2"/>
      <c r="AC334" s="2"/>
    </row>
    <row r="335" spans="1:29" ht="14.45" customHeight="1">
      <c r="A335" s="2" t="s">
        <v>1523</v>
      </c>
      <c r="B335" s="2" t="s">
        <v>1524</v>
      </c>
      <c r="C335" s="2" t="str">
        <f>sheet1[[#This Row],[Nombre]]&amp;sheet1[[#This Row],[Bp Id]]</f>
        <v>Motor de OfertasCUS0011</v>
      </c>
      <c r="D335" s="2" t="str">
        <f>VLOOKUP(sheet1[[#This Row],[Columna1]],sheet13[[Columna1]:[Estado]],4,FALSE)</f>
        <v>Retirado</v>
      </c>
      <c r="E335" s="2" t="s">
        <v>1525</v>
      </c>
      <c r="F335" s="2" t="s">
        <v>47</v>
      </c>
      <c r="G335" s="2" t="s">
        <v>48</v>
      </c>
      <c r="H335" s="2" t="s">
        <v>34</v>
      </c>
      <c r="I335" s="2" t="s">
        <v>134</v>
      </c>
      <c r="J335" s="2" t="s">
        <v>88</v>
      </c>
      <c r="K335" s="2" t="s">
        <v>1526</v>
      </c>
      <c r="L335" s="2" t="s">
        <v>136</v>
      </c>
      <c r="M335" s="2" t="s">
        <v>39</v>
      </c>
      <c r="N335" s="2" t="s">
        <v>40</v>
      </c>
      <c r="O335" s="2" t="s">
        <v>43</v>
      </c>
      <c r="P335" s="2" t="s">
        <v>42</v>
      </c>
      <c r="Q335" s="2" t="s">
        <v>42</v>
      </c>
      <c r="R335" s="2" t="s">
        <v>43</v>
      </c>
      <c r="S335" s="2" t="s">
        <v>43</v>
      </c>
      <c r="T335" s="2"/>
      <c r="U335" s="3"/>
      <c r="V335" s="2"/>
      <c r="W335" s="2"/>
      <c r="X335" s="2"/>
      <c r="Y335" s="2"/>
      <c r="Z335" s="2"/>
      <c r="AA335" s="2"/>
      <c r="AB335" s="2"/>
      <c r="AC335" s="2"/>
    </row>
    <row r="336" spans="1:29" ht="20.100000000000001" customHeight="1">
      <c r="A336" s="2" t="s">
        <v>1527</v>
      </c>
      <c r="B336" s="2" t="s">
        <v>1528</v>
      </c>
      <c r="C336" s="2" t="str">
        <f>sheet1[[#This Row],[Nombre]]&amp;sheet1[[#This Row],[Bp Id]]</f>
        <v>Motor de pagos PTSSEC0062</v>
      </c>
      <c r="D336" s="2" t="str">
        <f>VLOOKUP(sheet1[[#This Row],[Columna1]],sheet13[[Columna1]:[Estado]],4,FALSE)</f>
        <v>Operativo</v>
      </c>
      <c r="E336" s="2" t="s">
        <v>1529</v>
      </c>
      <c r="F336" s="2" t="s">
        <v>32</v>
      </c>
      <c r="G336" s="2" t="s">
        <v>123</v>
      </c>
      <c r="H336" s="2" t="s">
        <v>59</v>
      </c>
      <c r="I336" s="2" t="s">
        <v>208</v>
      </c>
      <c r="J336" s="2" t="s">
        <v>209</v>
      </c>
      <c r="K336" s="2" t="s">
        <v>445</v>
      </c>
      <c r="L336" s="2" t="s">
        <v>209</v>
      </c>
      <c r="M336" s="2" t="s">
        <v>52</v>
      </c>
      <c r="N336" s="2" t="s">
        <v>40</v>
      </c>
      <c r="O336" s="2" t="s">
        <v>41</v>
      </c>
      <c r="P336" s="2" t="s">
        <v>42</v>
      </c>
      <c r="Q336" s="2" t="s">
        <v>42</v>
      </c>
      <c r="R336" s="2" t="s">
        <v>41</v>
      </c>
      <c r="S336" s="2" t="s">
        <v>43</v>
      </c>
      <c r="T336" s="2"/>
      <c r="U336" s="3"/>
      <c r="V336" s="2"/>
      <c r="W336" s="2"/>
      <c r="X336" s="2"/>
      <c r="Y336" s="2"/>
      <c r="Z336" s="2"/>
      <c r="AA336" s="2"/>
      <c r="AB336" s="2"/>
      <c r="AC336" s="2"/>
    </row>
    <row r="337" spans="1:29" ht="20.100000000000001" customHeight="1">
      <c r="A337" s="2" t="s">
        <v>1530</v>
      </c>
      <c r="B337" s="2" t="s">
        <v>1531</v>
      </c>
      <c r="C337" s="2" t="str">
        <f>sheet1[[#This Row],[Nombre]]&amp;sheet1[[#This Row],[Bp Id]]</f>
        <v>Motor de Tarjetas TransportePAY0026</v>
      </c>
      <c r="D337" s="2" t="str">
        <f>VLOOKUP(sheet1[[#This Row],[Columna1]],sheet13[[Columna1]:[Estado]],4,FALSE)</f>
        <v>Operativo</v>
      </c>
      <c r="E337" s="2" t="s">
        <v>1532</v>
      </c>
      <c r="F337" s="2" t="s">
        <v>32</v>
      </c>
      <c r="G337" s="2" t="s">
        <v>48</v>
      </c>
      <c r="H337" s="2" t="s">
        <v>59</v>
      </c>
      <c r="I337" s="2" t="s">
        <v>141</v>
      </c>
      <c r="J337" s="2" t="s">
        <v>151</v>
      </c>
      <c r="K337" s="2" t="s">
        <v>1533</v>
      </c>
      <c r="L337" s="2" t="s">
        <v>770</v>
      </c>
      <c r="M337" s="2" t="s">
        <v>39</v>
      </c>
      <c r="N337" s="2"/>
      <c r="O337" s="2"/>
      <c r="P337" s="2"/>
      <c r="Q337" s="2"/>
      <c r="R337" s="2"/>
      <c r="S337" s="2"/>
      <c r="T337" s="2"/>
      <c r="U337" s="3"/>
      <c r="V337" s="2"/>
      <c r="W337" s="2"/>
      <c r="X337" s="2"/>
      <c r="Y337" s="2"/>
      <c r="Z337" s="2"/>
      <c r="AA337" s="2"/>
      <c r="AB337" s="2"/>
      <c r="AC337" s="2"/>
    </row>
    <row r="338" spans="1:29" ht="14.45" customHeight="1">
      <c r="A338" s="2" t="s">
        <v>1534</v>
      </c>
      <c r="B338" s="2" t="s">
        <v>1535</v>
      </c>
      <c r="C338" s="2" t="str">
        <f>sheet1[[#This Row],[Nombre]]&amp;sheet1[[#This Row],[Bp Id]]</f>
        <v>Motor de TransferenciasPRD0039</v>
      </c>
      <c r="D338" s="2" t="str">
        <f>VLOOKUP(sheet1[[#This Row],[Columna1]],sheet13[[Columna1]:[Estado]],4,FALSE)</f>
        <v>Operativo</v>
      </c>
      <c r="E338" s="2" t="s">
        <v>1536</v>
      </c>
      <c r="F338" s="2" t="s">
        <v>32</v>
      </c>
      <c r="G338" s="2" t="s">
        <v>123</v>
      </c>
      <c r="H338" s="2" t="s">
        <v>34</v>
      </c>
      <c r="I338" s="2" t="s">
        <v>339</v>
      </c>
      <c r="J338" s="2" t="s">
        <v>50</v>
      </c>
      <c r="K338" s="2" t="s">
        <v>634</v>
      </c>
      <c r="L338" s="2" t="s">
        <v>50</v>
      </c>
      <c r="M338" s="2" t="s">
        <v>39</v>
      </c>
      <c r="N338" s="2" t="s">
        <v>40</v>
      </c>
      <c r="O338" s="2" t="s">
        <v>41</v>
      </c>
      <c r="P338" s="2" t="s">
        <v>42</v>
      </c>
      <c r="Q338" s="2" t="s">
        <v>42</v>
      </c>
      <c r="R338" s="2" t="s">
        <v>41</v>
      </c>
      <c r="S338" s="2" t="s">
        <v>41</v>
      </c>
      <c r="T338" s="2" t="s">
        <v>1537</v>
      </c>
      <c r="U338" s="3">
        <v>45200</v>
      </c>
      <c r="V338" s="2"/>
      <c r="W338" s="2" t="s">
        <v>100</v>
      </c>
      <c r="X338" s="2" t="s">
        <v>125</v>
      </c>
      <c r="Y338" s="2" t="s">
        <v>147</v>
      </c>
      <c r="Z338" s="2" t="s">
        <v>363</v>
      </c>
      <c r="AA338" s="2" t="s">
        <v>263</v>
      </c>
      <c r="AB338" s="2" t="s">
        <v>129</v>
      </c>
      <c r="AC338" s="2" t="s">
        <v>1538</v>
      </c>
    </row>
    <row r="339" spans="1:29" ht="29.1" customHeight="1">
      <c r="A339" s="2" t="s">
        <v>1539</v>
      </c>
      <c r="B339" s="2" t="s">
        <v>1540</v>
      </c>
      <c r="C339" s="2" t="str">
        <f>sheet1[[#This Row],[Nombre]]&amp;sheet1[[#This Row],[Bp Id]]</f>
        <v>Móvil VendorPRD0023</v>
      </c>
      <c r="D339" s="2" t="str">
        <f>VLOOKUP(sheet1[[#This Row],[Columna1]],sheet13[[Columna1]:[Estado]],4,FALSE)</f>
        <v>Retirado</v>
      </c>
      <c r="E339" s="2" t="s">
        <v>1541</v>
      </c>
      <c r="F339" s="2" t="s">
        <v>47</v>
      </c>
      <c r="G339" s="2" t="s">
        <v>123</v>
      </c>
      <c r="H339" s="2" t="s">
        <v>59</v>
      </c>
      <c r="I339" s="2" t="s">
        <v>553</v>
      </c>
      <c r="J339" s="2" t="s">
        <v>554</v>
      </c>
      <c r="K339" s="2" t="s">
        <v>555</v>
      </c>
      <c r="L339" s="2" t="s">
        <v>556</v>
      </c>
      <c r="M339" s="2" t="s">
        <v>39</v>
      </c>
      <c r="N339" s="2" t="s">
        <v>91</v>
      </c>
      <c r="O339" s="2" t="s">
        <v>41</v>
      </c>
      <c r="P339" s="2" t="s">
        <v>53</v>
      </c>
      <c r="Q339" s="2" t="s">
        <v>53</v>
      </c>
      <c r="R339" s="2" t="s">
        <v>43</v>
      </c>
      <c r="S339" s="2" t="s">
        <v>43</v>
      </c>
      <c r="T339" s="2"/>
      <c r="U339" s="3"/>
      <c r="V339" s="2"/>
      <c r="W339" s="2"/>
      <c r="X339" s="2"/>
      <c r="Y339" s="2"/>
      <c r="Z339" s="2"/>
      <c r="AA339" s="2"/>
      <c r="AB339" s="2"/>
      <c r="AC339" s="2"/>
    </row>
    <row r="340" spans="1:29" ht="20.100000000000001" customHeight="1">
      <c r="A340" s="2" t="s">
        <v>1542</v>
      </c>
      <c r="B340" s="2" t="s">
        <v>1543</v>
      </c>
      <c r="C340" s="2" t="str">
        <f>sheet1[[#This Row],[Nombre]]&amp;sheet1[[#This Row],[Bp Id]]</f>
        <v>MQ Gateway (BUS Omnicanal)INT0010</v>
      </c>
      <c r="D340" s="2" t="str">
        <f>VLOOKUP(sheet1[[#This Row],[Columna1]],sheet13[[Columna1]:[Estado]],4,FALSE)</f>
        <v>Retirado</v>
      </c>
      <c r="E340" s="2" t="s">
        <v>1544</v>
      </c>
      <c r="F340" s="2" t="s">
        <v>47</v>
      </c>
      <c r="G340" s="2" t="s">
        <v>123</v>
      </c>
      <c r="H340" s="2" t="s">
        <v>34</v>
      </c>
      <c r="I340" s="2" t="s">
        <v>921</v>
      </c>
      <c r="J340" s="2" t="s">
        <v>50</v>
      </c>
      <c r="K340" s="2" t="s">
        <v>51</v>
      </c>
      <c r="L340" s="2" t="s">
        <v>51</v>
      </c>
      <c r="M340" s="2" t="s">
        <v>52</v>
      </c>
      <c r="N340" s="2" t="s">
        <v>40</v>
      </c>
      <c r="O340" s="2" t="s">
        <v>43</v>
      </c>
      <c r="P340" s="2" t="s">
        <v>53</v>
      </c>
      <c r="Q340" s="2" t="s">
        <v>53</v>
      </c>
      <c r="R340" s="2" t="s">
        <v>43</v>
      </c>
      <c r="S340" s="2" t="s">
        <v>43</v>
      </c>
      <c r="T340" s="2"/>
      <c r="U340" s="3"/>
      <c r="V340" s="2"/>
      <c r="W340" s="2"/>
      <c r="X340" s="2"/>
      <c r="Y340" s="2"/>
      <c r="Z340" s="2"/>
      <c r="AA340" s="2"/>
      <c r="AB340" s="2"/>
      <c r="AC340" s="2"/>
    </row>
    <row r="341" spans="1:29" ht="20.100000000000001" customHeight="1">
      <c r="A341" s="2" t="s">
        <v>1545</v>
      </c>
      <c r="B341" s="2" t="s">
        <v>1546</v>
      </c>
      <c r="C341" s="2" t="str">
        <f>sheet1[[#This Row],[Nombre]]&amp;sheet1[[#This Row],[Bp Id]]</f>
        <v>MQ Gateway (BUS Soporte)INT0011</v>
      </c>
      <c r="D341" s="2" t="str">
        <f>VLOOKUP(sheet1[[#This Row],[Columna1]],sheet13[[Columna1]:[Estado]],4,FALSE)</f>
        <v>Retirado</v>
      </c>
      <c r="E341" s="2" t="s">
        <v>1547</v>
      </c>
      <c r="F341" s="2" t="s">
        <v>47</v>
      </c>
      <c r="G341" s="2" t="s">
        <v>123</v>
      </c>
      <c r="H341" s="2" t="s">
        <v>34</v>
      </c>
      <c r="I341" s="2" t="s">
        <v>921</v>
      </c>
      <c r="J341" s="2" t="s">
        <v>50</v>
      </c>
      <c r="K341" s="2" t="s">
        <v>51</v>
      </c>
      <c r="L341" s="2" t="s">
        <v>51</v>
      </c>
      <c r="M341" s="2" t="s">
        <v>52</v>
      </c>
      <c r="N341" s="2" t="s">
        <v>40</v>
      </c>
      <c r="O341" s="2" t="s">
        <v>43</v>
      </c>
      <c r="P341" s="2" t="s">
        <v>53</v>
      </c>
      <c r="Q341" s="2" t="s">
        <v>53</v>
      </c>
      <c r="R341" s="2" t="s">
        <v>43</v>
      </c>
      <c r="S341" s="2" t="s">
        <v>43</v>
      </c>
      <c r="T341" s="2"/>
      <c r="U341" s="3"/>
      <c r="V341" s="2"/>
      <c r="W341" s="2"/>
      <c r="X341" s="2"/>
      <c r="Y341" s="2"/>
      <c r="Z341" s="2"/>
      <c r="AA341" s="2"/>
      <c r="AB341" s="2"/>
      <c r="AC341" s="2"/>
    </row>
    <row r="342" spans="1:29" ht="29.1" customHeight="1">
      <c r="A342" s="2" t="s">
        <v>1548</v>
      </c>
      <c r="B342" s="2" t="s">
        <v>1549</v>
      </c>
      <c r="C342" s="2" t="str">
        <f>sheet1[[#This Row],[Nombre]]&amp;sheet1[[#This Row],[Bp Id]]</f>
        <v>MurexSUP0014</v>
      </c>
      <c r="D342" s="2" t="str">
        <f>VLOOKUP(sheet1[[#This Row],[Columna1]],sheet13[[Columna1]:[Estado]],4,FALSE)</f>
        <v>Operativo</v>
      </c>
      <c r="E342" s="2" t="s">
        <v>1550</v>
      </c>
      <c r="F342" s="2" t="s">
        <v>32</v>
      </c>
      <c r="G342" s="2" t="s">
        <v>76</v>
      </c>
      <c r="H342" s="2" t="s">
        <v>34</v>
      </c>
      <c r="I342" s="2" t="s">
        <v>225</v>
      </c>
      <c r="J342" s="2" t="s">
        <v>226</v>
      </c>
      <c r="K342" s="2" t="s">
        <v>617</v>
      </c>
      <c r="L342" s="2" t="s">
        <v>304</v>
      </c>
      <c r="M342" s="2" t="s">
        <v>39</v>
      </c>
      <c r="N342" s="2" t="s">
        <v>40</v>
      </c>
      <c r="O342" s="2" t="s">
        <v>41</v>
      </c>
      <c r="P342" s="2" t="s">
        <v>53</v>
      </c>
      <c r="Q342" s="2" t="s">
        <v>53</v>
      </c>
      <c r="R342" s="2" t="s">
        <v>41</v>
      </c>
      <c r="S342" s="2" t="s">
        <v>41</v>
      </c>
      <c r="T342" s="2" t="s">
        <v>1551</v>
      </c>
      <c r="U342" s="3">
        <v>45200</v>
      </c>
      <c r="V342" s="2" t="s">
        <v>1552</v>
      </c>
      <c r="W342" s="2" t="s">
        <v>253</v>
      </c>
      <c r="X342" s="2" t="s">
        <v>125</v>
      </c>
      <c r="Y342" s="2" t="s">
        <v>147</v>
      </c>
      <c r="Z342" s="2" t="s">
        <v>147</v>
      </c>
      <c r="AA342" s="2" t="s">
        <v>1553</v>
      </c>
      <c r="AB342" s="2" t="s">
        <v>129</v>
      </c>
      <c r="AC342" s="2" t="s">
        <v>840</v>
      </c>
    </row>
    <row r="343" spans="1:29" ht="20.100000000000001" customHeight="1">
      <c r="A343" s="2" t="s">
        <v>1554</v>
      </c>
      <c r="B343" s="2" t="s">
        <v>1555</v>
      </c>
      <c r="C343" s="2" t="str">
        <f>sheet1[[#This Row],[Nombre]]&amp;sheet1[[#This Row],[Bp Id]]</f>
        <v>Entornos de respaldos y restauracionesITM0041</v>
      </c>
      <c r="D343" s="2" t="str">
        <f>VLOOKUP(sheet1[[#This Row],[Columna1]],sheet13[[Columna1]:[Estado]],4,FALSE)</f>
        <v>Operativo</v>
      </c>
      <c r="E343" s="2" t="s">
        <v>1556</v>
      </c>
      <c r="F343" s="2" t="s">
        <v>32</v>
      </c>
      <c r="G343" s="2" t="s">
        <v>76</v>
      </c>
      <c r="H343" s="2" t="s">
        <v>34</v>
      </c>
      <c r="I343" s="2" t="s">
        <v>68</v>
      </c>
      <c r="J343" s="2" t="s">
        <v>69</v>
      </c>
      <c r="K343" s="2" t="s">
        <v>70</v>
      </c>
      <c r="L343" s="2" t="s">
        <v>586</v>
      </c>
      <c r="M343" s="2" t="s">
        <v>52</v>
      </c>
      <c r="N343" s="2" t="s">
        <v>40</v>
      </c>
      <c r="O343" s="2" t="s">
        <v>41</v>
      </c>
      <c r="P343" s="2" t="s">
        <v>53</v>
      </c>
      <c r="Q343" s="2" t="s">
        <v>53</v>
      </c>
      <c r="R343" s="2" t="s">
        <v>41</v>
      </c>
      <c r="S343" s="2" t="s">
        <v>41</v>
      </c>
      <c r="T343" s="2" t="s">
        <v>1557</v>
      </c>
      <c r="U343" s="3">
        <v>46234</v>
      </c>
      <c r="V343" s="2" t="s">
        <v>1558</v>
      </c>
      <c r="W343" s="2" t="s">
        <v>626</v>
      </c>
      <c r="X343" s="2"/>
      <c r="Y343" s="2"/>
      <c r="Z343" s="2"/>
      <c r="AA343" s="2"/>
      <c r="AB343" s="2"/>
      <c r="AC343" s="2"/>
    </row>
    <row r="344" spans="1:29" ht="29.1" customHeight="1">
      <c r="A344" s="2" t="s">
        <v>1559</v>
      </c>
      <c r="B344" s="2" t="s">
        <v>1560</v>
      </c>
      <c r="C344" s="2" t="str">
        <f>sheet1[[#This Row],[Nombre]]&amp;sheet1[[#This Row],[Bp Id]]</f>
        <v>NetskopeSEC0030</v>
      </c>
      <c r="D344" s="2" t="str">
        <f>VLOOKUP(sheet1[[#This Row],[Columna1]],sheet13[[Columna1]:[Estado]],4,FALSE)</f>
        <v>Operativo</v>
      </c>
      <c r="E344" s="2" t="s">
        <v>1561</v>
      </c>
      <c r="F344" s="2" t="s">
        <v>32</v>
      </c>
      <c r="G344" s="2" t="s">
        <v>76</v>
      </c>
      <c r="H344" s="2" t="s">
        <v>345</v>
      </c>
      <c r="I344" s="2" t="s">
        <v>107</v>
      </c>
      <c r="J344" s="2" t="s">
        <v>1152</v>
      </c>
      <c r="K344" s="2" t="s">
        <v>176</v>
      </c>
      <c r="L344" s="2" t="s">
        <v>218</v>
      </c>
      <c r="M344" s="2" t="s">
        <v>111</v>
      </c>
      <c r="N344" s="2" t="s">
        <v>40</v>
      </c>
      <c r="O344" s="2" t="s">
        <v>41</v>
      </c>
      <c r="P344" s="2" t="s">
        <v>64</v>
      </c>
      <c r="Q344" s="2" t="s">
        <v>53</v>
      </c>
      <c r="R344" s="2" t="s">
        <v>41</v>
      </c>
      <c r="S344" s="2" t="s">
        <v>41</v>
      </c>
      <c r="T344" s="2"/>
      <c r="U344" s="3">
        <v>45714</v>
      </c>
      <c r="V344" s="2"/>
      <c r="W344" s="2" t="s">
        <v>101</v>
      </c>
      <c r="X344" s="2" t="s">
        <v>369</v>
      </c>
      <c r="Y344" s="2" t="s">
        <v>127</v>
      </c>
      <c r="Z344" s="2"/>
      <c r="AA344" s="2" t="s">
        <v>1562</v>
      </c>
      <c r="AB344" s="2" t="s">
        <v>129</v>
      </c>
      <c r="AC344" s="2" t="s">
        <v>1563</v>
      </c>
    </row>
    <row r="345" spans="1:29" ht="20.100000000000001" customHeight="1">
      <c r="A345" s="2" t="s">
        <v>1564</v>
      </c>
      <c r="B345" s="2" t="s">
        <v>1565</v>
      </c>
      <c r="C345" s="2" t="str">
        <f>sheet1[[#This Row],[Nombre]]&amp;sheet1[[#This Row],[Bp Id]]</f>
        <v>Nexo-Pin TarjetaPAY0012</v>
      </c>
      <c r="D345" s="2" t="str">
        <f>VLOOKUP(sheet1[[#This Row],[Columna1]],sheet13[[Columna1]:[Estado]],4,FALSE)</f>
        <v>Operativo</v>
      </c>
      <c r="E345" s="2" t="s">
        <v>139</v>
      </c>
      <c r="F345" s="2" t="s">
        <v>32</v>
      </c>
      <c r="G345" s="2" t="s">
        <v>58</v>
      </c>
      <c r="H345" s="2" t="s">
        <v>34</v>
      </c>
      <c r="I345" s="2" t="s">
        <v>141</v>
      </c>
      <c r="J345" s="2" t="s">
        <v>151</v>
      </c>
      <c r="K345" s="2" t="s">
        <v>564</v>
      </c>
      <c r="L345" s="2" t="s">
        <v>565</v>
      </c>
      <c r="M345" s="2" t="s">
        <v>296</v>
      </c>
      <c r="N345" s="2" t="s">
        <v>40</v>
      </c>
      <c r="O345" s="2" t="s">
        <v>41</v>
      </c>
      <c r="P345" s="2" t="s">
        <v>53</v>
      </c>
      <c r="Q345" s="2" t="s">
        <v>53</v>
      </c>
      <c r="R345" s="2" t="s">
        <v>43</v>
      </c>
      <c r="S345" s="2" t="s">
        <v>43</v>
      </c>
      <c r="T345" s="2"/>
      <c r="U345" s="3"/>
      <c r="V345" s="2"/>
      <c r="W345" s="2"/>
      <c r="X345" s="2"/>
      <c r="Y345" s="2"/>
      <c r="Z345" s="2"/>
      <c r="AA345" s="2"/>
      <c r="AB345" s="2"/>
      <c r="AC345" s="2"/>
    </row>
    <row r="346" spans="1:29" ht="29.1" customHeight="1">
      <c r="A346" s="2" t="s">
        <v>1566</v>
      </c>
      <c r="B346" s="2" t="s">
        <v>1567</v>
      </c>
      <c r="C346" s="2" t="str">
        <f>sheet1[[#This Row],[Nombre]]&amp;sheet1[[#This Row],[Bp Id]]</f>
        <v>Normalización de carteraPRD0048</v>
      </c>
      <c r="D346" s="2" t="str">
        <f>VLOOKUP(sheet1[[#This Row],[Columna1]],sheet13[[Columna1]:[Estado]],4,FALSE)</f>
        <v>Retirado</v>
      </c>
      <c r="E346" s="2" t="s">
        <v>1568</v>
      </c>
      <c r="F346" s="2" t="s">
        <v>47</v>
      </c>
      <c r="G346" s="2" t="s">
        <v>48</v>
      </c>
      <c r="H346" s="2" t="s">
        <v>59</v>
      </c>
      <c r="I346" s="2" t="s">
        <v>1086</v>
      </c>
      <c r="J346" s="2" t="s">
        <v>96</v>
      </c>
      <c r="K346" s="2" t="s">
        <v>96</v>
      </c>
      <c r="L346" s="2" t="s">
        <v>98</v>
      </c>
      <c r="M346" s="2" t="s">
        <v>39</v>
      </c>
      <c r="N346" s="2" t="s">
        <v>91</v>
      </c>
      <c r="O346" s="2" t="s">
        <v>43</v>
      </c>
      <c r="P346" s="2" t="s">
        <v>311</v>
      </c>
      <c r="Q346" s="2" t="s">
        <v>311</v>
      </c>
      <c r="R346" s="2" t="s">
        <v>43</v>
      </c>
      <c r="S346" s="2" t="s">
        <v>43</v>
      </c>
      <c r="T346" s="2"/>
      <c r="U346" s="3"/>
      <c r="V346" s="2"/>
      <c r="W346" s="2"/>
      <c r="X346" s="2"/>
      <c r="Y346" s="2"/>
      <c r="Z346" s="2"/>
      <c r="AA346" s="2"/>
      <c r="AB346" s="2"/>
      <c r="AC346" s="2"/>
    </row>
    <row r="347" spans="1:29" ht="20.100000000000001" customHeight="1">
      <c r="A347" s="2" t="s">
        <v>1569</v>
      </c>
      <c r="B347" s="2" t="s">
        <v>1570</v>
      </c>
      <c r="C347" s="2" t="str">
        <f>sheet1[[#This Row],[Nombre]]&amp;sheet1[[#This Row],[Bp Id]]</f>
        <v>Notificaciones SMS AnywayOMN0005</v>
      </c>
      <c r="D347" s="2" t="str">
        <f>VLOOKUP(sheet1[[#This Row],[Columna1]],sheet13[[Columna1]:[Estado]],4,FALSE)</f>
        <v>Operativo</v>
      </c>
      <c r="E347" s="2" t="s">
        <v>139</v>
      </c>
      <c r="F347" s="2" t="s">
        <v>32</v>
      </c>
      <c r="G347" s="2" t="s">
        <v>76</v>
      </c>
      <c r="H347" s="2" t="s">
        <v>140</v>
      </c>
      <c r="I347" s="2" t="s">
        <v>49</v>
      </c>
      <c r="J347" s="2" t="s">
        <v>50</v>
      </c>
      <c r="K347" s="2" t="s">
        <v>51</v>
      </c>
      <c r="L347" s="2" t="s">
        <v>51</v>
      </c>
      <c r="M347" s="2" t="s">
        <v>39</v>
      </c>
      <c r="N347" s="2" t="s">
        <v>40</v>
      </c>
      <c r="O347" s="2" t="s">
        <v>41</v>
      </c>
      <c r="P347" s="2" t="s">
        <v>53</v>
      </c>
      <c r="Q347" s="2" t="s">
        <v>53</v>
      </c>
      <c r="R347" s="2" t="s">
        <v>41</v>
      </c>
      <c r="S347" s="2" t="s">
        <v>41</v>
      </c>
      <c r="T347" s="2" t="s">
        <v>1571</v>
      </c>
      <c r="U347" s="3">
        <v>45200</v>
      </c>
      <c r="V347" s="2"/>
      <c r="W347" s="2" t="s">
        <v>179</v>
      </c>
      <c r="X347" s="2" t="s">
        <v>146</v>
      </c>
      <c r="Y347" s="2" t="s">
        <v>363</v>
      </c>
      <c r="Z347" s="2" t="s">
        <v>363</v>
      </c>
      <c r="AA347" s="2" t="s">
        <v>1572</v>
      </c>
      <c r="AB347" s="2" t="s">
        <v>129</v>
      </c>
      <c r="AC347" s="2" t="s">
        <v>1573</v>
      </c>
    </row>
    <row r="348" spans="1:29" ht="57.95" customHeight="1">
      <c r="A348" s="2" t="s">
        <v>1574</v>
      </c>
      <c r="B348" s="2" t="s">
        <v>1575</v>
      </c>
      <c r="C348" s="2" t="str">
        <f>sheet1[[#This Row],[Nombre]]&amp;sheet1[[#This Row],[Bp Id]]</f>
        <v>Switch TOTEMCHL0029</v>
      </c>
      <c r="D348" s="2" t="str">
        <f>VLOOKUP(sheet1[[#This Row],[Columna1]],sheet13[[Columna1]:[Estado]],4,FALSE)</f>
        <v>Retirado</v>
      </c>
      <c r="E348" s="2" t="s">
        <v>1576</v>
      </c>
      <c r="F348" s="2" t="s">
        <v>47</v>
      </c>
      <c r="G348" s="2" t="s">
        <v>33</v>
      </c>
      <c r="H348" s="2" t="s">
        <v>34</v>
      </c>
      <c r="I348" s="2" t="s">
        <v>35</v>
      </c>
      <c r="J348" s="2" t="s">
        <v>349</v>
      </c>
      <c r="K348" s="2" t="s">
        <v>381</v>
      </c>
      <c r="L348" s="2" t="s">
        <v>350</v>
      </c>
      <c r="M348" s="2" t="s">
        <v>621</v>
      </c>
      <c r="N348" s="2" t="s">
        <v>40</v>
      </c>
      <c r="O348" s="2" t="s">
        <v>43</v>
      </c>
      <c r="P348" s="2" t="s">
        <v>53</v>
      </c>
      <c r="Q348" s="2" t="s">
        <v>53</v>
      </c>
      <c r="R348" s="2" t="s">
        <v>43</v>
      </c>
      <c r="S348" s="2" t="s">
        <v>43</v>
      </c>
      <c r="T348" s="2"/>
      <c r="U348" s="3"/>
      <c r="V348" s="2"/>
      <c r="W348" s="2"/>
      <c r="X348" s="2"/>
      <c r="Y348" s="2"/>
      <c r="Z348" s="2"/>
      <c r="AA348" s="2"/>
      <c r="AB348" s="2"/>
      <c r="AC348" s="2"/>
    </row>
    <row r="349" spans="1:29" ht="29.1" customHeight="1">
      <c r="A349" s="2" t="s">
        <v>1577</v>
      </c>
      <c r="B349" s="2" t="s">
        <v>1578</v>
      </c>
      <c r="C349" s="2" t="str">
        <f>sheet1[[#This Row],[Nombre]]&amp;sheet1[[#This Row],[Bp Id]]</f>
        <v>Switch-SwitchVPRD0032</v>
      </c>
      <c r="D349" s="2" t="str">
        <f>VLOOKUP(sheet1[[#This Row],[Columna1]],sheet13[[Columna1]:[Estado]],4,FALSE)</f>
        <v>Operativo</v>
      </c>
      <c r="E349" s="2" t="s">
        <v>1579</v>
      </c>
      <c r="F349" s="2" t="s">
        <v>32</v>
      </c>
      <c r="G349" s="2" t="s">
        <v>48</v>
      </c>
      <c r="H349" s="2" t="s">
        <v>34</v>
      </c>
      <c r="I349" s="2" t="s">
        <v>116</v>
      </c>
      <c r="J349" s="2" t="s">
        <v>62</v>
      </c>
      <c r="K349" s="2" t="s">
        <v>555</v>
      </c>
      <c r="L349" s="2" t="s">
        <v>1174</v>
      </c>
      <c r="M349" s="2" t="s">
        <v>621</v>
      </c>
      <c r="N349" s="2" t="s">
        <v>40</v>
      </c>
      <c r="O349" s="2" t="s">
        <v>43</v>
      </c>
      <c r="P349" s="2" t="s">
        <v>53</v>
      </c>
      <c r="Q349" s="2" t="s">
        <v>53</v>
      </c>
      <c r="R349" s="2" t="s">
        <v>43</v>
      </c>
      <c r="S349" s="2" t="s">
        <v>43</v>
      </c>
      <c r="T349" s="2"/>
      <c r="U349" s="3"/>
      <c r="V349" s="2"/>
      <c r="W349" s="2"/>
      <c r="X349" s="2"/>
      <c r="Y349" s="2"/>
      <c r="Z349" s="2"/>
      <c r="AA349" s="2"/>
      <c r="AB349" s="2"/>
      <c r="AC349" s="2"/>
    </row>
    <row r="350" spans="1:29" ht="20.100000000000001" customHeight="1">
      <c r="A350" s="2" t="s">
        <v>1580</v>
      </c>
      <c r="B350" s="2" t="s">
        <v>1581</v>
      </c>
      <c r="C350" s="2" t="str">
        <f>sheet1[[#This Row],[Nombre]]&amp;sheet1[[#This Row],[Bp Id]]</f>
        <v>Symantec Endpoint Protection ManagerSEC0039</v>
      </c>
      <c r="D350" s="2" t="str">
        <f>VLOOKUP(sheet1[[#This Row],[Columna1]],sheet13[[Columna1]:[Estado]],4,FALSE)</f>
        <v>Retirado</v>
      </c>
      <c r="E350" s="2" t="s">
        <v>1582</v>
      </c>
      <c r="F350" s="2" t="s">
        <v>47</v>
      </c>
      <c r="G350" s="2" t="s">
        <v>48</v>
      </c>
      <c r="H350" s="2" t="s">
        <v>34</v>
      </c>
      <c r="I350" s="2" t="s">
        <v>107</v>
      </c>
      <c r="J350" s="2" t="s">
        <v>272</v>
      </c>
      <c r="K350" s="2" t="s">
        <v>176</v>
      </c>
      <c r="L350" s="2" t="s">
        <v>185</v>
      </c>
      <c r="M350" s="2" t="s">
        <v>111</v>
      </c>
      <c r="N350" s="2" t="s">
        <v>40</v>
      </c>
      <c r="O350" s="2" t="s">
        <v>41</v>
      </c>
      <c r="P350" s="2" t="s">
        <v>53</v>
      </c>
      <c r="Q350" s="2" t="s">
        <v>53</v>
      </c>
      <c r="R350" s="2" t="s">
        <v>41</v>
      </c>
      <c r="S350" s="2" t="s">
        <v>43</v>
      </c>
      <c r="T350" s="2"/>
      <c r="U350" s="3"/>
      <c r="V350" s="2"/>
      <c r="W350" s="2"/>
      <c r="X350" s="2"/>
      <c r="Y350" s="2"/>
      <c r="Z350" s="2"/>
      <c r="AA350" s="2"/>
      <c r="AB350" s="2"/>
      <c r="AC350" s="2"/>
    </row>
    <row r="351" spans="1:29" ht="20.100000000000001" customHeight="1">
      <c r="A351" s="2" t="s">
        <v>1583</v>
      </c>
      <c r="B351" s="2" t="s">
        <v>1584</v>
      </c>
      <c r="C351" s="2" t="str">
        <f>sheet1[[#This Row],[Nombre]]&amp;sheet1[[#This Row],[Bp Id]]</f>
        <v>Symantec Messaging GatewayITM0054</v>
      </c>
      <c r="D351" s="2" t="str">
        <f>VLOOKUP(sheet1[[#This Row],[Columna1]],sheet13[[Columna1]:[Estado]],4,FALSE)</f>
        <v>Operativo</v>
      </c>
      <c r="E351" s="2" t="s">
        <v>1585</v>
      </c>
      <c r="F351" s="2" t="s">
        <v>32</v>
      </c>
      <c r="G351" s="2" t="s">
        <v>48</v>
      </c>
      <c r="H351" s="2" t="s">
        <v>34</v>
      </c>
      <c r="I351" s="2" t="s">
        <v>68</v>
      </c>
      <c r="J351" s="2" t="s">
        <v>69</v>
      </c>
      <c r="K351" s="2" t="s">
        <v>82</v>
      </c>
      <c r="L351" s="2" t="s">
        <v>335</v>
      </c>
      <c r="M351" s="2" t="s">
        <v>52</v>
      </c>
      <c r="N351" s="2" t="s">
        <v>40</v>
      </c>
      <c r="O351" s="2" t="s">
        <v>41</v>
      </c>
      <c r="P351" s="2" t="s">
        <v>53</v>
      </c>
      <c r="Q351" s="2" t="s">
        <v>53</v>
      </c>
      <c r="R351" s="2" t="s">
        <v>43</v>
      </c>
      <c r="S351" s="2" t="s">
        <v>43</v>
      </c>
      <c r="T351" s="2"/>
      <c r="U351" s="3"/>
      <c r="V351" s="2"/>
      <c r="W351" s="2"/>
      <c r="X351" s="2"/>
      <c r="Y351" s="2"/>
      <c r="Z351" s="2"/>
      <c r="AA351" s="2"/>
      <c r="AB351" s="2"/>
      <c r="AC351" s="2"/>
    </row>
    <row r="352" spans="1:29" ht="20.100000000000001" customHeight="1">
      <c r="A352" s="2" t="s">
        <v>1586</v>
      </c>
      <c r="B352" s="2" t="s">
        <v>1587</v>
      </c>
      <c r="C352" s="2" t="str">
        <f>sheet1[[#This Row],[Nombre]]&amp;sheet1[[#This Row],[Bp Id]]</f>
        <v>System CenterITM0055</v>
      </c>
      <c r="D352" s="2" t="str">
        <f>VLOOKUP(sheet1[[#This Row],[Columna1]],sheet13[[Columna1]:[Estado]],4,FALSE)</f>
        <v>Operativo</v>
      </c>
      <c r="E352" s="2" t="s">
        <v>1588</v>
      </c>
      <c r="F352" s="2" t="s">
        <v>32</v>
      </c>
      <c r="G352" s="2" t="s">
        <v>48</v>
      </c>
      <c r="H352" s="2" t="s">
        <v>34</v>
      </c>
      <c r="I352" s="2" t="s">
        <v>232</v>
      </c>
      <c r="J352" s="2" t="s">
        <v>234</v>
      </c>
      <c r="K352" s="2" t="s">
        <v>1163</v>
      </c>
      <c r="L352" s="2" t="s">
        <v>1163</v>
      </c>
      <c r="M352" s="2" t="s">
        <v>52</v>
      </c>
      <c r="N352" s="2" t="s">
        <v>40</v>
      </c>
      <c r="O352" s="2" t="s">
        <v>41</v>
      </c>
      <c r="P352" s="2" t="s">
        <v>53</v>
      </c>
      <c r="Q352" s="2" t="s">
        <v>53</v>
      </c>
      <c r="R352" s="2" t="s">
        <v>43</v>
      </c>
      <c r="S352" s="2" t="s">
        <v>43</v>
      </c>
      <c r="T352" s="2"/>
      <c r="U352" s="3"/>
      <c r="V352" s="2"/>
      <c r="W352" s="2"/>
      <c r="X352" s="2"/>
      <c r="Y352" s="2"/>
      <c r="Z352" s="2"/>
      <c r="AA352" s="2"/>
      <c r="AB352" s="2"/>
      <c r="AC352" s="2"/>
    </row>
    <row r="353" spans="1:29" ht="20.100000000000001" customHeight="1">
      <c r="A353" s="2" t="s">
        <v>1589</v>
      </c>
      <c r="B353" s="2" t="s">
        <v>1590</v>
      </c>
      <c r="C353" s="2" t="str">
        <f>sheet1[[#This Row],[Nombre]]&amp;sheet1[[#This Row],[Bp Id]]</f>
        <v>System Network ArquitectureITM0056</v>
      </c>
      <c r="D353" s="2" t="str">
        <f>VLOOKUP(sheet1[[#This Row],[Columna1]],sheet13[[Columna1]:[Estado]],4,FALSE)</f>
        <v>Retirado</v>
      </c>
      <c r="E353" s="2" t="s">
        <v>908</v>
      </c>
      <c r="F353" s="2" t="s">
        <v>47</v>
      </c>
      <c r="G353" s="2" t="s">
        <v>76</v>
      </c>
      <c r="H353" s="2" t="s">
        <v>34</v>
      </c>
      <c r="I353" s="2" t="s">
        <v>68</v>
      </c>
      <c r="J353" s="2" t="s">
        <v>236</v>
      </c>
      <c r="K353" s="2"/>
      <c r="L353" s="2" t="s">
        <v>82</v>
      </c>
      <c r="M353" s="2" t="s">
        <v>52</v>
      </c>
      <c r="N353" s="2" t="s">
        <v>40</v>
      </c>
      <c r="O353" s="2" t="s">
        <v>43</v>
      </c>
      <c r="P353" s="2" t="s">
        <v>53</v>
      </c>
      <c r="Q353" s="2" t="s">
        <v>53</v>
      </c>
      <c r="R353" s="2" t="s">
        <v>43</v>
      </c>
      <c r="S353" s="2" t="s">
        <v>43</v>
      </c>
      <c r="T353" s="2"/>
      <c r="U353" s="3"/>
      <c r="V353" s="2"/>
      <c r="W353" s="2"/>
      <c r="X353" s="2"/>
      <c r="Y353" s="2"/>
      <c r="Z353" s="2"/>
      <c r="AA353" s="2"/>
      <c r="AB353" s="2"/>
      <c r="AC353" s="2"/>
    </row>
    <row r="354" spans="1:29" ht="29.1" customHeight="1">
      <c r="A354" s="2" t="s">
        <v>1591</v>
      </c>
      <c r="B354" s="2" t="s">
        <v>1592</v>
      </c>
      <c r="C354" s="2" t="str">
        <f>sheet1[[#This Row],[Nombre]]&amp;sheet1[[#This Row],[Bp Id]]</f>
        <v>Tablero Comex (TABLERO COMEX 2.0)PRD0033</v>
      </c>
      <c r="D354" s="2" t="str">
        <f>VLOOKUP(sheet1[[#This Row],[Columna1]],sheet13[[Columna1]:[Estado]],4,FALSE)</f>
        <v>Retirado</v>
      </c>
      <c r="E354" s="2" t="s">
        <v>1593</v>
      </c>
      <c r="F354" s="2" t="s">
        <v>47</v>
      </c>
      <c r="G354" s="2" t="s">
        <v>76</v>
      </c>
      <c r="H354" s="2" t="s">
        <v>34</v>
      </c>
      <c r="I354" s="2" t="s">
        <v>553</v>
      </c>
      <c r="J354" s="2" t="s">
        <v>62</v>
      </c>
      <c r="K354" s="2" t="s">
        <v>1054</v>
      </c>
      <c r="L354" s="2" t="s">
        <v>118</v>
      </c>
      <c r="M354" s="2" t="s">
        <v>39</v>
      </c>
      <c r="N354" s="2" t="s">
        <v>40</v>
      </c>
      <c r="O354" s="2" t="s">
        <v>41</v>
      </c>
      <c r="P354" s="2" t="s">
        <v>53</v>
      </c>
      <c r="Q354" s="2" t="s">
        <v>53</v>
      </c>
      <c r="R354" s="2" t="s">
        <v>41</v>
      </c>
      <c r="S354" s="2" t="s">
        <v>43</v>
      </c>
      <c r="T354" s="2" t="s">
        <v>193</v>
      </c>
      <c r="U354" s="3"/>
      <c r="V354" s="2"/>
      <c r="W354" s="2"/>
      <c r="X354" s="2"/>
      <c r="Y354" s="2"/>
      <c r="Z354" s="2"/>
      <c r="AA354" s="2"/>
      <c r="AB354" s="2"/>
      <c r="AC354" s="2"/>
    </row>
    <row r="355" spans="1:29" ht="20.100000000000001" customHeight="1">
      <c r="A355" s="2" t="s">
        <v>1594</v>
      </c>
      <c r="B355" s="2" t="s">
        <v>1595</v>
      </c>
      <c r="C355" s="2" t="str">
        <f>sheet1[[#This Row],[Nombre]]&amp;sheet1[[#This Row],[Bp Id]]</f>
        <v>TangoCHL0043</v>
      </c>
      <c r="D355" s="2" t="str">
        <f>VLOOKUP(sheet1[[#This Row],[Columna1]],sheet13[[Columna1]:[Estado]],4,FALSE)</f>
        <v>Operativo</v>
      </c>
      <c r="E355" s="2" t="s">
        <v>432</v>
      </c>
      <c r="F355" s="2" t="s">
        <v>32</v>
      </c>
      <c r="G355" s="2" t="s">
        <v>123</v>
      </c>
      <c r="H355" s="2" t="s">
        <v>140</v>
      </c>
      <c r="I355" s="2" t="s">
        <v>35</v>
      </c>
      <c r="J355" s="2" t="s">
        <v>349</v>
      </c>
      <c r="K355" s="2" t="s">
        <v>381</v>
      </c>
      <c r="L355" s="2" t="s">
        <v>1596</v>
      </c>
      <c r="M355" s="2" t="s">
        <v>621</v>
      </c>
      <c r="N355" s="2" t="s">
        <v>40</v>
      </c>
      <c r="O355" s="2" t="s">
        <v>43</v>
      </c>
      <c r="P355" s="2" t="s">
        <v>53</v>
      </c>
      <c r="Q355" s="2" t="s">
        <v>53</v>
      </c>
      <c r="R355" s="2" t="s">
        <v>43</v>
      </c>
      <c r="S355" s="2" t="s">
        <v>43</v>
      </c>
      <c r="T355" s="2"/>
      <c r="U355" s="3"/>
      <c r="V355" s="2"/>
      <c r="W355" s="2"/>
      <c r="X355" s="2"/>
      <c r="Y355" s="2"/>
      <c r="Z355" s="2"/>
      <c r="AA355" s="2"/>
      <c r="AB355" s="2"/>
      <c r="AC355" s="2"/>
    </row>
    <row r="356" spans="1:29" ht="20.100000000000001" customHeight="1">
      <c r="A356" s="2" t="s">
        <v>1597</v>
      </c>
      <c r="B356" s="2" t="s">
        <v>1598</v>
      </c>
      <c r="C356" s="2" t="str">
        <f>sheet1[[#This Row],[Nombre]]&amp;sheet1[[#This Row],[Bp Id]]</f>
        <v>Tarjeta de crédito adicionalPAY0019</v>
      </c>
      <c r="D356" s="2" t="str">
        <f>VLOOKUP(sheet1[[#This Row],[Columna1]],sheet13[[Columna1]:[Estado]],4,FALSE)</f>
        <v>Retirado</v>
      </c>
      <c r="E356" s="2" t="s">
        <v>139</v>
      </c>
      <c r="F356" s="2" t="s">
        <v>47</v>
      </c>
      <c r="G356" s="2" t="s">
        <v>48</v>
      </c>
      <c r="H356" s="2" t="s">
        <v>59</v>
      </c>
      <c r="I356" s="2" t="s">
        <v>141</v>
      </c>
      <c r="J356" s="2" t="s">
        <v>142</v>
      </c>
      <c r="K356" s="2" t="s">
        <v>151</v>
      </c>
      <c r="L356" s="2" t="s">
        <v>151</v>
      </c>
      <c r="M356" s="2" t="s">
        <v>39</v>
      </c>
      <c r="N356" s="2" t="s">
        <v>40</v>
      </c>
      <c r="O356" s="2" t="s">
        <v>41</v>
      </c>
      <c r="P356" s="2" t="s">
        <v>53</v>
      </c>
      <c r="Q356" s="2" t="s">
        <v>53</v>
      </c>
      <c r="R356" s="2" t="s">
        <v>41</v>
      </c>
      <c r="S356" s="2" t="s">
        <v>43</v>
      </c>
      <c r="T356" s="2"/>
      <c r="U356" s="3"/>
      <c r="V356" s="2"/>
      <c r="W356" s="2"/>
      <c r="X356" s="2"/>
      <c r="Y356" s="2"/>
      <c r="Z356" s="2"/>
      <c r="AA356" s="2"/>
      <c r="AB356" s="2"/>
      <c r="AC356" s="2"/>
    </row>
    <row r="357" spans="1:29" ht="29.1" customHeight="1">
      <c r="A357" s="2" t="s">
        <v>1599</v>
      </c>
      <c r="B357" s="2" t="s">
        <v>1600</v>
      </c>
      <c r="C357" s="2" t="str">
        <f>sheet1[[#This Row],[Nombre]]&amp;sheet1[[#This Row],[Bp Id]]</f>
        <v>TarjetasPichinchaBoxCUS0014</v>
      </c>
      <c r="D357" s="2" t="str">
        <f>VLOOKUP(sheet1[[#This Row],[Columna1]],sheet13[[Columna1]:[Estado]],4,FALSE)</f>
        <v>Retirado</v>
      </c>
      <c r="E357" s="2" t="s">
        <v>1601</v>
      </c>
      <c r="F357" s="2" t="s">
        <v>47</v>
      </c>
      <c r="G357" s="2" t="s">
        <v>48</v>
      </c>
      <c r="H357" s="2" t="s">
        <v>59</v>
      </c>
      <c r="I357" s="2" t="s">
        <v>141</v>
      </c>
      <c r="J357" s="2" t="s">
        <v>142</v>
      </c>
      <c r="K357" s="2" t="s">
        <v>151</v>
      </c>
      <c r="L357" s="2" t="s">
        <v>142</v>
      </c>
      <c r="M357" s="2" t="s">
        <v>39</v>
      </c>
      <c r="N357" s="2" t="s">
        <v>91</v>
      </c>
      <c r="O357" s="2" t="s">
        <v>43</v>
      </c>
      <c r="P357" s="2" t="s">
        <v>311</v>
      </c>
      <c r="Q357" s="2" t="s">
        <v>311</v>
      </c>
      <c r="R357" s="2" t="s">
        <v>43</v>
      </c>
      <c r="S357" s="2" t="s">
        <v>43</v>
      </c>
      <c r="T357" s="2"/>
      <c r="U357" s="3"/>
      <c r="V357" s="2"/>
      <c r="W357" s="2"/>
      <c r="X357" s="2"/>
      <c r="Y357" s="2"/>
      <c r="Z357" s="2"/>
      <c r="AA357" s="2"/>
      <c r="AB357" s="2"/>
      <c r="AC357" s="2"/>
    </row>
    <row r="358" spans="1:29" ht="29.1" customHeight="1">
      <c r="A358" s="2" t="s">
        <v>1602</v>
      </c>
      <c r="B358" s="2" t="s">
        <v>1603</v>
      </c>
      <c r="C358" s="2" t="str">
        <f>sheet1[[#This Row],[Nombre]]&amp;sheet1[[#This Row],[Bp Id]]</f>
        <v>Tcs.Checklist (Digital Check)TIE0014</v>
      </c>
      <c r="D358" s="2" t="str">
        <f>VLOOKUP(sheet1[[#This Row],[Columna1]],sheet13[[Columna1]:[Estado]],4,FALSE)</f>
        <v>Operativo</v>
      </c>
      <c r="E358" s="2" t="s">
        <v>1604</v>
      </c>
      <c r="F358" s="2" t="s">
        <v>32</v>
      </c>
      <c r="G358" s="2" t="s">
        <v>48</v>
      </c>
      <c r="H358" s="2" t="s">
        <v>59</v>
      </c>
      <c r="I358" s="2" t="s">
        <v>487</v>
      </c>
      <c r="J358" s="2" t="s">
        <v>488</v>
      </c>
      <c r="K358" s="2" t="s">
        <v>489</v>
      </c>
      <c r="L358" s="2" t="s">
        <v>490</v>
      </c>
      <c r="M358" s="2" t="s">
        <v>39</v>
      </c>
      <c r="N358" s="2" t="s">
        <v>40</v>
      </c>
      <c r="O358" s="2" t="s">
        <v>43</v>
      </c>
      <c r="P358" s="2" t="s">
        <v>53</v>
      </c>
      <c r="Q358" s="2" t="s">
        <v>53</v>
      </c>
      <c r="R358" s="2" t="s">
        <v>41</v>
      </c>
      <c r="S358" s="2" t="s">
        <v>41</v>
      </c>
      <c r="T358" s="2" t="s">
        <v>119</v>
      </c>
      <c r="U358" s="3">
        <v>45199</v>
      </c>
      <c r="V358" s="2"/>
      <c r="W358" s="2" t="s">
        <v>100</v>
      </c>
      <c r="X358" s="2" t="s">
        <v>101</v>
      </c>
      <c r="Y358" s="2"/>
      <c r="Z358" s="2"/>
      <c r="AA358" s="2"/>
      <c r="AB358" s="2"/>
      <c r="AC358" s="2"/>
    </row>
    <row r="359" spans="1:29" ht="29.1" customHeight="1">
      <c r="A359" s="2" t="s">
        <v>1605</v>
      </c>
      <c r="B359" s="2" t="s">
        <v>1606</v>
      </c>
      <c r="C359" s="2" t="str">
        <f>sheet1[[#This Row],[Nombre]]&amp;sheet1[[#This Row],[Bp Id]]</f>
        <v>TenableSEC0069</v>
      </c>
      <c r="D359" s="2" t="str">
        <f>VLOOKUP(sheet1[[#This Row],[Columna1]],sheet13[[Columna1]:[Estado]],4,FALSE)</f>
        <v>Operativo</v>
      </c>
      <c r="E359" s="2" t="s">
        <v>1607</v>
      </c>
      <c r="F359" s="2" t="s">
        <v>32</v>
      </c>
      <c r="G359" s="2" t="s">
        <v>48</v>
      </c>
      <c r="H359" s="2" t="s">
        <v>345</v>
      </c>
      <c r="I359" s="2" t="s">
        <v>107</v>
      </c>
      <c r="J359" s="2" t="s">
        <v>1330</v>
      </c>
      <c r="K359" s="2" t="s">
        <v>176</v>
      </c>
      <c r="L359" s="2" t="s">
        <v>214</v>
      </c>
      <c r="M359" s="2" t="s">
        <v>111</v>
      </c>
      <c r="N359" s="2" t="s">
        <v>40</v>
      </c>
      <c r="O359" s="2" t="s">
        <v>41</v>
      </c>
      <c r="P359" s="2" t="s">
        <v>64</v>
      </c>
      <c r="Q359" s="2" t="s">
        <v>53</v>
      </c>
      <c r="R359" s="2" t="s">
        <v>41</v>
      </c>
      <c r="S359" s="2" t="s">
        <v>41</v>
      </c>
      <c r="T359" s="2"/>
      <c r="U359" s="3">
        <v>46045</v>
      </c>
      <c r="V359" s="2" t="s">
        <v>660</v>
      </c>
      <c r="W359" s="2" t="s">
        <v>126</v>
      </c>
      <c r="X359" s="2" t="s">
        <v>375</v>
      </c>
      <c r="Y359" s="2" t="s">
        <v>127</v>
      </c>
      <c r="Z359" s="2" t="s">
        <v>127</v>
      </c>
      <c r="AA359" s="2" t="s">
        <v>180</v>
      </c>
      <c r="AB359" s="2" t="s">
        <v>129</v>
      </c>
      <c r="AC359" s="2" t="s">
        <v>1608</v>
      </c>
    </row>
    <row r="360" spans="1:29" ht="29.1" customHeight="1">
      <c r="A360" s="2" t="s">
        <v>1609</v>
      </c>
      <c r="B360" s="2" t="s">
        <v>1610</v>
      </c>
      <c r="C360" s="2" t="str">
        <f>sheet1[[#This Row],[Nombre]]&amp;sheet1[[#This Row],[Bp Id]]</f>
        <v>TotemCCEPAY0021</v>
      </c>
      <c r="D360" s="2" t="str">
        <f>VLOOKUP(sheet1[[#This Row],[Columna1]],sheet13[[Columna1]:[Estado]],4,FALSE)</f>
        <v>Operativo</v>
      </c>
      <c r="E360" s="2" t="s">
        <v>1611</v>
      </c>
      <c r="F360" s="2" t="s">
        <v>32</v>
      </c>
      <c r="G360" s="2" t="s">
        <v>48</v>
      </c>
      <c r="H360" s="2" t="s">
        <v>34</v>
      </c>
      <c r="I360" s="2" t="s">
        <v>141</v>
      </c>
      <c r="J360" s="2" t="s">
        <v>151</v>
      </c>
      <c r="K360" s="2" t="s">
        <v>564</v>
      </c>
      <c r="L360" s="2" t="s">
        <v>565</v>
      </c>
      <c r="M360" s="2" t="s">
        <v>39</v>
      </c>
      <c r="N360" s="2" t="s">
        <v>40</v>
      </c>
      <c r="O360" s="2" t="s">
        <v>41</v>
      </c>
      <c r="P360" s="2" t="s">
        <v>53</v>
      </c>
      <c r="Q360" s="2" t="s">
        <v>53</v>
      </c>
      <c r="R360" s="2" t="s">
        <v>41</v>
      </c>
      <c r="S360" s="2" t="s">
        <v>41</v>
      </c>
      <c r="T360" s="2"/>
      <c r="U360" s="3">
        <v>45200</v>
      </c>
      <c r="V360" s="2"/>
      <c r="W360" s="2" t="s">
        <v>375</v>
      </c>
      <c r="X360" s="2" t="s">
        <v>253</v>
      </c>
      <c r="Y360" s="2" t="s">
        <v>127</v>
      </c>
      <c r="Z360" s="2" t="s">
        <v>127</v>
      </c>
      <c r="AA360" s="2" t="s">
        <v>180</v>
      </c>
      <c r="AB360" s="2"/>
      <c r="AC360" s="2" t="s">
        <v>1612</v>
      </c>
    </row>
    <row r="361" spans="1:29" ht="20.100000000000001" customHeight="1">
      <c r="A361" s="2" t="s">
        <v>1613</v>
      </c>
      <c r="B361" s="2" t="s">
        <v>1614</v>
      </c>
      <c r="C361" s="2" t="str">
        <f>sheet1[[#This Row],[Nombre]]&amp;sheet1[[#This Row],[Bp Id]]</f>
        <v>Trend Micro Control ManagerSEC0040</v>
      </c>
      <c r="D361" s="2" t="str">
        <f>VLOOKUP(sheet1[[#This Row],[Columna1]],sheet13[[Columna1]:[Estado]],4,FALSE)</f>
        <v>Retirado</v>
      </c>
      <c r="E361" s="2" t="s">
        <v>1615</v>
      </c>
      <c r="F361" s="2" t="s">
        <v>47</v>
      </c>
      <c r="G361" s="2" t="s">
        <v>48</v>
      </c>
      <c r="H361" s="2" t="s">
        <v>34</v>
      </c>
      <c r="I361" s="2" t="s">
        <v>107</v>
      </c>
      <c r="J361" s="2" t="s">
        <v>272</v>
      </c>
      <c r="K361" s="2" t="s">
        <v>176</v>
      </c>
      <c r="L361" s="2" t="s">
        <v>175</v>
      </c>
      <c r="M361" s="2" t="s">
        <v>111</v>
      </c>
      <c r="N361" s="2" t="s">
        <v>40</v>
      </c>
      <c r="O361" s="2" t="s">
        <v>41</v>
      </c>
      <c r="P361" s="2" t="s">
        <v>53</v>
      </c>
      <c r="Q361" s="2" t="s">
        <v>53</v>
      </c>
      <c r="R361" s="2" t="s">
        <v>41</v>
      </c>
      <c r="S361" s="2" t="s">
        <v>43</v>
      </c>
      <c r="T361" s="2"/>
      <c r="U361" s="3"/>
      <c r="V361" s="2"/>
      <c r="W361" s="2"/>
      <c r="X361" s="2"/>
      <c r="Y361" s="2"/>
      <c r="Z361" s="2"/>
      <c r="AA361" s="2"/>
      <c r="AB361" s="2"/>
      <c r="AC361" s="2"/>
    </row>
    <row r="362" spans="1:29" ht="29.1" customHeight="1">
      <c r="A362" s="2" t="s">
        <v>1616</v>
      </c>
      <c r="B362" s="2" t="s">
        <v>1617</v>
      </c>
      <c r="C362" s="2" t="str">
        <f>sheet1[[#This Row],[Nombre]]&amp;sheet1[[#This Row],[Bp Id]]</f>
        <v>Turno DigitalCHL0042</v>
      </c>
      <c r="D362" s="2" t="str">
        <f>VLOOKUP(sheet1[[#This Row],[Columna1]],sheet13[[Columna1]:[Estado]],4,FALSE)</f>
        <v>Operativo</v>
      </c>
      <c r="E362" s="2" t="s">
        <v>1618</v>
      </c>
      <c r="F362" s="2" t="s">
        <v>32</v>
      </c>
      <c r="G362" s="2" t="s">
        <v>48</v>
      </c>
      <c r="H362" s="2" t="s">
        <v>59</v>
      </c>
      <c r="I362" s="2" t="s">
        <v>35</v>
      </c>
      <c r="J362" s="2" t="s">
        <v>36</v>
      </c>
      <c r="K362" s="2" t="s">
        <v>679</v>
      </c>
      <c r="L362" s="2" t="s">
        <v>36</v>
      </c>
      <c r="M362" s="2" t="s">
        <v>63</v>
      </c>
      <c r="N362" s="2" t="s">
        <v>40</v>
      </c>
      <c r="O362" s="2" t="s">
        <v>43</v>
      </c>
      <c r="P362" s="2" t="s">
        <v>64</v>
      </c>
      <c r="Q362" s="2" t="s">
        <v>42</v>
      </c>
      <c r="R362" s="2" t="s">
        <v>41</v>
      </c>
      <c r="S362" s="2" t="s">
        <v>41</v>
      </c>
      <c r="T362" s="2" t="s">
        <v>1619</v>
      </c>
      <c r="U362" s="3">
        <v>46066</v>
      </c>
      <c r="V362" s="2" t="s">
        <v>682</v>
      </c>
      <c r="W362" s="2" t="s">
        <v>101</v>
      </c>
      <c r="X362" s="2"/>
      <c r="Y362" s="2" t="s">
        <v>376</v>
      </c>
      <c r="Z362" s="2" t="s">
        <v>127</v>
      </c>
      <c r="AA362" s="2" t="s">
        <v>263</v>
      </c>
      <c r="AB362" s="2" t="s">
        <v>129</v>
      </c>
      <c r="AC362" s="2" t="s">
        <v>1620</v>
      </c>
    </row>
    <row r="363" spans="1:29" ht="20.100000000000001" customHeight="1">
      <c r="A363" s="2" t="s">
        <v>628</v>
      </c>
      <c r="B363" s="2" t="s">
        <v>629</v>
      </c>
      <c r="C363" s="2" t="str">
        <f>sheet1[[#This Row],[Nombre]]&amp;sheet1[[#This Row],[Bp Id]]</f>
        <v>Banner CampañasCUS0018</v>
      </c>
      <c r="D363" s="2" t="str">
        <f>VLOOKUP(sheet1[[#This Row],[Columna1]],sheet13[[Columna1]:[Estado]],4,FALSE)</f>
        <v>Operativo</v>
      </c>
      <c r="E363" s="2" t="s">
        <v>1621</v>
      </c>
      <c r="F363" s="2" t="s">
        <v>32</v>
      </c>
      <c r="G363" s="2" t="s">
        <v>48</v>
      </c>
      <c r="H363" s="2" t="s">
        <v>59</v>
      </c>
      <c r="I363" s="2" t="s">
        <v>87</v>
      </c>
      <c r="J363" s="2" t="s">
        <v>88</v>
      </c>
      <c r="K363" s="2" t="s">
        <v>479</v>
      </c>
      <c r="L363" s="2" t="s">
        <v>88</v>
      </c>
      <c r="M363" s="2" t="s">
        <v>63</v>
      </c>
      <c r="N363" s="2" t="s">
        <v>40</v>
      </c>
      <c r="O363" s="2" t="s">
        <v>43</v>
      </c>
      <c r="P363" s="2" t="s">
        <v>64</v>
      </c>
      <c r="Q363" s="2" t="s">
        <v>64</v>
      </c>
      <c r="R363" s="2" t="s">
        <v>43</v>
      </c>
      <c r="S363" s="2" t="s">
        <v>43</v>
      </c>
      <c r="T363" s="2"/>
      <c r="U363" s="3"/>
      <c r="V363" s="2"/>
      <c r="W363" s="2"/>
      <c r="X363" s="2"/>
      <c r="Y363" s="2"/>
      <c r="Z363" s="2"/>
      <c r="AA363" s="2"/>
      <c r="AB363" s="2"/>
      <c r="AC363" s="2"/>
    </row>
    <row r="364" spans="1:29" ht="20.100000000000001" customHeight="1">
      <c r="A364" s="2" t="s">
        <v>1622</v>
      </c>
      <c r="B364" s="2" t="s">
        <v>1623</v>
      </c>
      <c r="C364" s="2" t="str">
        <f>sheet1[[#This Row],[Nombre]]&amp;sheet1[[#This Row],[Bp Id]]</f>
        <v>UCMDBITM0058</v>
      </c>
      <c r="D364" s="2" t="str">
        <f>VLOOKUP(sheet1[[#This Row],[Columna1]],sheet13[[Columna1]:[Estado]],4,FALSE)</f>
        <v>Retirado</v>
      </c>
      <c r="E364" s="2" t="s">
        <v>1624</v>
      </c>
      <c r="F364" s="2" t="s">
        <v>47</v>
      </c>
      <c r="G364" s="2" t="s">
        <v>48</v>
      </c>
      <c r="H364" s="2" t="s">
        <v>34</v>
      </c>
      <c r="I364" s="2" t="s">
        <v>232</v>
      </c>
      <c r="J364" s="2" t="s">
        <v>69</v>
      </c>
      <c r="K364" s="2" t="s">
        <v>1260</v>
      </c>
      <c r="L364" s="2" t="s">
        <v>1260</v>
      </c>
      <c r="M364" s="2" t="s">
        <v>52</v>
      </c>
      <c r="N364" s="2" t="s">
        <v>40</v>
      </c>
      <c r="O364" s="2" t="s">
        <v>41</v>
      </c>
      <c r="P364" s="2" t="s">
        <v>42</v>
      </c>
      <c r="Q364" s="2" t="s">
        <v>42</v>
      </c>
      <c r="R364" s="2" t="s">
        <v>43</v>
      </c>
      <c r="S364" s="2" t="s">
        <v>43</v>
      </c>
      <c r="T364" s="2"/>
      <c r="U364" s="3"/>
      <c r="V364" s="2"/>
      <c r="W364" s="2"/>
      <c r="X364" s="2"/>
      <c r="Y364" s="2"/>
      <c r="Z364" s="2"/>
      <c r="AA364" s="2"/>
      <c r="AB364" s="2"/>
      <c r="AC364" s="2"/>
    </row>
    <row r="365" spans="1:29" ht="20.100000000000001" customHeight="1">
      <c r="A365" s="2" t="s">
        <v>1625</v>
      </c>
      <c r="B365" s="2" t="s">
        <v>1626</v>
      </c>
      <c r="C365" s="2" t="str">
        <f>sheet1[[#This Row],[Nombre]]&amp;sheet1[[#This Row],[Bp Id]]</f>
        <v>UxcamEDC0008</v>
      </c>
      <c r="D365" s="2" t="str">
        <f>VLOOKUP(sheet1[[#This Row],[Columna1]],sheet13[[Columna1]:[Estado]],4,FALSE)</f>
        <v>Retirado</v>
      </c>
      <c r="E365" s="2" t="s">
        <v>1627</v>
      </c>
      <c r="F365" s="2" t="s">
        <v>47</v>
      </c>
      <c r="G365" s="2" t="s">
        <v>48</v>
      </c>
      <c r="H365" s="2" t="s">
        <v>59</v>
      </c>
      <c r="I365" s="2" t="s">
        <v>294</v>
      </c>
      <c r="J365" s="2" t="s">
        <v>880</v>
      </c>
      <c r="K365" s="2" t="s">
        <v>880</v>
      </c>
      <c r="L365" s="2" t="s">
        <v>880</v>
      </c>
      <c r="M365" s="2" t="s">
        <v>296</v>
      </c>
      <c r="N365" s="2" t="s">
        <v>40</v>
      </c>
      <c r="O365" s="2" t="s">
        <v>41</v>
      </c>
      <c r="P365" s="2" t="s">
        <v>53</v>
      </c>
      <c r="Q365" s="2" t="s">
        <v>53</v>
      </c>
      <c r="R365" s="2" t="s">
        <v>43</v>
      </c>
      <c r="S365" s="2" t="s">
        <v>43</v>
      </c>
      <c r="T365" s="2"/>
      <c r="U365" s="3"/>
      <c r="V365" s="2"/>
      <c r="W365" s="2"/>
      <c r="X365" s="2"/>
      <c r="Y365" s="2"/>
      <c r="Z365" s="2"/>
      <c r="AA365" s="2"/>
      <c r="AB365" s="2"/>
      <c r="AC365" s="2"/>
    </row>
    <row r="366" spans="1:29" ht="20.100000000000001" customHeight="1">
      <c r="A366" s="2" t="s">
        <v>1628</v>
      </c>
      <c r="B366" s="2" t="s">
        <v>1629</v>
      </c>
      <c r="C366" s="2" t="str">
        <f>sheet1[[#This Row],[Nombre]]&amp;sheet1[[#This Row],[Bp Id]]</f>
        <v>Validación de identidades (Facephi)SEC0073</v>
      </c>
      <c r="D366" s="2" t="str">
        <f>VLOOKUP(sheet1[[#This Row],[Columna1]],sheet13[[Columna1]:[Estado]],4,FALSE)</f>
        <v>Operativo</v>
      </c>
      <c r="E366" s="2" t="s">
        <v>1630</v>
      </c>
      <c r="F366" s="2" t="s">
        <v>32</v>
      </c>
      <c r="G366" s="2" t="s">
        <v>58</v>
      </c>
      <c r="H366" s="2" t="s">
        <v>59</v>
      </c>
      <c r="I366" s="2" t="s">
        <v>208</v>
      </c>
      <c r="J366" s="2" t="s">
        <v>209</v>
      </c>
      <c r="K366" s="2" t="s">
        <v>445</v>
      </c>
      <c r="L366" s="2" t="s">
        <v>209</v>
      </c>
      <c r="M366" s="2" t="s">
        <v>52</v>
      </c>
      <c r="N366" s="2" t="s">
        <v>40</v>
      </c>
      <c r="O366" s="2" t="s">
        <v>43</v>
      </c>
      <c r="P366" s="2" t="s">
        <v>64</v>
      </c>
      <c r="Q366" s="2" t="s">
        <v>64</v>
      </c>
      <c r="R366" s="2" t="s">
        <v>43</v>
      </c>
      <c r="S366" s="2" t="s">
        <v>43</v>
      </c>
      <c r="T366" s="2"/>
      <c r="U366" s="3"/>
      <c r="V366" s="2"/>
      <c r="W366" s="2"/>
      <c r="X366" s="2"/>
      <c r="Y366" s="2"/>
      <c r="Z366" s="2"/>
      <c r="AA366" s="2"/>
      <c r="AB366" s="2"/>
      <c r="AC366" s="2"/>
    </row>
    <row r="367" spans="1:29" ht="20.100000000000001" customHeight="1">
      <c r="A367" s="2" t="s">
        <v>1631</v>
      </c>
      <c r="B367" s="2" t="s">
        <v>1632</v>
      </c>
      <c r="C367" s="2" t="str">
        <f>sheet1[[#This Row],[Nombre]]&amp;sheet1[[#This Row],[Bp Id]]</f>
        <v>BLSSITM0070</v>
      </c>
      <c r="D367" s="2" t="str">
        <f>VLOOKUP(sheet1[[#This Row],[Columna1]],sheet13[[Columna1]:[Estado]],4,FALSE)</f>
        <v>Operativo</v>
      </c>
      <c r="E367" s="2" t="s">
        <v>1633</v>
      </c>
      <c r="F367" s="2" t="s">
        <v>32</v>
      </c>
      <c r="G367" s="2" t="s">
        <v>58</v>
      </c>
      <c r="H367" s="2" t="s">
        <v>34</v>
      </c>
      <c r="I367" s="2" t="s">
        <v>68</v>
      </c>
      <c r="J367" s="2" t="s">
        <v>69</v>
      </c>
      <c r="K367" s="2" t="s">
        <v>77</v>
      </c>
      <c r="L367" s="2" t="s">
        <v>78</v>
      </c>
      <c r="M367" s="2" t="s">
        <v>52</v>
      </c>
      <c r="N367" s="2" t="s">
        <v>40</v>
      </c>
      <c r="O367" s="2" t="s">
        <v>41</v>
      </c>
      <c r="P367" s="2" t="s">
        <v>53</v>
      </c>
      <c r="Q367" s="2" t="s">
        <v>53</v>
      </c>
      <c r="R367" s="2" t="s">
        <v>41</v>
      </c>
      <c r="S367" s="2" t="s">
        <v>43</v>
      </c>
      <c r="T367" s="2"/>
      <c r="U367" s="3"/>
      <c r="V367" s="2"/>
      <c r="W367" s="2"/>
      <c r="X367" s="2"/>
      <c r="Y367" s="2"/>
      <c r="Z367" s="2"/>
      <c r="AA367" s="2"/>
      <c r="AB367" s="2"/>
      <c r="AC367" s="2"/>
    </row>
    <row r="368" spans="1:29" ht="29.1" customHeight="1">
      <c r="A368" s="2" t="s">
        <v>1634</v>
      </c>
      <c r="B368" s="2" t="s">
        <v>1635</v>
      </c>
      <c r="C368" s="2" t="str">
        <f>sheet1[[#This Row],[Nombre]]&amp;sheet1[[#This Row],[Bp Id]]</f>
        <v>Ventana MarcoITM0062</v>
      </c>
      <c r="D368" s="2" t="str">
        <f>VLOOKUP(sheet1[[#This Row],[Columna1]],sheet13[[Columna1]:[Estado]],4,FALSE)</f>
        <v>Retirado</v>
      </c>
      <c r="E368" s="2" t="s">
        <v>1636</v>
      </c>
      <c r="F368" s="2" t="s">
        <v>47</v>
      </c>
      <c r="G368" s="2" t="s">
        <v>48</v>
      </c>
      <c r="H368" s="2" t="s">
        <v>34</v>
      </c>
      <c r="I368" s="2" t="s">
        <v>339</v>
      </c>
      <c r="J368" s="2" t="s">
        <v>50</v>
      </c>
      <c r="K368" s="2" t="s">
        <v>50</v>
      </c>
      <c r="L368" s="2" t="s">
        <v>1637</v>
      </c>
      <c r="M368" s="2" t="s">
        <v>63</v>
      </c>
      <c r="N368" s="2" t="s">
        <v>40</v>
      </c>
      <c r="O368" s="2" t="s">
        <v>43</v>
      </c>
      <c r="P368" s="2" t="s">
        <v>53</v>
      </c>
      <c r="Q368" s="2" t="s">
        <v>53</v>
      </c>
      <c r="R368" s="2" t="s">
        <v>41</v>
      </c>
      <c r="S368" s="2" t="s">
        <v>41</v>
      </c>
      <c r="T368" s="2" t="s">
        <v>1638</v>
      </c>
      <c r="U368" s="3">
        <v>45199</v>
      </c>
      <c r="V368" s="2"/>
      <c r="W368" s="2" t="s">
        <v>100</v>
      </c>
      <c r="X368" s="2" t="s">
        <v>101</v>
      </c>
      <c r="Y368" s="2"/>
      <c r="Z368" s="2"/>
      <c r="AA368" s="2"/>
      <c r="AB368" s="2"/>
      <c r="AC368" s="2"/>
    </row>
    <row r="369" spans="1:29" ht="14.45" customHeight="1">
      <c r="A369" s="2" t="s">
        <v>1639</v>
      </c>
      <c r="B369" s="2" t="s">
        <v>1640</v>
      </c>
      <c r="C369" s="2" t="str">
        <f>sheet1[[#This Row],[Nombre]]&amp;sheet1[[#This Row],[Bp Id]]</f>
        <v>VinculacionIntegralCHL0030</v>
      </c>
      <c r="D369" s="2" t="str">
        <f>VLOOKUP(sheet1[[#This Row],[Columna1]],sheet13[[Columna1]:[Estado]],4,FALSE)</f>
        <v>Operativo</v>
      </c>
      <c r="E369" s="2" t="s">
        <v>1641</v>
      </c>
      <c r="F369" s="2" t="s">
        <v>32</v>
      </c>
      <c r="G369" s="2" t="s">
        <v>48</v>
      </c>
      <c r="H369" s="2" t="s">
        <v>34</v>
      </c>
      <c r="I369" s="2" t="s">
        <v>35</v>
      </c>
      <c r="J369" s="2" t="s">
        <v>36</v>
      </c>
      <c r="K369" s="2" t="s">
        <v>37</v>
      </c>
      <c r="L369" s="2" t="s">
        <v>38</v>
      </c>
      <c r="M369" s="2" t="s">
        <v>39</v>
      </c>
      <c r="N369" s="2" t="s">
        <v>40</v>
      </c>
      <c r="O369" s="2" t="s">
        <v>41</v>
      </c>
      <c r="P369" s="2" t="s">
        <v>53</v>
      </c>
      <c r="Q369" s="2" t="s">
        <v>53</v>
      </c>
      <c r="R369" s="2" t="s">
        <v>41</v>
      </c>
      <c r="S369" s="2" t="s">
        <v>41</v>
      </c>
      <c r="T369" s="2" t="s">
        <v>119</v>
      </c>
      <c r="U369" s="3">
        <v>45199</v>
      </c>
      <c r="V369" s="2"/>
      <c r="W369" s="2" t="s">
        <v>100</v>
      </c>
      <c r="X369" s="2" t="s">
        <v>101</v>
      </c>
      <c r="Y369" s="2"/>
      <c r="Z369" s="2"/>
      <c r="AA369" s="2"/>
      <c r="AB369" s="2"/>
      <c r="AC369" s="2"/>
    </row>
    <row r="370" spans="1:29" ht="20.100000000000001" customHeight="1">
      <c r="A370" s="2" t="s">
        <v>1642</v>
      </c>
      <c r="B370" s="2" t="s">
        <v>1643</v>
      </c>
      <c r="C370" s="2" t="str">
        <f>sheet1[[#This Row],[Nombre]]&amp;sheet1[[#This Row],[Bp Id]]</f>
        <v>Visa Risk ManagerGOB0008</v>
      </c>
      <c r="D370" s="2" t="str">
        <f>VLOOKUP(sheet1[[#This Row],[Columna1]],sheet13[[Columna1]:[Estado]],4,FALSE)</f>
        <v>Operativo</v>
      </c>
      <c r="E370" s="2" t="s">
        <v>139</v>
      </c>
      <c r="F370" s="2" t="s">
        <v>32</v>
      </c>
      <c r="G370" s="2" t="s">
        <v>76</v>
      </c>
      <c r="H370" s="2" t="s">
        <v>140</v>
      </c>
      <c r="I370" s="2" t="s">
        <v>107</v>
      </c>
      <c r="J370" s="2" t="s">
        <v>658</v>
      </c>
      <c r="K370" s="2" t="s">
        <v>1644</v>
      </c>
      <c r="L370" s="2" t="s">
        <v>1645</v>
      </c>
      <c r="M370" s="2" t="s">
        <v>111</v>
      </c>
      <c r="N370" s="2" t="s">
        <v>40</v>
      </c>
      <c r="O370" s="2" t="s">
        <v>41</v>
      </c>
      <c r="P370" s="2" t="s">
        <v>53</v>
      </c>
      <c r="Q370" s="2" t="s">
        <v>53</v>
      </c>
      <c r="R370" s="2" t="s">
        <v>41</v>
      </c>
      <c r="S370" s="2" t="s">
        <v>43</v>
      </c>
      <c r="T370" s="2"/>
      <c r="U370" s="3"/>
      <c r="V370" s="2"/>
      <c r="W370" s="2"/>
      <c r="X370" s="2"/>
      <c r="Y370" s="2"/>
      <c r="Z370" s="2"/>
      <c r="AA370" s="2"/>
      <c r="AB370" s="2"/>
      <c r="AC370" s="2"/>
    </row>
    <row r="371" spans="1:29" ht="20.100000000000001" customHeight="1">
      <c r="A371" s="2" t="s">
        <v>1646</v>
      </c>
      <c r="B371" s="2" t="s">
        <v>1647</v>
      </c>
      <c r="C371" s="2" t="str">
        <f>sheet1[[#This Row],[Nombre]]&amp;sheet1[[#This Row],[Bp Id]]</f>
        <v>WAS FilenetTIE0015</v>
      </c>
      <c r="D371" s="2" t="str">
        <f>VLOOKUP(sheet1[[#This Row],[Columna1]],sheet13[[Columna1]:[Estado]],4,FALSE)</f>
        <v>Retirado</v>
      </c>
      <c r="E371" s="2" t="s">
        <v>1648</v>
      </c>
      <c r="F371" s="2" t="s">
        <v>47</v>
      </c>
      <c r="G371" s="2" t="s">
        <v>48</v>
      </c>
      <c r="H371" s="2" t="s">
        <v>34</v>
      </c>
      <c r="I371" s="2" t="s">
        <v>487</v>
      </c>
      <c r="J371" s="2" t="s">
        <v>488</v>
      </c>
      <c r="K371" s="2" t="s">
        <v>489</v>
      </c>
      <c r="L371" s="2" t="s">
        <v>490</v>
      </c>
      <c r="M371" s="2" t="s">
        <v>52</v>
      </c>
      <c r="N371" s="2" t="s">
        <v>40</v>
      </c>
      <c r="O371" s="2" t="s">
        <v>41</v>
      </c>
      <c r="P371" s="2" t="s">
        <v>53</v>
      </c>
      <c r="Q371" s="2" t="s">
        <v>53</v>
      </c>
      <c r="R371" s="2" t="s">
        <v>43</v>
      </c>
      <c r="S371" s="2" t="s">
        <v>43</v>
      </c>
      <c r="T371" s="2"/>
      <c r="U371" s="3"/>
      <c r="V371" s="2"/>
      <c r="W371" s="2"/>
      <c r="X371" s="2"/>
      <c r="Y371" s="2"/>
      <c r="Z371" s="2"/>
      <c r="AA371" s="2"/>
      <c r="AB371" s="2"/>
      <c r="AC371" s="2"/>
    </row>
    <row r="372" spans="1:29" ht="20.100000000000001" customHeight="1">
      <c r="A372" s="2" t="s">
        <v>1649</v>
      </c>
      <c r="B372" s="2" t="s">
        <v>1650</v>
      </c>
      <c r="C372" s="2" t="str">
        <f>sheet1[[#This Row],[Nombre]]&amp;sheet1[[#This Row],[Bp Id]]</f>
        <v>WAS NotificadorOMN0006</v>
      </c>
      <c r="D372" s="2" t="str">
        <f>VLOOKUP(sheet1[[#This Row],[Columna1]],sheet13[[Columna1]:[Estado]],4,FALSE)</f>
        <v>Operativo</v>
      </c>
      <c r="E372" s="2" t="s">
        <v>1651</v>
      </c>
      <c r="F372" s="2" t="s">
        <v>32</v>
      </c>
      <c r="G372" s="2" t="s">
        <v>123</v>
      </c>
      <c r="H372" s="2" t="s">
        <v>34</v>
      </c>
      <c r="I372" s="2" t="s">
        <v>49</v>
      </c>
      <c r="J372" s="2" t="s">
        <v>50</v>
      </c>
      <c r="K372" s="2" t="s">
        <v>51</v>
      </c>
      <c r="L372" s="2" t="s">
        <v>51</v>
      </c>
      <c r="M372" s="2" t="s">
        <v>52</v>
      </c>
      <c r="N372" s="2" t="s">
        <v>40</v>
      </c>
      <c r="O372" s="2" t="s">
        <v>41</v>
      </c>
      <c r="P372" s="2" t="s">
        <v>42</v>
      </c>
      <c r="Q372" s="2" t="s">
        <v>53</v>
      </c>
      <c r="R372" s="2" t="s">
        <v>41</v>
      </c>
      <c r="S372" s="2" t="s">
        <v>41</v>
      </c>
      <c r="T372" s="2"/>
      <c r="U372" s="3">
        <v>45565</v>
      </c>
      <c r="V372" s="2" t="s">
        <v>1652</v>
      </c>
      <c r="W372" s="2" t="s">
        <v>179</v>
      </c>
      <c r="X372" s="2" t="s">
        <v>146</v>
      </c>
      <c r="Y372" s="2" t="s">
        <v>147</v>
      </c>
      <c r="Z372" s="2" t="s">
        <v>127</v>
      </c>
      <c r="AA372" s="2" t="s">
        <v>180</v>
      </c>
      <c r="AB372" s="2" t="s">
        <v>129</v>
      </c>
      <c r="AC372" s="2" t="s">
        <v>1653</v>
      </c>
    </row>
    <row r="373" spans="1:29" ht="14.45" customHeight="1">
      <c r="A373" s="2" t="s">
        <v>1654</v>
      </c>
      <c r="B373" s="2" t="s">
        <v>1655</v>
      </c>
      <c r="C373" s="2" t="str">
        <f>sheet1[[#This Row],[Nombre]]&amp;sheet1[[#This Row],[Bp Id]]</f>
        <v>WAS OmnicanalidadINT0012</v>
      </c>
      <c r="D373" s="2" t="str">
        <f>VLOOKUP(sheet1[[#This Row],[Columna1]],sheet13[[Columna1]:[Estado]],4,FALSE)</f>
        <v>Operativo</v>
      </c>
      <c r="E373" s="2" t="s">
        <v>1656</v>
      </c>
      <c r="F373" s="2" t="s">
        <v>32</v>
      </c>
      <c r="G373" s="2" t="s">
        <v>123</v>
      </c>
      <c r="H373" s="2" t="s">
        <v>34</v>
      </c>
      <c r="I373" s="2" t="s">
        <v>49</v>
      </c>
      <c r="J373" s="2" t="s">
        <v>50</v>
      </c>
      <c r="K373" s="2" t="s">
        <v>51</v>
      </c>
      <c r="L373" s="2" t="s">
        <v>51</v>
      </c>
      <c r="M373" s="2" t="s">
        <v>52</v>
      </c>
      <c r="N373" s="2" t="s">
        <v>40</v>
      </c>
      <c r="O373" s="2" t="s">
        <v>41</v>
      </c>
      <c r="P373" s="2" t="s">
        <v>53</v>
      </c>
      <c r="Q373" s="2" t="s">
        <v>53</v>
      </c>
      <c r="R373" s="2" t="s">
        <v>41</v>
      </c>
      <c r="S373" s="2" t="s">
        <v>41</v>
      </c>
      <c r="T373" s="2"/>
      <c r="U373" s="3">
        <v>45565</v>
      </c>
      <c r="V373" s="2" t="s">
        <v>1652</v>
      </c>
      <c r="W373" s="2" t="s">
        <v>179</v>
      </c>
      <c r="X373" s="2" t="s">
        <v>179</v>
      </c>
      <c r="Y373" s="2" t="s">
        <v>127</v>
      </c>
      <c r="Z373" s="2" t="s">
        <v>127</v>
      </c>
      <c r="AA373" s="2" t="s">
        <v>180</v>
      </c>
      <c r="AB373" s="2" t="s">
        <v>129</v>
      </c>
      <c r="AC373" s="2" t="s">
        <v>1657</v>
      </c>
    </row>
    <row r="374" spans="1:29" ht="14.45" customHeight="1">
      <c r="A374" s="2" t="s">
        <v>1658</v>
      </c>
      <c r="B374" s="2" t="s">
        <v>1659</v>
      </c>
      <c r="C374" s="2" t="str">
        <f>sheet1[[#This Row],[Nombre]]&amp;sheet1[[#This Row],[Bp Id]]</f>
        <v>WAS Omnicanalidad BATCHINT0013</v>
      </c>
      <c r="D374" s="2" t="str">
        <f>VLOOKUP(sheet1[[#This Row],[Columna1]],sheet13[[Columna1]:[Estado]],4,FALSE)</f>
        <v>Retirado</v>
      </c>
      <c r="E374" s="2" t="s">
        <v>1660</v>
      </c>
      <c r="F374" s="2" t="s">
        <v>47</v>
      </c>
      <c r="G374" s="2" t="s">
        <v>123</v>
      </c>
      <c r="H374" s="2" t="s">
        <v>34</v>
      </c>
      <c r="I374" s="2" t="s">
        <v>49</v>
      </c>
      <c r="J374" s="2" t="s">
        <v>50</v>
      </c>
      <c r="K374" s="2" t="s">
        <v>51</v>
      </c>
      <c r="L374" s="2" t="s">
        <v>51</v>
      </c>
      <c r="M374" s="2" t="s">
        <v>52</v>
      </c>
      <c r="N374" s="2" t="s">
        <v>40</v>
      </c>
      <c r="O374" s="2" t="s">
        <v>41</v>
      </c>
      <c r="P374" s="2" t="s">
        <v>53</v>
      </c>
      <c r="Q374" s="2" t="s">
        <v>53</v>
      </c>
      <c r="R374" s="2" t="s">
        <v>41</v>
      </c>
      <c r="S374" s="2" t="s">
        <v>41</v>
      </c>
      <c r="T374" s="2"/>
      <c r="U374" s="3">
        <v>45565</v>
      </c>
      <c r="V374" s="2"/>
      <c r="W374" s="2" t="s">
        <v>626</v>
      </c>
      <c r="X374" s="2" t="s">
        <v>252</v>
      </c>
      <c r="Y374" s="2" t="s">
        <v>127</v>
      </c>
      <c r="Z374" s="2" t="s">
        <v>127</v>
      </c>
      <c r="AA374" s="2" t="s">
        <v>180</v>
      </c>
      <c r="AB374" s="2" t="s">
        <v>129</v>
      </c>
      <c r="AC374" s="2" t="s">
        <v>1661</v>
      </c>
    </row>
    <row r="375" spans="1:29" ht="14.45" customHeight="1">
      <c r="A375" s="2" t="s">
        <v>1662</v>
      </c>
      <c r="B375" s="2" t="s">
        <v>1663</v>
      </c>
      <c r="C375" s="2" t="str">
        <f>sheet1[[#This Row],[Nombre]]&amp;sheet1[[#This Row],[Bp Id]]</f>
        <v>Web GAFCOR0006</v>
      </c>
      <c r="D375" s="2" t="str">
        <f>VLOOKUP(sheet1[[#This Row],[Columna1]],sheet13[[Columna1]:[Estado]],4,FALSE)</f>
        <v>Operativo</v>
      </c>
      <c r="E375" s="2" t="s">
        <v>1664</v>
      </c>
      <c r="F375" s="2" t="s">
        <v>32</v>
      </c>
      <c r="G375" s="2" t="s">
        <v>48</v>
      </c>
      <c r="H375" s="2" t="s">
        <v>34</v>
      </c>
      <c r="I375" s="2" t="s">
        <v>339</v>
      </c>
      <c r="J375" s="2" t="s">
        <v>50</v>
      </c>
      <c r="K375" s="2" t="s">
        <v>833</v>
      </c>
      <c r="L375" s="2" t="s">
        <v>50</v>
      </c>
      <c r="M375" s="2" t="s">
        <v>39</v>
      </c>
      <c r="N375" s="2" t="s">
        <v>40</v>
      </c>
      <c r="O375" s="2" t="s">
        <v>41</v>
      </c>
      <c r="P375" s="2" t="s">
        <v>53</v>
      </c>
      <c r="Q375" s="2" t="s">
        <v>53</v>
      </c>
      <c r="R375" s="2" t="s">
        <v>41</v>
      </c>
      <c r="S375" s="2" t="s">
        <v>41</v>
      </c>
      <c r="T375" s="2" t="s">
        <v>1665</v>
      </c>
      <c r="U375" s="3">
        <v>45199</v>
      </c>
      <c r="V375" s="2"/>
      <c r="W375" s="2" t="s">
        <v>100</v>
      </c>
      <c r="X375" s="2" t="s">
        <v>101</v>
      </c>
      <c r="Y375" s="2"/>
      <c r="Z375" s="2"/>
      <c r="AA375" s="2"/>
      <c r="AB375" s="2"/>
      <c r="AC375" s="2" t="s">
        <v>1666</v>
      </c>
    </row>
    <row r="376" spans="1:29" ht="87" customHeight="1">
      <c r="A376" s="2" t="s">
        <v>1667</v>
      </c>
      <c r="B376" s="2" t="s">
        <v>1668</v>
      </c>
      <c r="C376" s="2" t="str">
        <f>sheet1[[#This Row],[Nombre]]&amp;sheet1[[#This Row],[Bp Id]]</f>
        <v>Web Teller 3.0CHL0032</v>
      </c>
      <c r="D376" s="2" t="str">
        <f>VLOOKUP(sheet1[[#This Row],[Columna1]],sheet13[[Columna1]:[Estado]],4,FALSE)</f>
        <v>Operativo</v>
      </c>
      <c r="E376" s="2" t="s">
        <v>1669</v>
      </c>
      <c r="F376" s="2" t="s">
        <v>32</v>
      </c>
      <c r="G376" s="2" t="s">
        <v>33</v>
      </c>
      <c r="H376" s="2" t="s">
        <v>34</v>
      </c>
      <c r="I376" s="2" t="s">
        <v>35</v>
      </c>
      <c r="J376" s="2" t="s">
        <v>36</v>
      </c>
      <c r="K376" s="2" t="s">
        <v>37</v>
      </c>
      <c r="L376" s="2" t="s">
        <v>38</v>
      </c>
      <c r="M376" s="2" t="s">
        <v>39</v>
      </c>
      <c r="N376" s="2" t="s">
        <v>40</v>
      </c>
      <c r="O376" s="2" t="s">
        <v>41</v>
      </c>
      <c r="P376" s="2" t="s">
        <v>53</v>
      </c>
      <c r="Q376" s="2" t="s">
        <v>53</v>
      </c>
      <c r="R376" s="2" t="s">
        <v>41</v>
      </c>
      <c r="S376" s="2" t="s">
        <v>41</v>
      </c>
      <c r="T376" s="2" t="s">
        <v>119</v>
      </c>
      <c r="U376" s="3">
        <v>45199</v>
      </c>
      <c r="V376" s="2"/>
      <c r="W376" s="2" t="s">
        <v>100</v>
      </c>
      <c r="X376" s="2" t="s">
        <v>101</v>
      </c>
      <c r="Y376" s="2"/>
      <c r="Z376" s="2"/>
      <c r="AA376" s="2"/>
      <c r="AB376" s="2"/>
      <c r="AC376" s="2"/>
    </row>
    <row r="377" spans="1:29" ht="14.45" customHeight="1">
      <c r="A377" s="2" t="s">
        <v>1670</v>
      </c>
      <c r="B377" s="2" t="s">
        <v>1671</v>
      </c>
      <c r="C377" s="2" t="str">
        <f>sheet1[[#This Row],[Nombre]]&amp;sheet1[[#This Row],[Bp Id]]</f>
        <v>WebAccionistasGOB0016</v>
      </c>
      <c r="D377" s="2" t="str">
        <f>VLOOKUP(sheet1[[#This Row],[Columna1]],sheet13[[Columna1]:[Estado]],4,FALSE)</f>
        <v>Operativo</v>
      </c>
      <c r="E377" s="2" t="s">
        <v>1672</v>
      </c>
      <c r="F377" s="2" t="s">
        <v>32</v>
      </c>
      <c r="G377" s="2" t="s">
        <v>48</v>
      </c>
      <c r="H377" s="2" t="s">
        <v>59</v>
      </c>
      <c r="I377" s="2" t="s">
        <v>225</v>
      </c>
      <c r="J377" s="2" t="s">
        <v>226</v>
      </c>
      <c r="K377" s="2" t="s">
        <v>227</v>
      </c>
      <c r="L377" s="2" t="s">
        <v>228</v>
      </c>
      <c r="M377" s="2" t="s">
        <v>39</v>
      </c>
      <c r="N377" s="2" t="s">
        <v>40</v>
      </c>
      <c r="O377" s="2" t="s">
        <v>41</v>
      </c>
      <c r="P377" s="2" t="s">
        <v>53</v>
      </c>
      <c r="Q377" s="2" t="s">
        <v>53</v>
      </c>
      <c r="R377" s="2" t="s">
        <v>41</v>
      </c>
      <c r="S377" s="2" t="s">
        <v>43</v>
      </c>
      <c r="T377" s="2"/>
      <c r="U377" s="3"/>
      <c r="V377" s="2"/>
      <c r="W377" s="2"/>
      <c r="X377" s="2"/>
      <c r="Y377" s="2"/>
      <c r="Z377" s="2"/>
      <c r="AA377" s="2"/>
      <c r="AB377" s="2"/>
      <c r="AC377" s="2"/>
    </row>
    <row r="378" spans="1:29" ht="14.45" customHeight="1">
      <c r="A378" s="2" t="s">
        <v>1673</v>
      </c>
      <c r="B378" s="2" t="s">
        <v>1674</v>
      </c>
      <c r="C378" s="2" t="str">
        <f>sheet1[[#This Row],[Nombre]]&amp;sheet1[[#This Row],[Bp Id]]</f>
        <v>WEBBloqueo 2.0 --DCP/DCAPAY0022</v>
      </c>
      <c r="D378" s="2" t="str">
        <f>VLOOKUP(sheet1[[#This Row],[Columna1]],sheet13[[Columna1]:[Estado]],4,FALSE)</f>
        <v>Operativo</v>
      </c>
      <c r="E378" s="2" t="s">
        <v>1675</v>
      </c>
      <c r="F378" s="2" t="s">
        <v>32</v>
      </c>
      <c r="G378" s="2" t="s">
        <v>48</v>
      </c>
      <c r="H378" s="2" t="s">
        <v>34</v>
      </c>
      <c r="I378" s="2" t="s">
        <v>141</v>
      </c>
      <c r="J378" s="2" t="s">
        <v>151</v>
      </c>
      <c r="K378" s="2" t="s">
        <v>564</v>
      </c>
      <c r="L378" s="2" t="s">
        <v>1347</v>
      </c>
      <c r="M378" s="2" t="s">
        <v>39</v>
      </c>
      <c r="N378" s="2" t="s">
        <v>40</v>
      </c>
      <c r="O378" s="2" t="s">
        <v>41</v>
      </c>
      <c r="P378" s="2" t="s">
        <v>53</v>
      </c>
      <c r="Q378" s="2" t="s">
        <v>53</v>
      </c>
      <c r="R378" s="2" t="s">
        <v>41</v>
      </c>
      <c r="S378" s="2" t="s">
        <v>43</v>
      </c>
      <c r="T378" s="2"/>
      <c r="U378" s="3"/>
      <c r="V378" s="2"/>
      <c r="W378" s="2"/>
      <c r="X378" s="2"/>
      <c r="Y378" s="2"/>
      <c r="Z378" s="2"/>
      <c r="AA378" s="2"/>
      <c r="AB378" s="2"/>
      <c r="AC378" s="2"/>
    </row>
    <row r="379" spans="1:29" ht="29.1" customHeight="1">
      <c r="A379" s="2" t="s">
        <v>1676</v>
      </c>
      <c r="B379" s="2" t="s">
        <v>1677</v>
      </c>
      <c r="C379" s="2" t="str">
        <f>sheet1[[#This Row],[Nombre]]&amp;sheet1[[#This Row],[Bp Id]]</f>
        <v>WebdoxSUP0035</v>
      </c>
      <c r="D379" s="2" t="str">
        <f>VLOOKUP(sheet1[[#This Row],[Columna1]],sheet13[[Columna1]:[Estado]],4,FALSE)</f>
        <v>Operativo</v>
      </c>
      <c r="E379" s="2" t="s">
        <v>1678</v>
      </c>
      <c r="F379" s="2" t="s">
        <v>32</v>
      </c>
      <c r="G379" s="2" t="s">
        <v>48</v>
      </c>
      <c r="H379" s="2" t="s">
        <v>59</v>
      </c>
      <c r="I379" s="2" t="s">
        <v>225</v>
      </c>
      <c r="J379" s="2" t="s">
        <v>226</v>
      </c>
      <c r="K379" s="2" t="s">
        <v>227</v>
      </c>
      <c r="L379" s="2" t="s">
        <v>228</v>
      </c>
      <c r="M379" s="2" t="s">
        <v>63</v>
      </c>
      <c r="N379" s="2" t="s">
        <v>40</v>
      </c>
      <c r="O379" s="2" t="s">
        <v>41</v>
      </c>
      <c r="P379" s="2" t="s">
        <v>64</v>
      </c>
      <c r="Q379" s="2" t="s">
        <v>53</v>
      </c>
      <c r="R379" s="2" t="s">
        <v>41</v>
      </c>
      <c r="S379" s="2" t="s">
        <v>41</v>
      </c>
      <c r="T379" s="2"/>
      <c r="U379" s="3">
        <v>45646</v>
      </c>
      <c r="V379" s="2"/>
      <c r="W379" s="2" t="s">
        <v>369</v>
      </c>
      <c r="X379" s="2" t="s">
        <v>851</v>
      </c>
      <c r="Y379" s="2" t="s">
        <v>127</v>
      </c>
      <c r="Z379" s="2" t="s">
        <v>127</v>
      </c>
      <c r="AA379" s="2" t="s">
        <v>180</v>
      </c>
      <c r="AB379" s="2" t="s">
        <v>129</v>
      </c>
      <c r="AC379" s="2" t="s">
        <v>1679</v>
      </c>
    </row>
    <row r="380" spans="1:29" ht="29.1" customHeight="1">
      <c r="A380" s="2" t="s">
        <v>1680</v>
      </c>
      <c r="B380" s="2" t="s">
        <v>1681</v>
      </c>
      <c r="C380" s="2" t="str">
        <f>sheet1[[#This Row],[Nombre]]&amp;sheet1[[#This Row],[Bp Id]]</f>
        <v>WebSecurityOfficeSystemSEC0041</v>
      </c>
      <c r="D380" s="2" t="str">
        <f>VLOOKUP(sheet1[[#This Row],[Columna1]],sheet13[[Columna1]:[Estado]],4,FALSE)</f>
        <v>Operativo</v>
      </c>
      <c r="E380" s="2" t="s">
        <v>1682</v>
      </c>
      <c r="F380" s="2" t="s">
        <v>32</v>
      </c>
      <c r="G380" s="2" t="s">
        <v>48</v>
      </c>
      <c r="H380" s="2" t="s">
        <v>34</v>
      </c>
      <c r="I380" s="2" t="s">
        <v>258</v>
      </c>
      <c r="J380" s="2" t="s">
        <v>259</v>
      </c>
      <c r="K380" s="2" t="s">
        <v>260</v>
      </c>
      <c r="L380" s="2" t="s">
        <v>261</v>
      </c>
      <c r="M380" s="2" t="s">
        <v>111</v>
      </c>
      <c r="N380" s="2" t="s">
        <v>40</v>
      </c>
      <c r="O380" s="2" t="s">
        <v>41</v>
      </c>
      <c r="P380" s="2" t="s">
        <v>42</v>
      </c>
      <c r="Q380" s="2" t="s">
        <v>53</v>
      </c>
      <c r="R380" s="2" t="s">
        <v>41</v>
      </c>
      <c r="S380" s="2" t="s">
        <v>41</v>
      </c>
      <c r="T380" s="2"/>
      <c r="U380" s="3">
        <v>45200</v>
      </c>
      <c r="V380" s="2"/>
      <c r="W380" s="2" t="s">
        <v>253</v>
      </c>
      <c r="X380" s="2" t="s">
        <v>851</v>
      </c>
      <c r="Y380" s="2" t="s">
        <v>147</v>
      </c>
      <c r="Z380" s="2" t="s">
        <v>147</v>
      </c>
      <c r="AA380" s="2" t="s">
        <v>180</v>
      </c>
      <c r="AB380" s="2" t="s">
        <v>129</v>
      </c>
      <c r="AC380" s="2" t="s">
        <v>1683</v>
      </c>
    </row>
    <row r="381" spans="1:29" ht="20.100000000000001" customHeight="1">
      <c r="A381" s="2" t="s">
        <v>1684</v>
      </c>
      <c r="B381" s="2" t="s">
        <v>1685</v>
      </c>
      <c r="C381" s="2" t="str">
        <f>sheet1[[#This Row],[Nombre]]&amp;sheet1[[#This Row],[Bp Id]]</f>
        <v>WorkplaceSUP0017</v>
      </c>
      <c r="D381" s="2" t="str">
        <f>VLOOKUP(sheet1[[#This Row],[Columna1]],sheet13[[Columna1]:[Estado]],4,FALSE)</f>
        <v>Retirado</v>
      </c>
      <c r="E381" s="2" t="s">
        <v>1686</v>
      </c>
      <c r="F381" s="2" t="s">
        <v>47</v>
      </c>
      <c r="G381" s="2" t="s">
        <v>48</v>
      </c>
      <c r="H381" s="2" t="s">
        <v>59</v>
      </c>
      <c r="I381" s="2" t="s">
        <v>225</v>
      </c>
      <c r="J381" s="2" t="s">
        <v>226</v>
      </c>
      <c r="K381" s="2" t="s">
        <v>300</v>
      </c>
      <c r="L381" s="2" t="s">
        <v>1392</v>
      </c>
      <c r="M381" s="2" t="s">
        <v>63</v>
      </c>
      <c r="N381" s="2" t="s">
        <v>40</v>
      </c>
      <c r="O381" s="2" t="s">
        <v>41</v>
      </c>
      <c r="P381" s="2" t="s">
        <v>64</v>
      </c>
      <c r="Q381" s="2" t="s">
        <v>64</v>
      </c>
      <c r="R381" s="2" t="s">
        <v>43</v>
      </c>
      <c r="S381" s="2" t="s">
        <v>43</v>
      </c>
      <c r="T381" s="2"/>
      <c r="U381" s="3"/>
      <c r="V381" s="2"/>
      <c r="W381" s="2"/>
      <c r="X381" s="2"/>
      <c r="Y381" s="2"/>
      <c r="Z381" s="2"/>
      <c r="AA381" s="2"/>
      <c r="AB381" s="2"/>
      <c r="AC381" s="2"/>
    </row>
    <row r="382" spans="1:29" ht="14.45" customHeight="1">
      <c r="A382" s="2" t="s">
        <v>1687</v>
      </c>
      <c r="B382" s="2" t="s">
        <v>1688</v>
      </c>
      <c r="C382" s="2" t="str">
        <f>sheet1[[#This Row],[Nombre]]&amp;sheet1[[#This Row],[Bp Id]]</f>
        <v>WSO2 Identity Server ExternoSEC0042</v>
      </c>
      <c r="D382" s="2" t="str">
        <f>VLOOKUP(sheet1[[#This Row],[Columna1]],sheet13[[Columna1]:[Estado]],4,FALSE)</f>
        <v>Retirado</v>
      </c>
      <c r="E382" s="2" t="s">
        <v>1689</v>
      </c>
      <c r="F382" s="2" t="s">
        <v>47</v>
      </c>
      <c r="G382" s="2" t="s">
        <v>123</v>
      </c>
      <c r="H382" s="2" t="s">
        <v>34</v>
      </c>
      <c r="I382" s="2" t="s">
        <v>107</v>
      </c>
      <c r="J382" s="2" t="s">
        <v>272</v>
      </c>
      <c r="K382" s="2" t="s">
        <v>176</v>
      </c>
      <c r="L382" s="2" t="s">
        <v>185</v>
      </c>
      <c r="M382" s="2" t="s">
        <v>111</v>
      </c>
      <c r="N382" s="2" t="s">
        <v>40</v>
      </c>
      <c r="O382" s="2" t="s">
        <v>41</v>
      </c>
      <c r="P382" s="2" t="s">
        <v>53</v>
      </c>
      <c r="Q382" s="2" t="s">
        <v>53</v>
      </c>
      <c r="R382" s="2" t="s">
        <v>41</v>
      </c>
      <c r="S382" s="2" t="s">
        <v>43</v>
      </c>
      <c r="T382" s="2" t="s">
        <v>193</v>
      </c>
      <c r="U382" s="3">
        <v>45200</v>
      </c>
      <c r="V382" s="2"/>
      <c r="W382" s="2"/>
      <c r="X382" s="2"/>
      <c r="Y382" s="2"/>
      <c r="Z382" s="2"/>
      <c r="AA382" s="2"/>
      <c r="AB382" s="2"/>
      <c r="AC382" s="2"/>
    </row>
    <row r="383" spans="1:29" ht="20.100000000000001" customHeight="1">
      <c r="A383" s="2" t="s">
        <v>1690</v>
      </c>
      <c r="B383" s="2" t="s">
        <v>1691</v>
      </c>
      <c r="C383" s="2" t="str">
        <f>sheet1[[#This Row],[Nombre]]&amp;sheet1[[#This Row],[Bp Id]]</f>
        <v>XACTClearstreamSUP0018</v>
      </c>
      <c r="D383" s="2" t="str">
        <f>VLOOKUP(sheet1[[#This Row],[Columna1]],sheet13[[Columna1]:[Estado]],4,FALSE)</f>
        <v>Operativo</v>
      </c>
      <c r="E383" s="2" t="s">
        <v>1692</v>
      </c>
      <c r="F383" s="2" t="s">
        <v>32</v>
      </c>
      <c r="G383" s="2" t="s">
        <v>48</v>
      </c>
      <c r="H383" s="2" t="s">
        <v>140</v>
      </c>
      <c r="I383" s="2" t="s">
        <v>225</v>
      </c>
      <c r="J383" s="2" t="s">
        <v>226</v>
      </c>
      <c r="K383" s="2" t="s">
        <v>617</v>
      </c>
      <c r="L383" s="2" t="s">
        <v>304</v>
      </c>
      <c r="M383" s="2" t="s">
        <v>39</v>
      </c>
      <c r="N383" s="2" t="s">
        <v>40</v>
      </c>
      <c r="O383" s="2" t="s">
        <v>41</v>
      </c>
      <c r="P383" s="2" t="s">
        <v>53</v>
      </c>
      <c r="Q383" s="2" t="s">
        <v>53</v>
      </c>
      <c r="R383" s="2" t="s">
        <v>41</v>
      </c>
      <c r="S383" s="2" t="s">
        <v>41</v>
      </c>
      <c r="T383" s="2"/>
      <c r="U383" s="3">
        <v>45200</v>
      </c>
      <c r="V383" s="2"/>
      <c r="W383" s="2" t="s">
        <v>626</v>
      </c>
      <c r="X383" s="2" t="s">
        <v>126</v>
      </c>
      <c r="Y383" s="2" t="s">
        <v>127</v>
      </c>
      <c r="Z383" s="2" t="s">
        <v>127</v>
      </c>
      <c r="AA383" s="2" t="s">
        <v>180</v>
      </c>
      <c r="AB383" s="2" t="s">
        <v>129</v>
      </c>
      <c r="AC383" s="2"/>
    </row>
    <row r="384" spans="1:29" ht="20.100000000000001" customHeight="1">
      <c r="A384" s="2" t="s">
        <v>1693</v>
      </c>
      <c r="B384" s="2" t="s">
        <v>1694</v>
      </c>
      <c r="C384" s="2" t="str">
        <f>sheet1[[#This Row],[Nombre]]&amp;sheet1[[#This Row],[Bp Id]]</f>
        <v>ZabbixITM0074</v>
      </c>
      <c r="D384" s="2" t="str">
        <f>VLOOKUP(sheet1[[#This Row],[Columna1]],sheet13[[Columna1]:[Estado]],4,FALSE)</f>
        <v>Operativo</v>
      </c>
      <c r="E384" s="2" t="s">
        <v>1695</v>
      </c>
      <c r="F384" s="2" t="s">
        <v>32</v>
      </c>
      <c r="G384" s="2" t="s">
        <v>48</v>
      </c>
      <c r="H384" s="2" t="s">
        <v>34</v>
      </c>
      <c r="I384" s="2" t="s">
        <v>68</v>
      </c>
      <c r="J384" s="2" t="s">
        <v>69</v>
      </c>
      <c r="K384" s="2" t="s">
        <v>516</v>
      </c>
      <c r="L384" s="2" t="s">
        <v>529</v>
      </c>
      <c r="M384" s="2" t="s">
        <v>296</v>
      </c>
      <c r="N384" s="2" t="s">
        <v>40</v>
      </c>
      <c r="O384" s="2" t="s">
        <v>41</v>
      </c>
      <c r="P384" s="2" t="s">
        <v>42</v>
      </c>
      <c r="Q384" s="2" t="s">
        <v>42</v>
      </c>
      <c r="R384" s="2" t="s">
        <v>43</v>
      </c>
      <c r="S384" s="2" t="s">
        <v>43</v>
      </c>
      <c r="T384" s="2" t="s">
        <v>1696</v>
      </c>
      <c r="U384" s="3"/>
      <c r="V384" s="2"/>
      <c r="W384" s="2"/>
      <c r="X384" s="2"/>
      <c r="Y384" s="2"/>
      <c r="Z384" s="2"/>
      <c r="AA384" s="2"/>
      <c r="AB384" s="2"/>
      <c r="AC384" s="2"/>
    </row>
    <row r="385" spans="1:29" ht="29.1" customHeight="1">
      <c r="A385" s="2" t="s">
        <v>628</v>
      </c>
      <c r="B385" s="2" t="s">
        <v>629</v>
      </c>
      <c r="C385" s="2" t="str">
        <f>sheet1[[#This Row],[Nombre]]&amp;sheet1[[#This Row],[Bp Id]]</f>
        <v>Banner CampañasCUS0018</v>
      </c>
      <c r="D385" s="2" t="str">
        <f>VLOOKUP(sheet1[[#This Row],[Columna1]],sheet13[[Columna1]:[Estado]],4,FALSE)</f>
        <v>Operativo</v>
      </c>
      <c r="E385" s="2" t="s">
        <v>1697</v>
      </c>
      <c r="F385" s="2" t="s">
        <v>32</v>
      </c>
      <c r="G385" s="2" t="s">
        <v>48</v>
      </c>
      <c r="H385" s="2" t="s">
        <v>59</v>
      </c>
      <c r="I385" s="2" t="s">
        <v>87</v>
      </c>
      <c r="J385" s="2" t="s">
        <v>88</v>
      </c>
      <c r="K385" s="2" t="s">
        <v>479</v>
      </c>
      <c r="L385" s="2" t="s">
        <v>88</v>
      </c>
      <c r="M385" s="2" t="s">
        <v>39</v>
      </c>
      <c r="N385" s="2" t="s">
        <v>40</v>
      </c>
      <c r="O385" s="2" t="s">
        <v>41</v>
      </c>
      <c r="P385" s="2" t="s">
        <v>42</v>
      </c>
      <c r="Q385" s="2" t="s">
        <v>42</v>
      </c>
      <c r="R385" s="2" t="s">
        <v>41</v>
      </c>
      <c r="S385" s="2" t="s">
        <v>43</v>
      </c>
      <c r="T385" s="2"/>
      <c r="U385" s="3"/>
      <c r="V385" s="2"/>
      <c r="W385" s="2"/>
      <c r="X385" s="2"/>
      <c r="Y385" s="2"/>
      <c r="Z385" s="2"/>
      <c r="AA385" s="2"/>
      <c r="AB385" s="2"/>
      <c r="AC385" s="2"/>
    </row>
    <row r="386" spans="1:29" ht="20.100000000000001" customHeight="1">
      <c r="A386" s="2" t="s">
        <v>1698</v>
      </c>
      <c r="B386" s="2" t="s">
        <v>1699</v>
      </c>
      <c r="C386" s="2" t="str">
        <f>sheet1[[#This Row],[Nombre]]&amp;sheet1[[#This Row],[Bp Id]]</f>
        <v>ZookeeperOMN0007</v>
      </c>
      <c r="D386" s="2" t="str">
        <f>VLOOKUP(sheet1[[#This Row],[Columna1]],sheet13[[Columna1]:[Estado]],4,FALSE)</f>
        <v>Retirado</v>
      </c>
      <c r="E386" s="2" t="s">
        <v>1700</v>
      </c>
      <c r="F386" s="2" t="s">
        <v>47</v>
      </c>
      <c r="G386" s="2" t="s">
        <v>48</v>
      </c>
      <c r="H386" s="2" t="s">
        <v>34</v>
      </c>
      <c r="I386" s="2" t="s">
        <v>921</v>
      </c>
      <c r="J386" s="2" t="s">
        <v>50</v>
      </c>
      <c r="K386" s="2" t="s">
        <v>51</v>
      </c>
      <c r="L386" s="2" t="s">
        <v>51</v>
      </c>
      <c r="M386" s="2" t="s">
        <v>63</v>
      </c>
      <c r="N386" s="2" t="s">
        <v>40</v>
      </c>
      <c r="O386" s="2" t="s">
        <v>43</v>
      </c>
      <c r="P386" s="2" t="s">
        <v>53</v>
      </c>
      <c r="Q386" s="2" t="s">
        <v>53</v>
      </c>
      <c r="R386" s="2" t="s">
        <v>43</v>
      </c>
      <c r="S386" s="2" t="s">
        <v>43</v>
      </c>
      <c r="T386" s="2"/>
      <c r="U386" s="3"/>
      <c r="V386" s="2"/>
      <c r="W386" s="2"/>
      <c r="X386" s="2"/>
      <c r="Y386" s="2"/>
      <c r="Z386" s="2"/>
      <c r="AA386" s="2"/>
      <c r="AB386" s="2"/>
      <c r="AC386" s="2"/>
    </row>
    <row r="387" spans="1:29" ht="20.100000000000001" customHeight="1">
      <c r="A387" s="2" t="s">
        <v>1701</v>
      </c>
      <c r="B387" s="2" t="s">
        <v>1702</v>
      </c>
      <c r="C387" s="2" t="str">
        <f>sheet1[[#This Row],[Nombre]]&amp;sheet1[[#This Row],[Bp Id]]</f>
        <v>Qlik Negocio AutomotrizPRD0070</v>
      </c>
      <c r="D387" s="2" t="str">
        <f>VLOOKUP(sheet1[[#This Row],[Columna1]],sheet13[[Columna1]:[Estado]],4,FALSE)</f>
        <v>Operativo</v>
      </c>
      <c r="E387" s="2"/>
      <c r="F387" s="2" t="s">
        <v>32</v>
      </c>
      <c r="G387" s="2" t="s">
        <v>48</v>
      </c>
      <c r="H387" s="2" t="s">
        <v>59</v>
      </c>
      <c r="I387" s="2" t="s">
        <v>95</v>
      </c>
      <c r="J387" s="2" t="s">
        <v>96</v>
      </c>
      <c r="K387" s="2" t="s">
        <v>1703</v>
      </c>
      <c r="L387" s="2" t="s">
        <v>508</v>
      </c>
      <c r="M387" s="2" t="s">
        <v>39</v>
      </c>
      <c r="N387" s="2" t="s">
        <v>40</v>
      </c>
      <c r="O387" s="2" t="s">
        <v>41</v>
      </c>
      <c r="P387" s="2" t="s">
        <v>53</v>
      </c>
      <c r="Q387" s="2" t="s">
        <v>53</v>
      </c>
      <c r="R387" s="2" t="s">
        <v>41</v>
      </c>
      <c r="S387" s="2" t="s">
        <v>41</v>
      </c>
      <c r="T387" s="2" t="s">
        <v>1704</v>
      </c>
      <c r="U387" s="3">
        <v>45854</v>
      </c>
      <c r="V387" s="2"/>
      <c r="W387" s="2" t="s">
        <v>851</v>
      </c>
      <c r="X387" s="2" t="s">
        <v>959</v>
      </c>
      <c r="Y387" s="2" t="s">
        <v>127</v>
      </c>
      <c r="Z387" s="2" t="s">
        <v>127</v>
      </c>
      <c r="AA387" s="2" t="s">
        <v>180</v>
      </c>
      <c r="AB387" s="2" t="s">
        <v>129</v>
      </c>
      <c r="AC387" s="2" t="s">
        <v>1705</v>
      </c>
    </row>
    <row r="388" spans="1:29" ht="20.100000000000001" customHeight="1">
      <c r="A388" s="2" t="s">
        <v>1706</v>
      </c>
      <c r="B388" s="2" t="s">
        <v>1707</v>
      </c>
      <c r="C388" s="2" t="str">
        <f>sheet1[[#This Row],[Nombre]]&amp;sheet1[[#This Row],[Bp Id]]</f>
        <v>LogiTRXRIS0006</v>
      </c>
      <c r="D388" s="2" t="str">
        <f>VLOOKUP(sheet1[[#This Row],[Columna1]],sheet13[[Columna1]:[Estado]],4,FALSE)</f>
        <v>Retirado</v>
      </c>
      <c r="E388" s="2" t="s">
        <v>1708</v>
      </c>
      <c r="F388" s="2" t="s">
        <v>47</v>
      </c>
      <c r="G388" s="2" t="s">
        <v>48</v>
      </c>
      <c r="H388" s="2" t="s">
        <v>34</v>
      </c>
      <c r="I388" s="2" t="s">
        <v>339</v>
      </c>
      <c r="J388" s="2" t="s">
        <v>50</v>
      </c>
      <c r="K388" s="2" t="s">
        <v>833</v>
      </c>
      <c r="L388" s="2" t="s">
        <v>941</v>
      </c>
      <c r="M388" s="2" t="s">
        <v>39</v>
      </c>
      <c r="N388" s="2" t="s">
        <v>40</v>
      </c>
      <c r="O388" s="2" t="s">
        <v>41</v>
      </c>
      <c r="P388" s="2" t="s">
        <v>53</v>
      </c>
      <c r="Q388" s="2" t="s">
        <v>53</v>
      </c>
      <c r="R388" s="2" t="s">
        <v>41</v>
      </c>
      <c r="S388" s="2" t="s">
        <v>41</v>
      </c>
      <c r="T388" s="2" t="s">
        <v>1709</v>
      </c>
      <c r="U388" s="3">
        <v>45200</v>
      </c>
      <c r="V388" s="2" t="s">
        <v>1710</v>
      </c>
      <c r="W388" s="2" t="s">
        <v>146</v>
      </c>
      <c r="X388" s="2" t="s">
        <v>590</v>
      </c>
      <c r="Y388" s="2" t="s">
        <v>363</v>
      </c>
      <c r="Z388" s="2" t="s">
        <v>363</v>
      </c>
      <c r="AA388" s="2" t="s">
        <v>180</v>
      </c>
      <c r="AB388" s="2" t="s">
        <v>129</v>
      </c>
      <c r="AC388" s="2" t="s">
        <v>1711</v>
      </c>
    </row>
    <row r="389" spans="1:29" ht="29.1" customHeight="1">
      <c r="A389" s="2" t="s">
        <v>1712</v>
      </c>
      <c r="B389" s="2" t="s">
        <v>1713</v>
      </c>
      <c r="C389" s="2" t="str">
        <f>sheet1[[#This Row],[Nombre]]&amp;sheet1[[#This Row],[Bp Id]]</f>
        <v>VMware vSphere ReplicationITM0080</v>
      </c>
      <c r="D389" s="2" t="str">
        <f>VLOOKUP(sheet1[[#This Row],[Columna1]],sheet13[[Columna1]:[Estado]],4,FALSE)</f>
        <v>Operativo</v>
      </c>
      <c r="E389" s="2" t="s">
        <v>1714</v>
      </c>
      <c r="F389" s="2" t="s">
        <v>32</v>
      </c>
      <c r="G389" s="2" t="s">
        <v>48</v>
      </c>
      <c r="H389" s="2" t="s">
        <v>34</v>
      </c>
      <c r="I389" s="2" t="s">
        <v>68</v>
      </c>
      <c r="J389" s="2" t="s">
        <v>69</v>
      </c>
      <c r="K389" s="2" t="s">
        <v>82</v>
      </c>
      <c r="L389" s="2" t="s">
        <v>1715</v>
      </c>
      <c r="M389" s="2" t="s">
        <v>52</v>
      </c>
      <c r="N389" s="2" t="s">
        <v>40</v>
      </c>
      <c r="O389" s="2" t="s">
        <v>43</v>
      </c>
      <c r="P389" s="2"/>
      <c r="Q389" s="2"/>
      <c r="R389" s="2" t="s">
        <v>41</v>
      </c>
      <c r="S389" s="2" t="s">
        <v>43</v>
      </c>
      <c r="T389" s="2"/>
      <c r="U389" s="3">
        <v>45579</v>
      </c>
      <c r="V389" s="2"/>
      <c r="W389" s="2"/>
      <c r="X389" s="2"/>
      <c r="Y389" s="2"/>
      <c r="Z389" s="2"/>
      <c r="AA389" s="2"/>
      <c r="AB389" s="2"/>
      <c r="AC389" s="2"/>
    </row>
    <row r="390" spans="1:29" ht="290.10000000000002" customHeight="1">
      <c r="A390" s="2" t="s">
        <v>1716</v>
      </c>
      <c r="B390" s="2" t="s">
        <v>1717</v>
      </c>
      <c r="C390" s="2" t="str">
        <f>sheet1[[#This Row],[Nombre]]&amp;sheet1[[#This Row],[Bp Id]]</f>
        <v>BankDevXITM0120</v>
      </c>
      <c r="D390" s="2" t="str">
        <f>VLOOKUP(sheet1[[#This Row],[Columna1]],sheet13[[Columna1]:[Estado]],4,FALSE)</f>
        <v>Operativo</v>
      </c>
      <c r="E390" s="2" t="s">
        <v>1718</v>
      </c>
      <c r="F390" s="2" t="s">
        <v>32</v>
      </c>
      <c r="G390" s="2" t="s">
        <v>48</v>
      </c>
      <c r="H390" s="2" t="s">
        <v>59</v>
      </c>
      <c r="I390" s="2" t="s">
        <v>198</v>
      </c>
      <c r="J390" s="2" t="s">
        <v>240</v>
      </c>
      <c r="K390" s="2" t="s">
        <v>1719</v>
      </c>
      <c r="L390" s="2" t="s">
        <v>1720</v>
      </c>
      <c r="M390" s="2"/>
      <c r="N390" s="2" t="s">
        <v>40</v>
      </c>
      <c r="O390" s="2" t="s">
        <v>43</v>
      </c>
      <c r="P390" s="2" t="s">
        <v>64</v>
      </c>
      <c r="Q390" s="2" t="s">
        <v>64</v>
      </c>
      <c r="R390" s="2" t="s">
        <v>43</v>
      </c>
      <c r="S390" s="2" t="s">
        <v>43</v>
      </c>
      <c r="T390" s="2" t="s">
        <v>1721</v>
      </c>
      <c r="U390" s="3"/>
      <c r="V390" s="2" t="s">
        <v>1722</v>
      </c>
      <c r="W390" s="2"/>
      <c r="X390" s="2"/>
      <c r="Y390" s="2"/>
      <c r="Z390" s="2"/>
      <c r="AA390" s="2"/>
      <c r="AB390" s="2"/>
      <c r="AC390" s="2" t="s">
        <v>1723</v>
      </c>
    </row>
    <row r="391" spans="1:29" ht="20.100000000000001" customHeight="1">
      <c r="A391" s="2" t="s">
        <v>1724</v>
      </c>
      <c r="B391" s="2" t="s">
        <v>1725</v>
      </c>
      <c r="C391" s="2" t="str">
        <f>sheet1[[#This Row],[Nombre]]&amp;sheet1[[#This Row],[Bp Id]]</f>
        <v>MentorPRD0073</v>
      </c>
      <c r="D391" s="2" t="str">
        <f>VLOOKUP(sheet1[[#This Row],[Columna1]],sheet13[[Columna1]:[Estado]],4,FALSE)</f>
        <v>Operativo</v>
      </c>
      <c r="E391" s="2"/>
      <c r="F391" s="2" t="s">
        <v>32</v>
      </c>
      <c r="G391" s="2" t="s">
        <v>48</v>
      </c>
      <c r="H391" s="2" t="s">
        <v>59</v>
      </c>
      <c r="I391" s="2" t="s">
        <v>95</v>
      </c>
      <c r="J391" s="2" t="s">
        <v>96</v>
      </c>
      <c r="K391" s="2" t="s">
        <v>1726</v>
      </c>
      <c r="L391" s="2" t="s">
        <v>98</v>
      </c>
      <c r="M391" s="2"/>
      <c r="N391" s="2" t="s">
        <v>40</v>
      </c>
      <c r="O391" s="2" t="s">
        <v>41</v>
      </c>
      <c r="P391" s="2" t="s">
        <v>53</v>
      </c>
      <c r="Q391" s="2" t="s">
        <v>53</v>
      </c>
      <c r="R391" s="2" t="s">
        <v>41</v>
      </c>
      <c r="S391" s="2" t="s">
        <v>41</v>
      </c>
      <c r="T391" s="2"/>
      <c r="U391" s="3">
        <v>46044</v>
      </c>
      <c r="V391" s="2" t="s">
        <v>1727</v>
      </c>
      <c r="W391" s="2" t="s">
        <v>252</v>
      </c>
      <c r="X391" s="2" t="s">
        <v>626</v>
      </c>
      <c r="Y391" s="2" t="s">
        <v>127</v>
      </c>
      <c r="Z391" s="2" t="s">
        <v>127</v>
      </c>
      <c r="AA391" s="2" t="s">
        <v>180</v>
      </c>
      <c r="AB391" s="2" t="s">
        <v>415</v>
      </c>
      <c r="AC391" s="2" t="s">
        <v>1728</v>
      </c>
    </row>
    <row r="392" spans="1:29" ht="14.45" customHeight="1">
      <c r="A392" s="2" t="s">
        <v>1729</v>
      </c>
      <c r="B392" s="2" t="s">
        <v>1730</v>
      </c>
      <c r="C392" s="2" t="str">
        <f>sheet1[[#This Row],[Nombre]]&amp;sheet1[[#This Row],[Bp Id]]</f>
        <v>Optimizador de Eventos SOC (ORXLog)SEC0085</v>
      </c>
      <c r="D392" s="2" t="str">
        <f>VLOOKUP(sheet1[[#This Row],[Columna1]],sheet13[[Columna1]:[Estado]],4,FALSE)</f>
        <v>Operativo</v>
      </c>
      <c r="E392" s="2" t="s">
        <v>1731</v>
      </c>
      <c r="F392" s="2" t="s">
        <v>32</v>
      </c>
      <c r="G392" s="2" t="s">
        <v>48</v>
      </c>
      <c r="H392" s="2" t="s">
        <v>34</v>
      </c>
      <c r="I392" s="2" t="s">
        <v>107</v>
      </c>
      <c r="J392" s="2" t="s">
        <v>175</v>
      </c>
      <c r="K392" s="2" t="s">
        <v>176</v>
      </c>
      <c r="L392" s="2" t="s">
        <v>1152</v>
      </c>
      <c r="M392" s="2"/>
      <c r="N392" s="2" t="s">
        <v>40</v>
      </c>
      <c r="O392" s="2" t="s">
        <v>43</v>
      </c>
      <c r="P392" s="2" t="s">
        <v>64</v>
      </c>
      <c r="Q392" s="2" t="s">
        <v>64</v>
      </c>
      <c r="R392" s="2" t="s">
        <v>41</v>
      </c>
      <c r="S392" s="2" t="s">
        <v>43</v>
      </c>
      <c r="T392" s="2" t="s">
        <v>1732</v>
      </c>
      <c r="U392" s="3">
        <v>46066</v>
      </c>
      <c r="V392" s="2" t="s">
        <v>1733</v>
      </c>
      <c r="W392" s="2"/>
      <c r="X392" s="2"/>
      <c r="Y392" s="2"/>
      <c r="Z392" s="2"/>
      <c r="AA392" s="2" t="s">
        <v>1734</v>
      </c>
      <c r="AB392" s="2"/>
      <c r="AC392" s="2"/>
    </row>
    <row r="393" spans="1:29" ht="20.100000000000001" customHeight="1">
      <c r="A393" s="2" t="s">
        <v>1735</v>
      </c>
      <c r="B393" s="2" t="s">
        <v>1736</v>
      </c>
      <c r="C393" s="2" t="str">
        <f>sheet1[[#This Row],[Nombre]]&amp;sheet1[[#This Row],[Bp Id]]</f>
        <v>Solución de Gestión de Incidentes de CiberseguridadSEC0087</v>
      </c>
      <c r="D393" s="2" t="str">
        <f>VLOOKUP(sheet1[[#This Row],[Columna1]],sheet13[[Columna1]:[Estado]],4,FALSE)</f>
        <v>Operativo</v>
      </c>
      <c r="E393" s="2"/>
      <c r="F393" s="2" t="s">
        <v>32</v>
      </c>
      <c r="G393" s="2" t="s">
        <v>48</v>
      </c>
      <c r="H393" s="2" t="s">
        <v>59</v>
      </c>
      <c r="I393" s="2" t="s">
        <v>107</v>
      </c>
      <c r="J393" s="2" t="s">
        <v>1737</v>
      </c>
      <c r="K393" s="2" t="s">
        <v>1738</v>
      </c>
      <c r="L393" s="2" t="s">
        <v>1737</v>
      </c>
      <c r="M393" s="2"/>
      <c r="N393" s="2"/>
      <c r="O393" s="2" t="s">
        <v>43</v>
      </c>
      <c r="P393" s="2"/>
      <c r="Q393" s="2"/>
      <c r="R393" s="2" t="s">
        <v>41</v>
      </c>
      <c r="S393" s="2" t="s">
        <v>43</v>
      </c>
      <c r="T393" s="2"/>
      <c r="U393" s="3"/>
      <c r="V393" s="2"/>
      <c r="W393" s="2"/>
      <c r="X393" s="2"/>
      <c r="Y393" s="2"/>
      <c r="Z393" s="2"/>
      <c r="AA393" s="2"/>
      <c r="AB393" s="2"/>
      <c r="AC393" s="2"/>
    </row>
    <row r="394" spans="1:29" ht="20.100000000000001" customHeight="1">
      <c r="A394" s="2" t="s">
        <v>1739</v>
      </c>
      <c r="B394" s="2" t="s">
        <v>1740</v>
      </c>
      <c r="C394" s="2" t="str">
        <f>sheet1[[#This Row],[Nombre]]&amp;sheet1[[#This Row],[Bp Id]]</f>
        <v>CloudGuard Appsec WAFSEC0080</v>
      </c>
      <c r="D394" s="2" t="e">
        <f>VLOOKUP(sheet1[[#This Row],[Columna1]],sheet13[[Columna1]:[Estado]],4,FALSE)</f>
        <v>#N/A</v>
      </c>
      <c r="E394" s="2"/>
      <c r="F394" s="2" t="s">
        <v>32</v>
      </c>
      <c r="G394" s="2" t="s">
        <v>48</v>
      </c>
      <c r="H394" s="2" t="s">
        <v>59</v>
      </c>
      <c r="I394" s="2" t="s">
        <v>107</v>
      </c>
      <c r="J394" s="2" t="s">
        <v>219</v>
      </c>
      <c r="K394" s="2" t="s">
        <v>176</v>
      </c>
      <c r="L394" s="2" t="s">
        <v>218</v>
      </c>
      <c r="M394" s="2"/>
      <c r="N394" s="2" t="s">
        <v>40</v>
      </c>
      <c r="O394" s="2" t="s">
        <v>41</v>
      </c>
      <c r="P394" s="2" t="s">
        <v>53</v>
      </c>
      <c r="Q394" s="2" t="s">
        <v>64</v>
      </c>
      <c r="R394" s="2" t="s">
        <v>41</v>
      </c>
      <c r="S394" s="2" t="s">
        <v>43</v>
      </c>
      <c r="T394" s="2" t="s">
        <v>1741</v>
      </c>
      <c r="U394" s="3">
        <v>45715</v>
      </c>
      <c r="V394" s="2" t="s">
        <v>1742</v>
      </c>
      <c r="W394" s="2" t="s">
        <v>375</v>
      </c>
      <c r="X394" s="2" t="s">
        <v>253</v>
      </c>
      <c r="Y394" s="2" t="s">
        <v>127</v>
      </c>
      <c r="Z394" s="2" t="s">
        <v>127</v>
      </c>
      <c r="AA394" s="2" t="s">
        <v>180</v>
      </c>
      <c r="AB394" s="2" t="s">
        <v>129</v>
      </c>
      <c r="AC394" s="2" t="s">
        <v>1220</v>
      </c>
    </row>
    <row r="395" spans="1:29" ht="20.100000000000001" customHeight="1">
      <c r="A395" s="2" t="s">
        <v>273</v>
      </c>
      <c r="B395" s="2" t="s">
        <v>1743</v>
      </c>
      <c r="C395" s="2" t="str">
        <f>sheet1[[#This Row],[Nombre]]&amp;sheet1[[#This Row],[Bp Id]]</f>
        <v>Mail Control SystemGI0034</v>
      </c>
      <c r="D395" s="2" t="str">
        <f>VLOOKUP(sheet1[[#This Row],[Columna1]],sheet13[[Columna1]:[Estado]],4,FALSE)</f>
        <v>Operativo</v>
      </c>
      <c r="E395" s="2" t="s">
        <v>119</v>
      </c>
      <c r="F395" s="2" t="s">
        <v>32</v>
      </c>
      <c r="G395" s="2"/>
      <c r="H395" s="2"/>
      <c r="I395" s="2"/>
      <c r="J395" s="2"/>
      <c r="K395" s="2"/>
      <c r="L395" s="2"/>
      <c r="M395" s="2"/>
      <c r="N395" s="2"/>
      <c r="O395" s="2" t="s">
        <v>43</v>
      </c>
      <c r="P395" s="2" t="s">
        <v>53</v>
      </c>
      <c r="Q395" s="2" t="s">
        <v>42</v>
      </c>
      <c r="R395" s="2" t="s">
        <v>41</v>
      </c>
      <c r="S395" s="2" t="s">
        <v>41</v>
      </c>
      <c r="T395" s="2"/>
      <c r="U395" s="3">
        <v>45199</v>
      </c>
      <c r="V395" s="2"/>
      <c r="W395" s="2" t="s">
        <v>100</v>
      </c>
      <c r="X395" s="2" t="s">
        <v>101</v>
      </c>
      <c r="Y395" s="2"/>
      <c r="Z395" s="2"/>
      <c r="AA395" s="2"/>
      <c r="AB395" s="2"/>
      <c r="AC395" s="2"/>
    </row>
    <row r="396" spans="1:29" ht="29.1" customHeight="1">
      <c r="A396" s="2" t="s">
        <v>1744</v>
      </c>
      <c r="B396" s="2" t="s">
        <v>1745</v>
      </c>
      <c r="C396" s="2" t="str">
        <f>sheet1[[#This Row],[Nombre]]&amp;sheet1[[#This Row],[Bp Id]]</f>
        <v>Security ScorecardSEC0078</v>
      </c>
      <c r="D396" s="2" t="str">
        <f>VLOOKUP(sheet1[[#This Row],[Columna1]],sheet13[[Columna1]:[Estado]],4,FALSE)</f>
        <v>Operativo</v>
      </c>
      <c r="E396" s="2"/>
      <c r="F396" s="2" t="s">
        <v>32</v>
      </c>
      <c r="G396" s="2" t="s">
        <v>48</v>
      </c>
      <c r="H396" s="2" t="s">
        <v>59</v>
      </c>
      <c r="I396" s="2" t="s">
        <v>107</v>
      </c>
      <c r="J396" s="2" t="s">
        <v>213</v>
      </c>
      <c r="K396" s="2" t="s">
        <v>176</v>
      </c>
      <c r="L396" s="2" t="s">
        <v>214</v>
      </c>
      <c r="M396" s="2"/>
      <c r="N396" s="2"/>
      <c r="O396" s="2" t="s">
        <v>41</v>
      </c>
      <c r="P396" s="2" t="s">
        <v>64</v>
      </c>
      <c r="Q396" s="2" t="s">
        <v>53</v>
      </c>
      <c r="R396" s="2" t="s">
        <v>41</v>
      </c>
      <c r="S396" s="2" t="s">
        <v>41</v>
      </c>
      <c r="T396" s="2"/>
      <c r="U396" s="3">
        <v>45715</v>
      </c>
      <c r="V396" s="2" t="s">
        <v>1459</v>
      </c>
      <c r="W396" s="2" t="s">
        <v>375</v>
      </c>
      <c r="X396" s="2" t="s">
        <v>252</v>
      </c>
      <c r="Y396" s="2" t="s">
        <v>127</v>
      </c>
      <c r="Z396" s="2"/>
      <c r="AA396" s="2" t="s">
        <v>1746</v>
      </c>
      <c r="AB396" s="2" t="s">
        <v>129</v>
      </c>
      <c r="AC396" s="2" t="s">
        <v>1747</v>
      </c>
    </row>
    <row r="397" spans="1:29" ht="20.100000000000001" customHeight="1">
      <c r="A397" s="2" t="s">
        <v>1748</v>
      </c>
      <c r="B397" s="2" t="s">
        <v>1749</v>
      </c>
      <c r="C397" s="2" t="str">
        <f>sheet1[[#This Row],[Nombre]]&amp;sheet1[[#This Row],[Bp Id]]</f>
        <v>Sistema CustodiaGI0015</v>
      </c>
      <c r="D397" s="2" t="str">
        <f>VLOOKUP(sheet1[[#This Row],[Columna1]],sheet13[[Columna1]:[Estado]],4,FALSE)</f>
        <v>Operativo</v>
      </c>
      <c r="E397" s="2" t="s">
        <v>119</v>
      </c>
      <c r="F397" s="2" t="s">
        <v>32</v>
      </c>
      <c r="G397" s="2"/>
      <c r="H397" s="2"/>
      <c r="I397" s="2"/>
      <c r="J397" s="2"/>
      <c r="K397" s="2"/>
      <c r="L397" s="2"/>
      <c r="M397" s="2"/>
      <c r="N397" s="2"/>
      <c r="O397" s="2" t="s">
        <v>43</v>
      </c>
      <c r="P397" s="2" t="s">
        <v>53</v>
      </c>
      <c r="Q397" s="2" t="s">
        <v>53</v>
      </c>
      <c r="R397" s="2" t="s">
        <v>41</v>
      </c>
      <c r="S397" s="2" t="s">
        <v>41</v>
      </c>
      <c r="T397" s="2"/>
      <c r="U397" s="3">
        <v>45199</v>
      </c>
      <c r="V397" s="2"/>
      <c r="W397" s="2" t="s">
        <v>100</v>
      </c>
      <c r="X397" s="2" t="s">
        <v>101</v>
      </c>
      <c r="Y397" s="2"/>
      <c r="Z397" s="2"/>
      <c r="AA397" s="2"/>
      <c r="AB397" s="2"/>
      <c r="AC397" s="2"/>
    </row>
    <row r="398" spans="1:29" ht="20.100000000000001" customHeight="1">
      <c r="A398" s="2" t="s">
        <v>1750</v>
      </c>
      <c r="B398" s="2" t="s">
        <v>1751</v>
      </c>
      <c r="C398" s="2" t="str">
        <f>sheet1[[#This Row],[Nombre]]&amp;sheet1[[#This Row],[Bp Id]]</f>
        <v>BPM - BizagiSUP0063</v>
      </c>
      <c r="D398" s="2" t="str">
        <f>VLOOKUP(sheet1[[#This Row],[Columna1]],sheet13[[Columna1]:[Estado]],4,FALSE)</f>
        <v>Operativo</v>
      </c>
      <c r="E398" s="2"/>
      <c r="F398" s="2" t="s">
        <v>32</v>
      </c>
      <c r="G398" s="2" t="s">
        <v>33</v>
      </c>
      <c r="H398" s="2" t="s">
        <v>59</v>
      </c>
      <c r="I398" s="2" t="s">
        <v>198</v>
      </c>
      <c r="J398" s="2" t="s">
        <v>240</v>
      </c>
      <c r="K398" s="2" t="s">
        <v>666</v>
      </c>
      <c r="L398" s="2" t="s">
        <v>1211</v>
      </c>
      <c r="M398" s="2"/>
      <c r="N398" s="2"/>
      <c r="O398" s="2" t="s">
        <v>41</v>
      </c>
      <c r="P398" s="2" t="s">
        <v>64</v>
      </c>
      <c r="Q398" s="2" t="s">
        <v>42</v>
      </c>
      <c r="R398" s="2" t="s">
        <v>41</v>
      </c>
      <c r="S398" s="2" t="s">
        <v>41</v>
      </c>
      <c r="T398" s="2" t="s">
        <v>1752</v>
      </c>
      <c r="U398" s="3">
        <v>45382</v>
      </c>
      <c r="V398" s="2"/>
      <c r="W398" s="2" t="s">
        <v>125</v>
      </c>
      <c r="X398" s="2" t="s">
        <v>125</v>
      </c>
      <c r="Y398" s="2" t="s">
        <v>127</v>
      </c>
      <c r="Z398" s="2" t="s">
        <v>127</v>
      </c>
      <c r="AA398" s="2" t="s">
        <v>1753</v>
      </c>
      <c r="AB398" s="2" t="s">
        <v>129</v>
      </c>
      <c r="AC398" s="2" t="s">
        <v>1754</v>
      </c>
    </row>
    <row r="399" spans="1:29" ht="20.100000000000001" customHeight="1">
      <c r="A399" s="2" t="s">
        <v>1755</v>
      </c>
      <c r="B399" s="2" t="s">
        <v>1756</v>
      </c>
      <c r="C399" s="2" t="str">
        <f>sheet1[[#This Row],[Nombre]]&amp;sheet1[[#This Row],[Bp Id]]</f>
        <v>Delivery Servicios a DomiciliioGI0029</v>
      </c>
      <c r="D399" s="2" t="str">
        <f>VLOOKUP(sheet1[[#This Row],[Columna1]],sheet13[[Columna1]:[Estado]],4,FALSE)</f>
        <v>Operativo</v>
      </c>
      <c r="E399" s="2" t="s">
        <v>119</v>
      </c>
      <c r="F399" s="2" t="s">
        <v>32</v>
      </c>
      <c r="G399" s="2"/>
      <c r="H399" s="2"/>
      <c r="I399" s="2"/>
      <c r="J399" s="2"/>
      <c r="K399" s="2"/>
      <c r="L399" s="2"/>
      <c r="M399" s="2"/>
      <c r="N399" s="2"/>
      <c r="O399" s="2" t="s">
        <v>41</v>
      </c>
      <c r="P399" s="2" t="s">
        <v>53</v>
      </c>
      <c r="Q399" s="2" t="s">
        <v>53</v>
      </c>
      <c r="R399" s="2" t="s">
        <v>41</v>
      </c>
      <c r="S399" s="2" t="s">
        <v>41</v>
      </c>
      <c r="T399" s="2"/>
      <c r="U399" s="3">
        <v>45199</v>
      </c>
      <c r="V399" s="2"/>
      <c r="W399" s="2" t="s">
        <v>100</v>
      </c>
      <c r="X399" s="2" t="s">
        <v>101</v>
      </c>
      <c r="Y399" s="2"/>
      <c r="Z399" s="2"/>
      <c r="AA399" s="2"/>
      <c r="AB399" s="2"/>
      <c r="AC399" s="2"/>
    </row>
    <row r="400" spans="1:29" ht="20.100000000000001" customHeight="1">
      <c r="A400" s="2" t="s">
        <v>1757</v>
      </c>
      <c r="B400" s="2" t="s">
        <v>1758</v>
      </c>
      <c r="C400" s="2" t="str">
        <f>sheet1[[#This Row],[Nombre]]&amp;sheet1[[#This Row],[Bp Id]]</f>
        <v>DOCKCEROGI0030</v>
      </c>
      <c r="D400" s="2" t="str">
        <f>VLOOKUP(sheet1[[#This Row],[Columna1]],sheet13[[Columna1]:[Estado]],4,FALSE)</f>
        <v>Operativo</v>
      </c>
      <c r="E400" s="2" t="s">
        <v>119</v>
      </c>
      <c r="F400" s="2" t="s">
        <v>32</v>
      </c>
      <c r="G400" s="2"/>
      <c r="H400" s="2"/>
      <c r="I400" s="2"/>
      <c r="J400" s="2"/>
      <c r="K400" s="2"/>
      <c r="L400" s="2"/>
      <c r="M400" s="2"/>
      <c r="N400" s="2"/>
      <c r="O400" s="2" t="s">
        <v>41</v>
      </c>
      <c r="P400" s="2" t="s">
        <v>53</v>
      </c>
      <c r="Q400" s="2" t="s">
        <v>53</v>
      </c>
      <c r="R400" s="2" t="s">
        <v>41</v>
      </c>
      <c r="S400" s="2" t="s">
        <v>41</v>
      </c>
      <c r="T400" s="2"/>
      <c r="U400" s="3">
        <v>45199</v>
      </c>
      <c r="V400" s="2"/>
      <c r="W400" s="2" t="s">
        <v>100</v>
      </c>
      <c r="X400" s="2" t="s">
        <v>101</v>
      </c>
      <c r="Y400" s="2"/>
      <c r="Z400" s="2"/>
      <c r="AA400" s="2"/>
      <c r="AB400" s="2"/>
      <c r="AC400" s="2"/>
    </row>
    <row r="401" spans="1:29" ht="20.100000000000001" customHeight="1">
      <c r="A401" s="2" t="s">
        <v>1759</v>
      </c>
      <c r="B401" s="2" t="s">
        <v>1760</v>
      </c>
      <c r="C401" s="2" t="str">
        <f>sheet1[[#This Row],[Nombre]]&amp;sheet1[[#This Row],[Bp Id]]</f>
        <v>GarantiasGI0031</v>
      </c>
      <c r="D401" s="2" t="str">
        <f>VLOOKUP(sheet1[[#This Row],[Columna1]],sheet13[[Columna1]:[Estado]],4,FALSE)</f>
        <v>Operativo</v>
      </c>
      <c r="E401" s="2" t="s">
        <v>119</v>
      </c>
      <c r="F401" s="2" t="s">
        <v>32</v>
      </c>
      <c r="G401" s="2"/>
      <c r="H401" s="2"/>
      <c r="I401" s="2"/>
      <c r="J401" s="2"/>
      <c r="K401" s="2"/>
      <c r="L401" s="2"/>
      <c r="M401" s="2"/>
      <c r="N401" s="2"/>
      <c r="O401" s="2" t="s">
        <v>43</v>
      </c>
      <c r="P401" s="2" t="s">
        <v>53</v>
      </c>
      <c r="Q401" s="2" t="s">
        <v>53</v>
      </c>
      <c r="R401" s="2" t="s">
        <v>41</v>
      </c>
      <c r="S401" s="2" t="s">
        <v>41</v>
      </c>
      <c r="T401" s="2"/>
      <c r="U401" s="3">
        <v>45199</v>
      </c>
      <c r="V401" s="2"/>
      <c r="W401" s="2" t="s">
        <v>100</v>
      </c>
      <c r="X401" s="2" t="s">
        <v>101</v>
      </c>
      <c r="Y401" s="2"/>
      <c r="Z401" s="2"/>
      <c r="AA401" s="2"/>
      <c r="AB401" s="2"/>
      <c r="AC401" s="2"/>
    </row>
    <row r="402" spans="1:29" ht="29.1" customHeight="1">
      <c r="A402" s="2" t="s">
        <v>1761</v>
      </c>
      <c r="B402" s="2" t="s">
        <v>1762</v>
      </c>
      <c r="C402" s="2" t="str">
        <f>sheet1[[#This Row],[Nombre]]&amp;sheet1[[#This Row],[Bp Id]]</f>
        <v>Gestión de LiquidezSUP0008</v>
      </c>
      <c r="D402" s="2" t="str">
        <f>VLOOKUP(sheet1[[#This Row],[Columna1]],sheet13[[Columna1]:[Estado]],4,FALSE)</f>
        <v>Retirado</v>
      </c>
      <c r="E402" s="2"/>
      <c r="F402" s="2" t="s">
        <v>47</v>
      </c>
      <c r="G402" s="2" t="s">
        <v>48</v>
      </c>
      <c r="H402" s="2" t="s">
        <v>34</v>
      </c>
      <c r="I402" s="2" t="s">
        <v>225</v>
      </c>
      <c r="J402" s="2" t="s">
        <v>226</v>
      </c>
      <c r="K402" s="2"/>
      <c r="L402" s="2" t="s">
        <v>1763</v>
      </c>
      <c r="M402" s="2"/>
      <c r="N402" s="2"/>
      <c r="O402" s="2" t="s">
        <v>43</v>
      </c>
      <c r="P402" s="2" t="s">
        <v>53</v>
      </c>
      <c r="Q402" s="2" t="s">
        <v>53</v>
      </c>
      <c r="R402" s="2" t="s">
        <v>41</v>
      </c>
      <c r="S402" s="2" t="s">
        <v>41</v>
      </c>
      <c r="T402" s="2" t="s">
        <v>1764</v>
      </c>
      <c r="U402" s="3">
        <v>45199</v>
      </c>
      <c r="V402" s="2"/>
      <c r="W402" s="2" t="s">
        <v>100</v>
      </c>
      <c r="X402" s="2" t="s">
        <v>101</v>
      </c>
      <c r="Y402" s="2"/>
      <c r="Z402" s="2"/>
      <c r="AA402" s="2"/>
      <c r="AB402" s="2"/>
      <c r="AC402" s="2"/>
    </row>
    <row r="403" spans="1:29" ht="20.100000000000001" customHeight="1">
      <c r="A403" s="2" t="s">
        <v>1765</v>
      </c>
      <c r="B403" s="2" t="s">
        <v>1766</v>
      </c>
      <c r="C403" s="2" t="str">
        <f>sheet1[[#This Row],[Nombre]]&amp;sheet1[[#This Row],[Bp Id]]</f>
        <v>Gestor Tributario CredifeGI0032</v>
      </c>
      <c r="D403" s="2" t="str">
        <f>VLOOKUP(sheet1[[#This Row],[Columna1]],sheet13[[Columna1]:[Estado]],4,FALSE)</f>
        <v>Operativo</v>
      </c>
      <c r="E403" s="2" t="s">
        <v>119</v>
      </c>
      <c r="F403" s="2" t="s">
        <v>32</v>
      </c>
      <c r="G403" s="2"/>
      <c r="H403" s="2"/>
      <c r="I403" s="2"/>
      <c r="J403" s="2"/>
      <c r="K403" s="2"/>
      <c r="L403" s="2"/>
      <c r="M403" s="2"/>
      <c r="N403" s="2"/>
      <c r="O403" s="2" t="s">
        <v>43</v>
      </c>
      <c r="P403" s="2" t="s">
        <v>53</v>
      </c>
      <c r="Q403" s="2" t="s">
        <v>53</v>
      </c>
      <c r="R403" s="2" t="s">
        <v>41</v>
      </c>
      <c r="S403" s="2" t="s">
        <v>41</v>
      </c>
      <c r="T403" s="2"/>
      <c r="U403" s="3">
        <v>45199</v>
      </c>
      <c r="V403" s="2"/>
      <c r="W403" s="2" t="s">
        <v>100</v>
      </c>
      <c r="X403" s="2" t="s">
        <v>101</v>
      </c>
      <c r="Y403" s="2"/>
      <c r="Z403" s="2"/>
      <c r="AA403" s="2"/>
      <c r="AB403" s="2"/>
      <c r="AC403" s="2"/>
    </row>
    <row r="404" spans="1:29" ht="20.100000000000001" customHeight="1">
      <c r="A404" s="2" t="s">
        <v>1767</v>
      </c>
      <c r="B404" s="2" t="s">
        <v>1768</v>
      </c>
      <c r="C404" s="2" t="str">
        <f>sheet1[[#This Row],[Nombre]]&amp;sheet1[[#This Row],[Bp Id]]</f>
        <v>Lista ObservadosGI0033</v>
      </c>
      <c r="D404" s="2" t="str">
        <f>VLOOKUP(sheet1[[#This Row],[Columna1]],sheet13[[Columna1]:[Estado]],4,FALSE)</f>
        <v>Operativo</v>
      </c>
      <c r="E404" s="2" t="s">
        <v>119</v>
      </c>
      <c r="F404" s="2" t="s">
        <v>32</v>
      </c>
      <c r="G404" s="2"/>
      <c r="H404" s="2"/>
      <c r="I404" s="2"/>
      <c r="J404" s="2"/>
      <c r="K404" s="2"/>
      <c r="L404" s="2"/>
      <c r="M404" s="2"/>
      <c r="N404" s="2"/>
      <c r="O404" s="2" t="s">
        <v>43</v>
      </c>
      <c r="P404" s="2" t="s">
        <v>53</v>
      </c>
      <c r="Q404" s="2" t="s">
        <v>53</v>
      </c>
      <c r="R404" s="2" t="s">
        <v>41</v>
      </c>
      <c r="S404" s="2" t="s">
        <v>41</v>
      </c>
      <c r="T404" s="2"/>
      <c r="U404" s="3">
        <v>45199</v>
      </c>
      <c r="V404" s="2"/>
      <c r="W404" s="2" t="s">
        <v>100</v>
      </c>
      <c r="X404" s="2" t="s">
        <v>101</v>
      </c>
      <c r="Y404" s="2"/>
      <c r="Z404" s="2"/>
      <c r="AA404" s="2"/>
      <c r="AB404" s="2"/>
      <c r="AC404" s="2"/>
    </row>
    <row r="405" spans="1:29" ht="20.100000000000001" customHeight="1">
      <c r="A405" s="2" t="s">
        <v>1769</v>
      </c>
      <c r="B405" s="2" t="s">
        <v>1770</v>
      </c>
      <c r="C405" s="2" t="str">
        <f>sheet1[[#This Row],[Nombre]]&amp;sheet1[[#This Row],[Bp Id]]</f>
        <v>MALLA FILIALESGI0035</v>
      </c>
      <c r="D405" s="2" t="str">
        <f>VLOOKUP(sheet1[[#This Row],[Columna1]],sheet13[[Columna1]:[Estado]],4,FALSE)</f>
        <v>Operativo</v>
      </c>
      <c r="E405" s="2" t="s">
        <v>1771</v>
      </c>
      <c r="F405" s="2" t="s">
        <v>32</v>
      </c>
      <c r="G405" s="2"/>
      <c r="H405" s="2"/>
      <c r="I405" s="2"/>
      <c r="J405" s="2"/>
      <c r="K405" s="2"/>
      <c r="L405" s="2"/>
      <c r="M405" s="2"/>
      <c r="N405" s="2"/>
      <c r="O405" s="2" t="s">
        <v>43</v>
      </c>
      <c r="P405" s="2" t="s">
        <v>53</v>
      </c>
      <c r="Q405" s="2" t="s">
        <v>53</v>
      </c>
      <c r="R405" s="2" t="s">
        <v>41</v>
      </c>
      <c r="S405" s="2" t="s">
        <v>41</v>
      </c>
      <c r="T405" s="2"/>
      <c r="U405" s="3">
        <v>45199</v>
      </c>
      <c r="V405" s="2"/>
      <c r="W405" s="2" t="s">
        <v>100</v>
      </c>
      <c r="X405" s="2" t="s">
        <v>101</v>
      </c>
      <c r="Y405" s="2"/>
      <c r="Z405" s="2"/>
      <c r="AA405" s="2"/>
      <c r="AB405" s="2"/>
      <c r="AC405" s="2"/>
    </row>
    <row r="406" spans="1:29" ht="20.100000000000001" customHeight="1">
      <c r="A406" s="2" t="s">
        <v>1772</v>
      </c>
      <c r="B406" s="2" t="s">
        <v>1773</v>
      </c>
      <c r="C406" s="2" t="str">
        <f>sheet1[[#This Row],[Nombre]]&amp;sheet1[[#This Row],[Bp Id]]</f>
        <v>Modelo PESGI0036</v>
      </c>
      <c r="D406" s="2" t="str">
        <f>VLOOKUP(sheet1[[#This Row],[Columna1]],sheet13[[Columna1]:[Estado]],4,FALSE)</f>
        <v>Operativo</v>
      </c>
      <c r="E406" s="2" t="s">
        <v>119</v>
      </c>
      <c r="F406" s="2" t="s">
        <v>32</v>
      </c>
      <c r="G406" s="2"/>
      <c r="H406" s="2"/>
      <c r="I406" s="2"/>
      <c r="J406" s="2"/>
      <c r="K406" s="2"/>
      <c r="L406" s="2"/>
      <c r="M406" s="2"/>
      <c r="N406" s="2"/>
      <c r="O406" s="2" t="s">
        <v>43</v>
      </c>
      <c r="P406" s="2" t="s">
        <v>42</v>
      </c>
      <c r="Q406" s="2" t="s">
        <v>53</v>
      </c>
      <c r="R406" s="2" t="s">
        <v>41</v>
      </c>
      <c r="S406" s="2" t="s">
        <v>41</v>
      </c>
      <c r="T406" s="2" t="s">
        <v>119</v>
      </c>
      <c r="U406" s="3">
        <v>45199</v>
      </c>
      <c r="V406" s="2"/>
      <c r="W406" s="2" t="s">
        <v>100</v>
      </c>
      <c r="X406" s="2" t="s">
        <v>101</v>
      </c>
      <c r="Y406" s="2"/>
      <c r="Z406" s="2"/>
      <c r="AA406" s="2"/>
      <c r="AB406" s="2"/>
      <c r="AC406" s="2"/>
    </row>
    <row r="407" spans="1:29" ht="20.100000000000001" customHeight="1">
      <c r="A407" s="2" t="s">
        <v>1774</v>
      </c>
      <c r="B407" s="2" t="s">
        <v>1775</v>
      </c>
      <c r="C407" s="2" t="str">
        <f>sheet1[[#This Row],[Nombre]]&amp;sheet1[[#This Row],[Bp Id]]</f>
        <v>SIOPRD0068</v>
      </c>
      <c r="D407" s="2" t="str">
        <f>VLOOKUP(sheet1[[#This Row],[Columna1]],sheet13[[Columna1]:[Estado]],4,FALSE)</f>
        <v>Operativo</v>
      </c>
      <c r="E407" s="2"/>
      <c r="F407" s="2" t="s">
        <v>32</v>
      </c>
      <c r="G407" s="2" t="s">
        <v>48</v>
      </c>
      <c r="H407" s="2" t="s">
        <v>59</v>
      </c>
      <c r="I407" s="2" t="s">
        <v>95</v>
      </c>
      <c r="J407" s="2" t="s">
        <v>96</v>
      </c>
      <c r="K407" s="2" t="s">
        <v>1703</v>
      </c>
      <c r="L407" s="2" t="s">
        <v>508</v>
      </c>
      <c r="M407" s="2"/>
      <c r="N407" s="2"/>
      <c r="O407" s="2" t="s">
        <v>41</v>
      </c>
      <c r="P407" s="2" t="s">
        <v>64</v>
      </c>
      <c r="Q407" s="2" t="s">
        <v>53</v>
      </c>
      <c r="R407" s="2" t="s">
        <v>41</v>
      </c>
      <c r="S407" s="2" t="s">
        <v>41</v>
      </c>
      <c r="T407" s="2"/>
      <c r="U407" s="3">
        <v>45812</v>
      </c>
      <c r="V407" s="2" t="s">
        <v>974</v>
      </c>
      <c r="W407" s="2" t="s">
        <v>100</v>
      </c>
      <c r="X407" s="2" t="s">
        <v>851</v>
      </c>
      <c r="Y407" s="2" t="s">
        <v>127</v>
      </c>
      <c r="Z407" s="2"/>
      <c r="AA407" s="2" t="s">
        <v>180</v>
      </c>
      <c r="AB407" s="2" t="s">
        <v>129</v>
      </c>
      <c r="AC407" s="2" t="s">
        <v>1776</v>
      </c>
    </row>
    <row r="408" spans="1:29" ht="20.100000000000001" customHeight="1">
      <c r="A408" s="2" t="s">
        <v>1777</v>
      </c>
      <c r="B408" s="2" t="s">
        <v>1778</v>
      </c>
      <c r="C408" s="2" t="str">
        <f>sheet1[[#This Row],[Nombre]]&amp;sheet1[[#This Row],[Bp Id]]</f>
        <v>Sistema de Providencias JudicialesSUP0065</v>
      </c>
      <c r="D408" s="2" t="str">
        <f>VLOOKUP(sheet1[[#This Row],[Columna1]],sheet13[[Columna1]:[Estado]],4,FALSE)</f>
        <v>Operativo</v>
      </c>
      <c r="E408" s="2"/>
      <c r="F408" s="2" t="s">
        <v>32</v>
      </c>
      <c r="G408" s="2" t="s">
        <v>48</v>
      </c>
      <c r="H408" s="2" t="s">
        <v>59</v>
      </c>
      <c r="I408" s="2" t="s">
        <v>225</v>
      </c>
      <c r="J408" s="2" t="s">
        <v>226</v>
      </c>
      <c r="K408" s="2" t="s">
        <v>1779</v>
      </c>
      <c r="L408" s="2" t="s">
        <v>228</v>
      </c>
      <c r="M408" s="2"/>
      <c r="N408" s="2"/>
      <c r="O408" s="2" t="s">
        <v>43</v>
      </c>
      <c r="P408" s="2" t="s">
        <v>64</v>
      </c>
      <c r="Q408" s="2" t="s">
        <v>64</v>
      </c>
      <c r="R408" s="2" t="s">
        <v>41</v>
      </c>
      <c r="S408" s="2" t="s">
        <v>41</v>
      </c>
      <c r="T408" s="2"/>
      <c r="U408" s="3">
        <v>45924</v>
      </c>
      <c r="V408" s="2" t="s">
        <v>1780</v>
      </c>
      <c r="W408" s="2" t="s">
        <v>375</v>
      </c>
      <c r="X408" s="2" t="s">
        <v>187</v>
      </c>
      <c r="Y408" s="2" t="s">
        <v>376</v>
      </c>
      <c r="Z408" s="2" t="s">
        <v>127</v>
      </c>
      <c r="AA408" s="2" t="s">
        <v>263</v>
      </c>
      <c r="AB408" s="2" t="s">
        <v>129</v>
      </c>
      <c r="AC408" s="2" t="s">
        <v>1781</v>
      </c>
    </row>
    <row r="409" spans="1:29" ht="20.100000000000001" customHeight="1">
      <c r="A409" s="2" t="s">
        <v>1782</v>
      </c>
      <c r="B409" s="2" t="s">
        <v>1783</v>
      </c>
      <c r="C409" s="2" t="str">
        <f>sheet1[[#This Row],[Nombre]]&amp;sheet1[[#This Row],[Bp Id]]</f>
        <v>SnykSEC0059</v>
      </c>
      <c r="D409" s="2" t="str">
        <f>VLOOKUP(sheet1[[#This Row],[Columna1]],sheet13[[Columna1]:[Estado]],4,FALSE)</f>
        <v>Operativo</v>
      </c>
      <c r="E409" s="2"/>
      <c r="F409" s="2" t="s">
        <v>32</v>
      </c>
      <c r="G409" s="2" t="s">
        <v>48</v>
      </c>
      <c r="H409" s="2" t="s">
        <v>345</v>
      </c>
      <c r="I409" s="2" t="s">
        <v>107</v>
      </c>
      <c r="J409" s="2" t="s">
        <v>1330</v>
      </c>
      <c r="K409" s="2" t="s">
        <v>176</v>
      </c>
      <c r="L409" s="2" t="s">
        <v>214</v>
      </c>
      <c r="M409" s="2"/>
      <c r="N409" s="2"/>
      <c r="O409" s="2" t="s">
        <v>41</v>
      </c>
      <c r="P409" s="2" t="s">
        <v>64</v>
      </c>
      <c r="Q409" s="2" t="s">
        <v>64</v>
      </c>
      <c r="R409" s="2" t="s">
        <v>41</v>
      </c>
      <c r="S409" s="2" t="s">
        <v>41</v>
      </c>
      <c r="T409" s="2"/>
      <c r="U409" s="3">
        <v>45716</v>
      </c>
      <c r="V409" s="2" t="s">
        <v>1784</v>
      </c>
      <c r="W409" s="2" t="s">
        <v>101</v>
      </c>
      <c r="X409" s="2" t="s">
        <v>146</v>
      </c>
      <c r="Y409" s="2" t="s">
        <v>1332</v>
      </c>
      <c r="Z409" s="2"/>
      <c r="AA409" s="2" t="s">
        <v>180</v>
      </c>
      <c r="AB409" s="2" t="s">
        <v>129</v>
      </c>
      <c r="AC409" s="2" t="s">
        <v>1785</v>
      </c>
    </row>
    <row r="410" spans="1:29" ht="20.100000000000001" customHeight="1">
      <c r="A410" s="2" t="s">
        <v>1786</v>
      </c>
      <c r="B410" s="2" t="s">
        <v>1787</v>
      </c>
      <c r="C410" s="2" t="str">
        <f>sheet1[[#This Row],[Nombre]]&amp;sheet1[[#This Row],[Bp Id]]</f>
        <v>Tarjetas de CreditoCOMPAY0020</v>
      </c>
      <c r="D410" s="2" t="str">
        <f>VLOOKUP(sheet1[[#This Row],[Columna1]],sheet13[[Columna1]:[Estado]],4,FALSE)</f>
        <v>No operativo</v>
      </c>
      <c r="E410" s="2"/>
      <c r="F410" s="2" t="s">
        <v>1788</v>
      </c>
      <c r="G410" s="2" t="s">
        <v>48</v>
      </c>
      <c r="H410" s="2" t="s">
        <v>34</v>
      </c>
      <c r="I410" s="2" t="s">
        <v>141</v>
      </c>
      <c r="J410" s="2" t="s">
        <v>142</v>
      </c>
      <c r="K410" s="2"/>
      <c r="L410" s="2" t="s">
        <v>151</v>
      </c>
      <c r="M410" s="2"/>
      <c r="N410" s="2"/>
      <c r="O410" s="2" t="s">
        <v>43</v>
      </c>
      <c r="P410" s="2" t="s">
        <v>53</v>
      </c>
      <c r="Q410" s="2" t="s">
        <v>53</v>
      </c>
      <c r="R410" s="2" t="s">
        <v>41</v>
      </c>
      <c r="S410" s="2" t="s">
        <v>41</v>
      </c>
      <c r="T410" s="2" t="s">
        <v>119</v>
      </c>
      <c r="U410" s="3">
        <v>45199</v>
      </c>
      <c r="V410" s="2"/>
      <c r="W410" s="2" t="s">
        <v>100</v>
      </c>
      <c r="X410" s="2" t="s">
        <v>101</v>
      </c>
      <c r="Y410" s="2"/>
      <c r="Z410" s="2"/>
      <c r="AA410" s="2"/>
      <c r="AB410" s="2"/>
      <c r="AC410" s="2"/>
    </row>
    <row r="411" spans="1:29" ht="20.100000000000001" customHeight="1">
      <c r="A411" s="2" t="s">
        <v>1789</v>
      </c>
      <c r="B411" s="2" t="s">
        <v>1790</v>
      </c>
      <c r="C411" s="2" t="str">
        <f>sheet1[[#This Row],[Nombre]]&amp;sheet1[[#This Row],[Bp Id]]</f>
        <v>Transaccion MotivoGI0016</v>
      </c>
      <c r="D411" s="2" t="str">
        <f>VLOOKUP(sheet1[[#This Row],[Columna1]],sheet13[[Columna1]:[Estado]],4,FALSE)</f>
        <v>Operativo</v>
      </c>
      <c r="E411" s="2" t="s">
        <v>119</v>
      </c>
      <c r="F411" s="2" t="s">
        <v>32</v>
      </c>
      <c r="G411" s="2"/>
      <c r="H411" s="2"/>
      <c r="I411" s="2"/>
      <c r="J411" s="2"/>
      <c r="K411" s="2"/>
      <c r="L411" s="2"/>
      <c r="M411" s="2"/>
      <c r="N411" s="2"/>
      <c r="O411" s="2" t="s">
        <v>43</v>
      </c>
      <c r="P411" s="2" t="s">
        <v>53</v>
      </c>
      <c r="Q411" s="2" t="s">
        <v>53</v>
      </c>
      <c r="R411" s="2" t="s">
        <v>41</v>
      </c>
      <c r="S411" s="2" t="s">
        <v>41</v>
      </c>
      <c r="T411" s="2"/>
      <c r="U411" s="3">
        <v>45199</v>
      </c>
      <c r="V411" s="2"/>
      <c r="W411" s="2" t="s">
        <v>100</v>
      </c>
      <c r="X411" s="2" t="s">
        <v>101</v>
      </c>
      <c r="Y411" s="2"/>
      <c r="Z411" s="2"/>
      <c r="AA411" s="2"/>
      <c r="AB411" s="2"/>
      <c r="AC411" s="2"/>
    </row>
    <row r="412" spans="1:29" ht="57.95" customHeight="1">
      <c r="A412" s="2" t="s">
        <v>1791</v>
      </c>
      <c r="B412" s="2" t="s">
        <v>1792</v>
      </c>
      <c r="C412" s="2" t="str">
        <f>sheet1[[#This Row],[Nombre]]&amp;sheet1[[#This Row],[Bp Id]]</f>
        <v>VMware vCenterITM0060</v>
      </c>
      <c r="D412" s="2" t="str">
        <f>VLOOKUP(sheet1[[#This Row],[Columna1]],sheet13[[Columna1]:[Estado]],4,FALSE)</f>
        <v>Operativo</v>
      </c>
      <c r="E412" s="2"/>
      <c r="F412" s="2" t="s">
        <v>32</v>
      </c>
      <c r="G412" s="2" t="s">
        <v>76</v>
      </c>
      <c r="H412" s="2" t="s">
        <v>34</v>
      </c>
      <c r="I412" s="2" t="s">
        <v>68</v>
      </c>
      <c r="J412" s="2" t="s">
        <v>69</v>
      </c>
      <c r="K412" s="2" t="s">
        <v>82</v>
      </c>
      <c r="L412" s="2" t="s">
        <v>1715</v>
      </c>
      <c r="M412" s="2"/>
      <c r="N412" s="2"/>
      <c r="O412" s="2" t="s">
        <v>43</v>
      </c>
      <c r="P412" s="2" t="s">
        <v>42</v>
      </c>
      <c r="Q412" s="2" t="s">
        <v>53</v>
      </c>
      <c r="R412" s="2" t="s">
        <v>41</v>
      </c>
      <c r="S412" s="2" t="s">
        <v>41</v>
      </c>
      <c r="T412" s="2" t="s">
        <v>1793</v>
      </c>
      <c r="U412" s="3">
        <v>45579</v>
      </c>
      <c r="V412" s="2" t="s">
        <v>1131</v>
      </c>
      <c r="W412" s="2" t="s">
        <v>146</v>
      </c>
      <c r="X412" s="2" t="s">
        <v>590</v>
      </c>
      <c r="Y412" s="2" t="s">
        <v>127</v>
      </c>
      <c r="Z412" s="2" t="s">
        <v>127</v>
      </c>
      <c r="AA412" s="2" t="s">
        <v>1794</v>
      </c>
      <c r="AB412" s="2" t="s">
        <v>129</v>
      </c>
      <c r="AC412" s="2" t="s">
        <v>1795</v>
      </c>
    </row>
    <row r="413" spans="1:29" ht="14.45" customHeight="1">
      <c r="A413" s="2" t="s">
        <v>1796</v>
      </c>
      <c r="B413" s="2" t="s">
        <v>1797</v>
      </c>
      <c r="C413" s="2" t="str">
        <f>sheet1[[#This Row],[Nombre]]&amp;sheet1[[#This Row],[Bp Id]]</f>
        <v>CitibankGI0017</v>
      </c>
      <c r="D413" s="2" t="str">
        <f>VLOOKUP(sheet1[[#This Row],[Columna1]],sheet13[[Columna1]:[Estado]],4,FALSE)</f>
        <v>Operativo</v>
      </c>
      <c r="E413" s="2" t="s">
        <v>1798</v>
      </c>
      <c r="F413" s="2" t="s">
        <v>32</v>
      </c>
      <c r="G413" s="2" t="s">
        <v>76</v>
      </c>
      <c r="H413" s="2" t="s">
        <v>59</v>
      </c>
      <c r="I413" s="2"/>
      <c r="J413" s="2"/>
      <c r="K413" s="2"/>
      <c r="L413" s="2" t="s">
        <v>1031</v>
      </c>
      <c r="M413" s="2"/>
      <c r="N413" s="2" t="s">
        <v>40</v>
      </c>
      <c r="O413" s="2" t="s">
        <v>41</v>
      </c>
      <c r="P413" s="2" t="s">
        <v>53</v>
      </c>
      <c r="Q413" s="2" t="s">
        <v>53</v>
      </c>
      <c r="R413" s="2" t="s">
        <v>41</v>
      </c>
      <c r="S413" s="2" t="s">
        <v>41</v>
      </c>
      <c r="T413" s="2" t="s">
        <v>1799</v>
      </c>
      <c r="U413" s="3">
        <v>46160</v>
      </c>
      <c r="V413" s="2"/>
      <c r="W413" s="2" t="s">
        <v>375</v>
      </c>
      <c r="X413" s="2"/>
      <c r="Y413" s="2" t="s">
        <v>127</v>
      </c>
      <c r="Z413" s="2" t="s">
        <v>127</v>
      </c>
      <c r="AA413" s="2" t="s">
        <v>1800</v>
      </c>
      <c r="AB413" s="2" t="s">
        <v>415</v>
      </c>
      <c r="AC413" s="2" t="s">
        <v>1801</v>
      </c>
    </row>
    <row r="414" spans="1:29" ht="20.100000000000001" customHeight="1">
      <c r="A414" s="2" t="s">
        <v>1802</v>
      </c>
      <c r="B414" s="2" t="s">
        <v>1803</v>
      </c>
      <c r="C414" s="2" t="str">
        <f>sheet1[[#This Row],[Nombre]]&amp;sheet1[[#This Row],[Bp Id]]</f>
        <v>TeamMatePlus (Auditoría Interna)RIS0019</v>
      </c>
      <c r="D414" s="2" t="str">
        <f>VLOOKUP(sheet1[[#This Row],[Columna1]],sheet13[[Columna1]:[Estado]],4,FALSE)</f>
        <v>Operativo</v>
      </c>
      <c r="E414" s="2"/>
      <c r="F414" s="2" t="s">
        <v>32</v>
      </c>
      <c r="G414" s="2" t="s">
        <v>48</v>
      </c>
      <c r="H414" s="2" t="s">
        <v>59</v>
      </c>
      <c r="I414" s="2" t="s">
        <v>225</v>
      </c>
      <c r="J414" s="2" t="s">
        <v>226</v>
      </c>
      <c r="K414" s="2" t="s">
        <v>227</v>
      </c>
      <c r="L414" s="2" t="s">
        <v>228</v>
      </c>
      <c r="M414" s="2"/>
      <c r="N414" s="2"/>
      <c r="O414" s="2" t="s">
        <v>41</v>
      </c>
      <c r="P414" s="2" t="s">
        <v>64</v>
      </c>
      <c r="Q414" s="2" t="s">
        <v>53</v>
      </c>
      <c r="R414" s="2" t="s">
        <v>41</v>
      </c>
      <c r="S414" s="2" t="s">
        <v>41</v>
      </c>
      <c r="T414" s="2"/>
      <c r="U414" s="3">
        <v>45770</v>
      </c>
      <c r="V414" s="2" t="s">
        <v>1804</v>
      </c>
      <c r="W414" s="2" t="s">
        <v>253</v>
      </c>
      <c r="X414" s="2" t="s">
        <v>101</v>
      </c>
      <c r="Y414" s="2" t="s">
        <v>127</v>
      </c>
      <c r="Z414" s="2" t="s">
        <v>127</v>
      </c>
      <c r="AA414" s="2" t="s">
        <v>180</v>
      </c>
      <c r="AB414" s="2" t="s">
        <v>129</v>
      </c>
      <c r="AC414" s="2" t="s">
        <v>1805</v>
      </c>
    </row>
    <row r="415" spans="1:29" ht="116.1" customHeight="1">
      <c r="A415" s="2" t="s">
        <v>1806</v>
      </c>
      <c r="B415" s="2" t="s">
        <v>1807</v>
      </c>
      <c r="C415" s="2" t="str">
        <f>sheet1[[#This Row],[Nombre]]&amp;sheet1[[#This Row],[Bp Id]]</f>
        <v>GPOADminITM0114</v>
      </c>
      <c r="D415" s="2" t="str">
        <f>VLOOKUP(sheet1[[#This Row],[Columna1]],sheet13[[Columna1]:[Estado]],4,FALSE)</f>
        <v>Operativo</v>
      </c>
      <c r="E415" s="2" t="s">
        <v>1808</v>
      </c>
      <c r="F415" s="2" t="s">
        <v>32</v>
      </c>
      <c r="G415" s="2" t="s">
        <v>48</v>
      </c>
      <c r="H415" s="2" t="s">
        <v>59</v>
      </c>
      <c r="I415" s="2" t="s">
        <v>232</v>
      </c>
      <c r="J415" s="2" t="s">
        <v>234</v>
      </c>
      <c r="K415" s="2" t="s">
        <v>1163</v>
      </c>
      <c r="L415" s="2" t="s">
        <v>1809</v>
      </c>
      <c r="M415" s="2"/>
      <c r="N415" s="2" t="s">
        <v>40</v>
      </c>
      <c r="O415" s="2" t="s">
        <v>43</v>
      </c>
      <c r="P415" s="2" t="s">
        <v>42</v>
      </c>
      <c r="Q415" s="2" t="s">
        <v>42</v>
      </c>
      <c r="R415" s="2" t="s">
        <v>43</v>
      </c>
      <c r="S415" s="2" t="s">
        <v>43</v>
      </c>
      <c r="T415" s="2" t="s">
        <v>1810</v>
      </c>
      <c r="U415" s="3">
        <v>45994</v>
      </c>
      <c r="V415" s="2" t="s">
        <v>1811</v>
      </c>
      <c r="W415" s="2"/>
      <c r="X415" s="2"/>
      <c r="Y415" s="2"/>
      <c r="Z415" s="2"/>
      <c r="AA415" s="2" t="s">
        <v>1812</v>
      </c>
      <c r="AB415" s="2"/>
      <c r="AC415" s="2"/>
    </row>
    <row r="416" spans="1:29" ht="14.45" customHeight="1">
      <c r="A416" s="2" t="s">
        <v>1813</v>
      </c>
      <c r="B416" s="2" t="s">
        <v>1814</v>
      </c>
      <c r="C416" s="2" t="str">
        <f>sheet1[[#This Row],[Nombre]]&amp;sheet1[[#This Row],[Bp Id]]</f>
        <v>Portal de Negocio AutomotrizPRD0069</v>
      </c>
      <c r="D416" s="2" t="str">
        <f>VLOOKUP(sheet1[[#This Row],[Columna1]],sheet13[[Columna1]:[Estado]],4,FALSE)</f>
        <v>Operativo</v>
      </c>
      <c r="E416" s="2" t="s">
        <v>1815</v>
      </c>
      <c r="F416" s="2" t="s">
        <v>32</v>
      </c>
      <c r="G416" s="2" t="s">
        <v>48</v>
      </c>
      <c r="H416" s="2" t="s">
        <v>59</v>
      </c>
      <c r="I416" s="2" t="s">
        <v>95</v>
      </c>
      <c r="J416" s="2" t="s">
        <v>96</v>
      </c>
      <c r="K416" s="2" t="s">
        <v>1703</v>
      </c>
      <c r="L416" s="2" t="s">
        <v>508</v>
      </c>
      <c r="M416" s="2"/>
      <c r="N416" s="2" t="s">
        <v>40</v>
      </c>
      <c r="O416" s="2" t="s">
        <v>43</v>
      </c>
      <c r="P416" s="2" t="s">
        <v>64</v>
      </c>
      <c r="Q416" s="2" t="s">
        <v>64</v>
      </c>
      <c r="R416" s="2" t="s">
        <v>43</v>
      </c>
      <c r="S416" s="2" t="s">
        <v>43</v>
      </c>
      <c r="T416" s="2" t="s">
        <v>1816</v>
      </c>
      <c r="U416" s="3"/>
      <c r="V416" s="2" t="s">
        <v>1817</v>
      </c>
      <c r="W416" s="2"/>
      <c r="X416" s="2"/>
      <c r="Y416" s="2"/>
      <c r="Z416" s="2"/>
      <c r="AA416" s="2" t="s">
        <v>1818</v>
      </c>
      <c r="AB416" s="2"/>
      <c r="AC416" s="2"/>
    </row>
    <row r="417" spans="1:29" ht="20.100000000000001" customHeight="1">
      <c r="A417" s="2" t="s">
        <v>1819</v>
      </c>
      <c r="B417" s="2" t="s">
        <v>1820</v>
      </c>
      <c r="C417" s="2" t="str">
        <f>sheet1[[#This Row],[Nombre]]&amp;sheet1[[#This Row],[Bp Id]]</f>
        <v>Abonos AnticipadosGI0009</v>
      </c>
      <c r="D417" s="2" t="str">
        <f>VLOOKUP(sheet1[[#This Row],[Columna1]],sheet13[[Columna1]:[Estado]],4,FALSE)</f>
        <v>Operativo</v>
      </c>
      <c r="E417" s="2" t="s">
        <v>119</v>
      </c>
      <c r="F417" s="2" t="s">
        <v>32</v>
      </c>
      <c r="G417" s="2"/>
      <c r="H417" s="2"/>
      <c r="I417" s="2"/>
      <c r="J417" s="2"/>
      <c r="K417" s="2"/>
      <c r="L417" s="2"/>
      <c r="M417" s="2"/>
      <c r="N417" s="2"/>
      <c r="O417" s="2" t="s">
        <v>41</v>
      </c>
      <c r="P417" s="2" t="s">
        <v>53</v>
      </c>
      <c r="Q417" s="2" t="s">
        <v>53</v>
      </c>
      <c r="R417" s="2" t="s">
        <v>41</v>
      </c>
      <c r="S417" s="2" t="s">
        <v>41</v>
      </c>
      <c r="T417" s="2"/>
      <c r="U417" s="3">
        <v>45199</v>
      </c>
      <c r="V417" s="2"/>
      <c r="W417" s="2" t="s">
        <v>100</v>
      </c>
      <c r="X417" s="2"/>
      <c r="Y417" s="2" t="s">
        <v>147</v>
      </c>
      <c r="Z417" s="2" t="s">
        <v>147</v>
      </c>
      <c r="AA417" s="2"/>
      <c r="AB417" s="2" t="s">
        <v>129</v>
      </c>
      <c r="AC417" s="2"/>
    </row>
    <row r="418" spans="1:29" ht="20.100000000000001" customHeight="1">
      <c r="A418" s="2" t="s">
        <v>1821</v>
      </c>
      <c r="B418" s="2" t="s">
        <v>1822</v>
      </c>
      <c r="C418" s="2" t="str">
        <f>sheet1[[#This Row],[Nombre]]&amp;sheet1[[#This Row],[Bp Id]]</f>
        <v>Administracion de cupos y lineas de creditoGI0012</v>
      </c>
      <c r="D418" s="2" t="str">
        <f>VLOOKUP(sheet1[[#This Row],[Columna1]],sheet13[[Columna1]:[Estado]],4,FALSE)</f>
        <v>Operativo</v>
      </c>
      <c r="E418" s="2" t="s">
        <v>119</v>
      </c>
      <c r="F418" s="2" t="s">
        <v>32</v>
      </c>
      <c r="G418" s="2"/>
      <c r="H418" s="2"/>
      <c r="I418" s="2"/>
      <c r="J418" s="2"/>
      <c r="K418" s="2"/>
      <c r="L418" s="2"/>
      <c r="M418" s="2"/>
      <c r="N418" s="2"/>
      <c r="O418" s="2" t="s">
        <v>41</v>
      </c>
      <c r="P418" s="2"/>
      <c r="Q418" s="2"/>
      <c r="R418" s="2" t="s">
        <v>41</v>
      </c>
      <c r="S418" s="2" t="s">
        <v>41</v>
      </c>
      <c r="T418" s="2"/>
      <c r="U418" s="3">
        <v>45199</v>
      </c>
      <c r="V418" s="2"/>
      <c r="W418" s="2" t="s">
        <v>100</v>
      </c>
      <c r="X418" s="2" t="s">
        <v>101</v>
      </c>
      <c r="Y418" s="2"/>
      <c r="Z418" s="2"/>
      <c r="AA418" s="2"/>
      <c r="AB418" s="2"/>
      <c r="AC418" s="2"/>
    </row>
    <row r="419" spans="1:29" ht="20.100000000000001" customHeight="1">
      <c r="A419" s="2" t="s">
        <v>1823</v>
      </c>
      <c r="B419" s="2" t="s">
        <v>1824</v>
      </c>
      <c r="C419" s="2" t="str">
        <f>sheet1[[#This Row],[Nombre]]&amp;sheet1[[#This Row],[Bp Id]]</f>
        <v>Administrador ATMSGI0014</v>
      </c>
      <c r="D419" s="2" t="str">
        <f>VLOOKUP(sheet1[[#This Row],[Columna1]],sheet13[[Columna1]:[Estado]],4,FALSE)</f>
        <v>Operativo</v>
      </c>
      <c r="E419" s="2" t="s">
        <v>119</v>
      </c>
      <c r="F419" s="2" t="s">
        <v>32</v>
      </c>
      <c r="G419" s="2"/>
      <c r="H419" s="2"/>
      <c r="I419" s="2"/>
      <c r="J419" s="2"/>
      <c r="K419" s="2"/>
      <c r="L419" s="2"/>
      <c r="M419" s="2"/>
      <c r="N419" s="2"/>
      <c r="O419" s="2" t="s">
        <v>41</v>
      </c>
      <c r="P419" s="2"/>
      <c r="Q419" s="2"/>
      <c r="R419" s="2" t="s">
        <v>41</v>
      </c>
      <c r="S419" s="2" t="s">
        <v>41</v>
      </c>
      <c r="T419" s="2"/>
      <c r="U419" s="3">
        <v>45199</v>
      </c>
      <c r="V419" s="2"/>
      <c r="W419" s="2" t="s">
        <v>100</v>
      </c>
      <c r="X419" s="2" t="s">
        <v>101</v>
      </c>
      <c r="Y419" s="2"/>
      <c r="Z419" s="2"/>
      <c r="AA419" s="2"/>
      <c r="AB419" s="2"/>
      <c r="AC419" s="2"/>
    </row>
    <row r="420" spans="1:29" ht="20.100000000000001" customHeight="1">
      <c r="A420" s="2" t="s">
        <v>1825</v>
      </c>
      <c r="B420" s="2" t="s">
        <v>1826</v>
      </c>
      <c r="C420" s="2" t="str">
        <f>sheet1[[#This Row],[Nombre]]&amp;sheet1[[#This Row],[Bp Id]]</f>
        <v>AM-Menu AccionistasGI0022</v>
      </c>
      <c r="D420" s="2" t="str">
        <f>VLOOKUP(sheet1[[#This Row],[Columna1]],sheet13[[Columna1]:[Estado]],4,FALSE)</f>
        <v>Operativo</v>
      </c>
      <c r="E420" s="2" t="s">
        <v>119</v>
      </c>
      <c r="F420" s="2" t="s">
        <v>32</v>
      </c>
      <c r="G420" s="2"/>
      <c r="H420" s="2"/>
      <c r="I420" s="2"/>
      <c r="J420" s="2"/>
      <c r="K420" s="2"/>
      <c r="L420" s="2"/>
      <c r="M420" s="2"/>
      <c r="N420" s="2"/>
      <c r="O420" s="2" t="s">
        <v>41</v>
      </c>
      <c r="P420" s="2"/>
      <c r="Q420" s="2"/>
      <c r="R420" s="2" t="s">
        <v>41</v>
      </c>
      <c r="S420" s="2" t="s">
        <v>41</v>
      </c>
      <c r="T420" s="2"/>
      <c r="U420" s="3">
        <v>45199</v>
      </c>
      <c r="V420" s="2"/>
      <c r="W420" s="2" t="s">
        <v>100</v>
      </c>
      <c r="X420" s="2"/>
      <c r="Y420" s="2"/>
      <c r="Z420" s="2"/>
      <c r="AA420" s="2"/>
      <c r="AB420" s="2"/>
      <c r="AC420" s="2"/>
    </row>
    <row r="421" spans="1:29" ht="20.100000000000001" customHeight="1">
      <c r="A421" s="2" t="s">
        <v>1827</v>
      </c>
      <c r="B421" s="2" t="s">
        <v>1828</v>
      </c>
      <c r="C421" s="2" t="str">
        <f>sheet1[[#This Row],[Nombre]]&amp;sheet1[[#This Row],[Bp Id]]</f>
        <v>Aplicativo Captura de FirmasGI0023</v>
      </c>
      <c r="D421" s="2" t="str">
        <f>VLOOKUP(sheet1[[#This Row],[Columna1]],sheet13[[Columna1]:[Estado]],4,FALSE)</f>
        <v>Operativo</v>
      </c>
      <c r="E421" s="2" t="s">
        <v>1771</v>
      </c>
      <c r="F421" s="2" t="s">
        <v>32</v>
      </c>
      <c r="G421" s="2"/>
      <c r="H421" s="2"/>
      <c r="I421" s="2"/>
      <c r="J421" s="2"/>
      <c r="K421" s="2"/>
      <c r="L421" s="2"/>
      <c r="M421" s="2"/>
      <c r="N421" s="2"/>
      <c r="O421" s="2" t="s">
        <v>41</v>
      </c>
      <c r="P421" s="2" t="s">
        <v>53</v>
      </c>
      <c r="Q421" s="2" t="s">
        <v>53</v>
      </c>
      <c r="R421" s="2" t="s">
        <v>41</v>
      </c>
      <c r="S421" s="2" t="s">
        <v>41</v>
      </c>
      <c r="T421" s="2"/>
      <c r="U421" s="3">
        <v>45199</v>
      </c>
      <c r="V421" s="2"/>
      <c r="W421" s="2" t="s">
        <v>100</v>
      </c>
      <c r="X421" s="2" t="s">
        <v>101</v>
      </c>
      <c r="Y421" s="2"/>
      <c r="Z421" s="2"/>
      <c r="AA421" s="2"/>
      <c r="AB421" s="2"/>
      <c r="AC421" s="2"/>
    </row>
    <row r="422" spans="1:29" ht="20.100000000000001" customHeight="1">
      <c r="A422" s="2" t="s">
        <v>1829</v>
      </c>
      <c r="B422" s="2" t="s">
        <v>1830</v>
      </c>
      <c r="C422" s="2" t="str">
        <f>sheet1[[#This Row],[Nombre]]&amp;sheet1[[#This Row],[Bp Id]]</f>
        <v>Aplicativo de RemesasGI0024</v>
      </c>
      <c r="D422" s="2" t="str">
        <f>VLOOKUP(sheet1[[#This Row],[Columna1]],sheet13[[Columna1]:[Estado]],4,FALSE)</f>
        <v>Operativo</v>
      </c>
      <c r="E422" s="2" t="s">
        <v>119</v>
      </c>
      <c r="F422" s="2" t="s">
        <v>32</v>
      </c>
      <c r="G422" s="2"/>
      <c r="H422" s="2"/>
      <c r="I422" s="2"/>
      <c r="J422" s="2"/>
      <c r="K422" s="2"/>
      <c r="L422" s="2"/>
      <c r="M422" s="2"/>
      <c r="N422" s="2"/>
      <c r="O422" s="2" t="s">
        <v>41</v>
      </c>
      <c r="P422" s="2" t="s">
        <v>53</v>
      </c>
      <c r="Q422" s="2" t="s">
        <v>53</v>
      </c>
      <c r="R422" s="2" t="s">
        <v>41</v>
      </c>
      <c r="S422" s="2" t="s">
        <v>41</v>
      </c>
      <c r="T422" s="2"/>
      <c r="U422" s="3">
        <v>45199</v>
      </c>
      <c r="V422" s="2"/>
      <c r="W422" s="2" t="s">
        <v>100</v>
      </c>
      <c r="X422" s="2" t="s">
        <v>101</v>
      </c>
      <c r="Y422" s="2"/>
      <c r="Z422" s="2"/>
      <c r="AA422" s="2"/>
      <c r="AB422" s="2"/>
      <c r="AC422" s="2"/>
    </row>
    <row r="423" spans="1:29" ht="20.100000000000001" customHeight="1">
      <c r="A423" s="2" t="s">
        <v>1831</v>
      </c>
      <c r="B423" s="2" t="s">
        <v>1832</v>
      </c>
      <c r="C423" s="2" t="str">
        <f>sheet1[[#This Row],[Nombre]]&amp;sheet1[[#This Row],[Bp Id]]</f>
        <v>ATM CAjeros AutomaticosGI0025</v>
      </c>
      <c r="D423" s="2" t="str">
        <f>VLOOKUP(sheet1[[#This Row],[Columna1]],sheet13[[Columna1]:[Estado]],4,FALSE)</f>
        <v>Operativo</v>
      </c>
      <c r="E423" s="2" t="s">
        <v>119</v>
      </c>
      <c r="F423" s="2" t="s">
        <v>32</v>
      </c>
      <c r="G423" s="2"/>
      <c r="H423" s="2"/>
      <c r="I423" s="2"/>
      <c r="J423" s="2"/>
      <c r="K423" s="2"/>
      <c r="L423" s="2"/>
      <c r="M423" s="2"/>
      <c r="N423" s="2"/>
      <c r="O423" s="2" t="s">
        <v>41</v>
      </c>
      <c r="P423" s="2" t="s">
        <v>53</v>
      </c>
      <c r="Q423" s="2" t="s">
        <v>53</v>
      </c>
      <c r="R423" s="2" t="s">
        <v>41</v>
      </c>
      <c r="S423" s="2" t="s">
        <v>41</v>
      </c>
      <c r="T423" s="2"/>
      <c r="U423" s="3">
        <v>45199</v>
      </c>
      <c r="V423" s="2"/>
      <c r="W423" s="2" t="s">
        <v>100</v>
      </c>
      <c r="X423" s="2"/>
      <c r="Y423" s="2"/>
      <c r="Z423" s="2"/>
      <c r="AA423" s="2"/>
      <c r="AB423" s="2"/>
      <c r="AC423" s="2"/>
    </row>
    <row r="424" spans="1:29" ht="20.100000000000001" customHeight="1">
      <c r="A424" s="2" t="s">
        <v>1833</v>
      </c>
      <c r="B424" s="2" t="s">
        <v>1834</v>
      </c>
      <c r="C424" s="2" t="str">
        <f>sheet1[[#This Row],[Nombre]]&amp;sheet1[[#This Row],[Bp Id]]</f>
        <v>Calculadora de Cupos para CreditosGI0026</v>
      </c>
      <c r="D424" s="2" t="str">
        <f>VLOOKUP(sheet1[[#This Row],[Columna1]],sheet13[[Columna1]:[Estado]],4,FALSE)</f>
        <v>Operativo</v>
      </c>
      <c r="E424" s="2" t="s">
        <v>119</v>
      </c>
      <c r="F424" s="2" t="s">
        <v>32</v>
      </c>
      <c r="G424" s="2"/>
      <c r="H424" s="2"/>
      <c r="I424" s="2"/>
      <c r="J424" s="2"/>
      <c r="K424" s="2"/>
      <c r="L424" s="2"/>
      <c r="M424" s="2"/>
      <c r="N424" s="2"/>
      <c r="O424" s="2" t="s">
        <v>41</v>
      </c>
      <c r="P424" s="2" t="s">
        <v>53</v>
      </c>
      <c r="Q424" s="2" t="s">
        <v>53</v>
      </c>
      <c r="R424" s="2" t="s">
        <v>41</v>
      </c>
      <c r="S424" s="2" t="s">
        <v>41</v>
      </c>
      <c r="T424" s="2"/>
      <c r="U424" s="3">
        <v>45199</v>
      </c>
      <c r="V424" s="2"/>
      <c r="W424" s="2" t="s">
        <v>100</v>
      </c>
      <c r="X424" s="2" t="s">
        <v>101</v>
      </c>
      <c r="Y424" s="2"/>
      <c r="Z424" s="2"/>
      <c r="AA424" s="2"/>
      <c r="AB424" s="2"/>
      <c r="AC424" s="2"/>
    </row>
    <row r="425" spans="1:29" ht="20.100000000000001" customHeight="1">
      <c r="A425" s="2" t="s">
        <v>1835</v>
      </c>
      <c r="B425" s="2" t="s">
        <v>1836</v>
      </c>
      <c r="C425" s="2" t="str">
        <f>sheet1[[#This Row],[Nombre]]&amp;sheet1[[#This Row],[Bp Id]]</f>
        <v>Clientes JuridicosGI0027</v>
      </c>
      <c r="D425" s="2" t="str">
        <f>VLOOKUP(sheet1[[#This Row],[Columna1]],sheet13[[Columna1]:[Estado]],4,FALSE)</f>
        <v>Operativo</v>
      </c>
      <c r="E425" s="2" t="s">
        <v>119</v>
      </c>
      <c r="F425" s="2" t="s">
        <v>32</v>
      </c>
      <c r="G425" s="2"/>
      <c r="H425" s="2"/>
      <c r="I425" s="2"/>
      <c r="J425" s="2"/>
      <c r="K425" s="2"/>
      <c r="L425" s="2"/>
      <c r="M425" s="2"/>
      <c r="N425" s="2"/>
      <c r="O425" s="2" t="s">
        <v>41</v>
      </c>
      <c r="P425" s="2" t="s">
        <v>53</v>
      </c>
      <c r="Q425" s="2" t="s">
        <v>53</v>
      </c>
      <c r="R425" s="2" t="s">
        <v>41</v>
      </c>
      <c r="S425" s="2" t="s">
        <v>41</v>
      </c>
      <c r="T425" s="2"/>
      <c r="U425" s="3">
        <v>45199</v>
      </c>
      <c r="V425" s="2"/>
      <c r="W425" s="2" t="s">
        <v>100</v>
      </c>
      <c r="X425" s="2" t="s">
        <v>101</v>
      </c>
      <c r="Y425" s="2"/>
      <c r="Z425" s="2"/>
      <c r="AA425" s="2"/>
      <c r="AB425" s="2"/>
      <c r="AC425" s="2"/>
    </row>
    <row r="426" spans="1:29" ht="20.100000000000001" customHeight="1">
      <c r="A426" s="2" t="s">
        <v>1837</v>
      </c>
      <c r="B426" s="2" t="s">
        <v>1838</v>
      </c>
      <c r="C426" s="2" t="str">
        <f>sheet1[[#This Row],[Nombre]]&amp;sheet1[[#This Row],[Bp Id]]</f>
        <v>Constructores.comGI0028</v>
      </c>
      <c r="D426" s="2" t="str">
        <f>VLOOKUP(sheet1[[#This Row],[Columna1]],sheet13[[Columna1]:[Estado]],4,FALSE)</f>
        <v>Operativo</v>
      </c>
      <c r="E426" s="2" t="s">
        <v>119</v>
      </c>
      <c r="F426" s="2" t="s">
        <v>32</v>
      </c>
      <c r="G426" s="2"/>
      <c r="H426" s="2"/>
      <c r="I426" s="2"/>
      <c r="J426" s="2"/>
      <c r="K426" s="2"/>
      <c r="L426" s="2"/>
      <c r="M426" s="2"/>
      <c r="N426" s="2"/>
      <c r="O426" s="2" t="s">
        <v>41</v>
      </c>
      <c r="P426" s="2" t="s">
        <v>53</v>
      </c>
      <c r="Q426" s="2" t="s">
        <v>53</v>
      </c>
      <c r="R426" s="2" t="s">
        <v>41</v>
      </c>
      <c r="S426" s="2" t="s">
        <v>41</v>
      </c>
      <c r="T426" s="2"/>
      <c r="U426" s="3">
        <v>45199</v>
      </c>
      <c r="V426" s="2"/>
      <c r="W426" s="2" t="s">
        <v>100</v>
      </c>
      <c r="X426" s="2"/>
      <c r="Y426" s="2"/>
      <c r="Z426" s="2"/>
      <c r="AA426" s="2"/>
      <c r="AB426" s="2"/>
      <c r="AC426" s="2"/>
    </row>
    <row r="427" spans="1:29" ht="20.100000000000001" customHeight="1">
      <c r="A427" s="2" t="s">
        <v>1839</v>
      </c>
      <c r="B427" s="2" t="s">
        <v>1840</v>
      </c>
      <c r="C427" s="2" t="str">
        <f>sheet1[[#This Row],[Nombre]]&amp;sheet1[[#This Row],[Bp Id]]</f>
        <v>MTSGI0037</v>
      </c>
      <c r="D427" s="2" t="str">
        <f>VLOOKUP(sheet1[[#This Row],[Columna1]],sheet13[[Columna1]:[Estado]],4,FALSE)</f>
        <v>Operativo</v>
      </c>
      <c r="E427" s="2" t="s">
        <v>119</v>
      </c>
      <c r="F427" s="2" t="s">
        <v>32</v>
      </c>
      <c r="G427" s="2"/>
      <c r="H427" s="2"/>
      <c r="I427" s="2"/>
      <c r="J427" s="2"/>
      <c r="K427" s="2"/>
      <c r="L427" s="2"/>
      <c r="M427" s="2"/>
      <c r="N427" s="2"/>
      <c r="O427" s="2" t="s">
        <v>43</v>
      </c>
      <c r="P427" s="2" t="s">
        <v>53</v>
      </c>
      <c r="Q427" s="2" t="s">
        <v>53</v>
      </c>
      <c r="R427" s="2" t="s">
        <v>41</v>
      </c>
      <c r="S427" s="2" t="s">
        <v>41</v>
      </c>
      <c r="T427" s="2"/>
      <c r="U427" s="3">
        <v>45199</v>
      </c>
      <c r="V427" s="2"/>
      <c r="W427" s="2" t="s">
        <v>100</v>
      </c>
      <c r="X427" s="2" t="s">
        <v>101</v>
      </c>
      <c r="Y427" s="2"/>
      <c r="Z427" s="2"/>
      <c r="AA427" s="2"/>
      <c r="AB427" s="2"/>
      <c r="AC427" s="2"/>
    </row>
    <row r="428" spans="1:29" ht="20.100000000000001" customHeight="1">
      <c r="A428" s="2" t="s">
        <v>1841</v>
      </c>
      <c r="B428" s="2" t="s">
        <v>1842</v>
      </c>
      <c r="C428" s="2" t="str">
        <f>sheet1[[#This Row],[Nombre]]&amp;sheet1[[#This Row],[Bp Id]]</f>
        <v>NotificacionesGI0038</v>
      </c>
      <c r="D428" s="2" t="str">
        <f>VLOOKUP(sheet1[[#This Row],[Columna1]],sheet13[[Columna1]:[Estado]],4,FALSE)</f>
        <v>Operativo</v>
      </c>
      <c r="E428" s="2" t="s">
        <v>119</v>
      </c>
      <c r="F428" s="2" t="s">
        <v>32</v>
      </c>
      <c r="G428" s="2"/>
      <c r="H428" s="2"/>
      <c r="I428" s="2"/>
      <c r="J428" s="2"/>
      <c r="K428" s="2"/>
      <c r="L428" s="2"/>
      <c r="M428" s="2"/>
      <c r="N428" s="2"/>
      <c r="O428" s="2" t="s">
        <v>43</v>
      </c>
      <c r="P428" s="2" t="s">
        <v>53</v>
      </c>
      <c r="Q428" s="2" t="s">
        <v>53</v>
      </c>
      <c r="R428" s="2" t="s">
        <v>41</v>
      </c>
      <c r="S428" s="2" t="s">
        <v>41</v>
      </c>
      <c r="T428" s="2"/>
      <c r="U428" s="3">
        <v>45199</v>
      </c>
      <c r="V428" s="2"/>
      <c r="W428" s="2" t="s">
        <v>100</v>
      </c>
      <c r="X428" s="2" t="s">
        <v>101</v>
      </c>
      <c r="Y428" s="2"/>
      <c r="Z428" s="2"/>
      <c r="AA428" s="2"/>
      <c r="AB428" s="2"/>
      <c r="AC428" s="2"/>
    </row>
    <row r="429" spans="1:29" ht="20.100000000000001" customHeight="1">
      <c r="A429" s="2" t="s">
        <v>1843</v>
      </c>
      <c r="B429" s="2" t="s">
        <v>1844</v>
      </c>
      <c r="C429" s="2" t="str">
        <f>sheet1[[#This Row],[Nombre]]&amp;sheet1[[#This Row],[Bp Id]]</f>
        <v>OPERACIONES.COMGI0039</v>
      </c>
      <c r="D429" s="2" t="str">
        <f>VLOOKUP(sheet1[[#This Row],[Columna1]],sheet13[[Columna1]:[Estado]],4,FALSE)</f>
        <v>Operativo</v>
      </c>
      <c r="E429" s="2" t="s">
        <v>119</v>
      </c>
      <c r="F429" s="2" t="s">
        <v>32</v>
      </c>
      <c r="G429" s="2"/>
      <c r="H429" s="2"/>
      <c r="I429" s="2"/>
      <c r="J429" s="2"/>
      <c r="K429" s="2"/>
      <c r="L429" s="2"/>
      <c r="M429" s="2"/>
      <c r="N429" s="2"/>
      <c r="O429" s="2" t="s">
        <v>43</v>
      </c>
      <c r="P429" s="2" t="s">
        <v>53</v>
      </c>
      <c r="Q429" s="2" t="s">
        <v>53</v>
      </c>
      <c r="R429" s="2" t="s">
        <v>41</v>
      </c>
      <c r="S429" s="2" t="s">
        <v>41</v>
      </c>
      <c r="T429" s="2"/>
      <c r="U429" s="3">
        <v>45199</v>
      </c>
      <c r="V429" s="2"/>
      <c r="W429" s="2" t="s">
        <v>100</v>
      </c>
      <c r="X429" s="2" t="s">
        <v>101</v>
      </c>
      <c r="Y429" s="2"/>
      <c r="Z429" s="2"/>
      <c r="AA429" s="2"/>
      <c r="AB429" s="2"/>
      <c r="AC429" s="2"/>
    </row>
    <row r="430" spans="1:29" ht="20.100000000000001" customHeight="1">
      <c r="A430" s="2" t="s">
        <v>1845</v>
      </c>
      <c r="B430" s="2" t="s">
        <v>1846</v>
      </c>
      <c r="C430" s="2" t="str">
        <f>sheet1[[#This Row],[Nombre]]&amp;sheet1[[#This Row],[Bp Id]]</f>
        <v>Organismo de ControlGI0040</v>
      </c>
      <c r="D430" s="2" t="str">
        <f>VLOOKUP(sheet1[[#This Row],[Columna1]],sheet13[[Columna1]:[Estado]],4,FALSE)</f>
        <v>Operativo</v>
      </c>
      <c r="E430" s="2" t="s">
        <v>119</v>
      </c>
      <c r="F430" s="2" t="s">
        <v>32</v>
      </c>
      <c r="G430" s="2"/>
      <c r="H430" s="2"/>
      <c r="I430" s="2"/>
      <c r="J430" s="2"/>
      <c r="K430" s="2"/>
      <c r="L430" s="2"/>
      <c r="M430" s="2"/>
      <c r="N430" s="2"/>
      <c r="O430" s="2" t="s">
        <v>43</v>
      </c>
      <c r="P430" s="2" t="s">
        <v>53</v>
      </c>
      <c r="Q430" s="2" t="s">
        <v>53</v>
      </c>
      <c r="R430" s="2" t="s">
        <v>41</v>
      </c>
      <c r="S430" s="2" t="s">
        <v>41</v>
      </c>
      <c r="T430" s="2"/>
      <c r="U430" s="3">
        <v>45199</v>
      </c>
      <c r="V430" s="2"/>
      <c r="W430" s="2" t="s">
        <v>100</v>
      </c>
      <c r="X430" s="2" t="s">
        <v>101</v>
      </c>
      <c r="Y430" s="2"/>
      <c r="Z430" s="2"/>
      <c r="AA430" s="2"/>
      <c r="AB430" s="2"/>
      <c r="AC430" s="2"/>
    </row>
    <row r="431" spans="1:29" ht="20.100000000000001" customHeight="1">
      <c r="A431" s="2" t="s">
        <v>1847</v>
      </c>
      <c r="B431" s="2" t="s">
        <v>1848</v>
      </c>
      <c r="C431" s="2" t="str">
        <f>sheet1[[#This Row],[Nombre]]&amp;sheet1[[#This Row],[Bp Id]]</f>
        <v>Pague YaGI0041</v>
      </c>
      <c r="D431" s="2" t="str">
        <f>VLOOKUP(sheet1[[#This Row],[Columna1]],sheet13[[Columna1]:[Estado]],4,FALSE)</f>
        <v>Operativo</v>
      </c>
      <c r="E431" s="2" t="s">
        <v>119</v>
      </c>
      <c r="F431" s="2" t="s">
        <v>32</v>
      </c>
      <c r="G431" s="2"/>
      <c r="H431" s="2"/>
      <c r="I431" s="2"/>
      <c r="J431" s="2"/>
      <c r="K431" s="2"/>
      <c r="L431" s="2"/>
      <c r="M431" s="2"/>
      <c r="N431" s="2"/>
      <c r="O431" s="2" t="s">
        <v>43</v>
      </c>
      <c r="P431" s="2" t="s">
        <v>53</v>
      </c>
      <c r="Q431" s="2" t="s">
        <v>53</v>
      </c>
      <c r="R431" s="2" t="s">
        <v>41</v>
      </c>
      <c r="S431" s="2" t="s">
        <v>41</v>
      </c>
      <c r="T431" s="2"/>
      <c r="U431" s="3">
        <v>45199</v>
      </c>
      <c r="V431" s="2"/>
      <c r="W431" s="2" t="s">
        <v>100</v>
      </c>
      <c r="X431" s="2" t="s">
        <v>101</v>
      </c>
      <c r="Y431" s="2"/>
      <c r="Z431" s="2"/>
      <c r="AA431" s="2"/>
      <c r="AB431" s="2"/>
      <c r="AC431" s="2"/>
    </row>
    <row r="432" spans="1:29" ht="20.100000000000001" customHeight="1">
      <c r="A432" s="2" t="s">
        <v>1849</v>
      </c>
      <c r="B432" s="2" t="s">
        <v>1850</v>
      </c>
      <c r="C432" s="2" t="str">
        <f>sheet1[[#This Row],[Nombre]]&amp;sheet1[[#This Row],[Bp Id]]</f>
        <v>PreevaluacionRIS0009</v>
      </c>
      <c r="D432" s="2" t="str">
        <f>VLOOKUP(sheet1[[#This Row],[Columna1]],sheet13[[Columna1]:[Estado]],4,FALSE)</f>
        <v>Retirado</v>
      </c>
      <c r="E432" s="2"/>
      <c r="F432" s="2" t="s">
        <v>47</v>
      </c>
      <c r="G432" s="2" t="s">
        <v>48</v>
      </c>
      <c r="H432" s="2" t="s">
        <v>34</v>
      </c>
      <c r="I432" s="2" t="s">
        <v>320</v>
      </c>
      <c r="J432" s="2" t="s">
        <v>321</v>
      </c>
      <c r="K432" s="2"/>
      <c r="L432" s="2" t="s">
        <v>1851</v>
      </c>
      <c r="M432" s="2"/>
      <c r="N432" s="2"/>
      <c r="O432" s="2" t="s">
        <v>43</v>
      </c>
      <c r="P432" s="2" t="s">
        <v>53</v>
      </c>
      <c r="Q432" s="2" t="s">
        <v>53</v>
      </c>
      <c r="R432" s="2" t="s">
        <v>41</v>
      </c>
      <c r="S432" s="2" t="s">
        <v>41</v>
      </c>
      <c r="T432" s="2" t="s">
        <v>1771</v>
      </c>
      <c r="U432" s="3">
        <v>45199</v>
      </c>
      <c r="V432" s="2"/>
      <c r="W432" s="2" t="s">
        <v>100</v>
      </c>
      <c r="X432" s="2" t="s">
        <v>101</v>
      </c>
      <c r="Y432" s="2"/>
      <c r="Z432" s="2"/>
      <c r="AA432" s="2"/>
      <c r="AB432" s="2"/>
      <c r="AC432" s="2"/>
    </row>
    <row r="433" spans="1:29" ht="20.100000000000001" customHeight="1">
      <c r="A433" s="2" t="s">
        <v>1852</v>
      </c>
      <c r="B433" s="2" t="s">
        <v>1853</v>
      </c>
      <c r="C433" s="2" t="str">
        <f>sheet1[[#This Row],[Nombre]]&amp;sheet1[[#This Row],[Bp Id]]</f>
        <v>ApisProveedorITM0141</v>
      </c>
      <c r="D433" s="2" t="str">
        <f>VLOOKUP(sheet1[[#This Row],[Columna1]],sheet13[[Columna1]:[Estado]],4,FALSE)</f>
        <v>Retirado</v>
      </c>
      <c r="E433" s="2"/>
      <c r="F433" s="2" t="s">
        <v>47</v>
      </c>
      <c r="G433" s="2" t="s">
        <v>123</v>
      </c>
      <c r="H433" s="2" t="s">
        <v>59</v>
      </c>
      <c r="I433" s="2" t="s">
        <v>1854</v>
      </c>
      <c r="J433" s="2" t="s">
        <v>88</v>
      </c>
      <c r="K433" s="2" t="s">
        <v>1855</v>
      </c>
      <c r="L433" s="2" t="s">
        <v>1856</v>
      </c>
      <c r="M433" s="2"/>
      <c r="N433" s="2"/>
      <c r="O433" s="2"/>
      <c r="P433" s="2"/>
      <c r="Q433" s="2"/>
      <c r="R433" s="2" t="s">
        <v>41</v>
      </c>
      <c r="S433" s="2" t="s">
        <v>43</v>
      </c>
      <c r="T433" s="2"/>
      <c r="U433" s="3"/>
      <c r="V433" s="2"/>
      <c r="W433" s="2"/>
      <c r="X433" s="2"/>
      <c r="Y433" s="2"/>
      <c r="Z433" s="2"/>
      <c r="AA433" s="2"/>
      <c r="AB433" s="2"/>
      <c r="AC433" s="2"/>
    </row>
    <row r="434" spans="1:29" ht="20.100000000000001" customHeight="1">
      <c r="A434" s="2" t="s">
        <v>1857</v>
      </c>
      <c r="B434" s="2" t="s">
        <v>1858</v>
      </c>
      <c r="C434" s="2" t="str">
        <f>sheet1[[#This Row],[Nombre]]&amp;sheet1[[#This Row],[Bp Id]]</f>
        <v>HP SAN Network AdvisorITM0029</v>
      </c>
      <c r="D434" s="2" t="str">
        <f>VLOOKUP(sheet1[[#This Row],[Columna1]],sheet13[[Columna1]:[Estado]],4,FALSE)</f>
        <v>Operativo</v>
      </c>
      <c r="E434" s="2"/>
      <c r="F434" s="2" t="s">
        <v>32</v>
      </c>
      <c r="G434" s="2" t="s">
        <v>48</v>
      </c>
      <c r="H434" s="2" t="s">
        <v>34</v>
      </c>
      <c r="I434" s="2" t="s">
        <v>68</v>
      </c>
      <c r="J434" s="2" t="s">
        <v>236</v>
      </c>
      <c r="K434" s="2"/>
      <c r="L434" s="2" t="s">
        <v>586</v>
      </c>
      <c r="M434" s="2" t="s">
        <v>52</v>
      </c>
      <c r="N434" s="2" t="s">
        <v>40</v>
      </c>
      <c r="O434" s="2"/>
      <c r="P434" s="2"/>
      <c r="Q434" s="2"/>
      <c r="R434" s="2" t="s">
        <v>41</v>
      </c>
      <c r="S434" s="2" t="s">
        <v>43</v>
      </c>
      <c r="T434" s="2"/>
      <c r="U434" s="3"/>
      <c r="V434" s="2"/>
      <c r="W434" s="2"/>
      <c r="X434" s="2"/>
      <c r="Y434" s="2"/>
      <c r="Z434" s="2"/>
      <c r="AA434" s="2"/>
      <c r="AB434" s="2"/>
      <c r="AC434" s="2"/>
    </row>
    <row r="435" spans="1:29" ht="14.45" customHeight="1">
      <c r="A435" s="2" t="s">
        <v>1859</v>
      </c>
      <c r="B435" s="2" t="s">
        <v>1860</v>
      </c>
      <c r="C435" s="2" t="str">
        <f>sheet1[[#This Row],[Nombre]]&amp;sheet1[[#This Row],[Bp Id]]</f>
        <v>PANORAMAGI0018</v>
      </c>
      <c r="D435" s="2" t="str">
        <f>VLOOKUP(sheet1[[#This Row],[Columna1]],sheet13[[Columna1]:[Estado]],4,FALSE)</f>
        <v>Operativo</v>
      </c>
      <c r="E435" s="2" t="s">
        <v>1861</v>
      </c>
      <c r="F435" s="2" t="s">
        <v>32</v>
      </c>
      <c r="G435" s="2" t="s">
        <v>76</v>
      </c>
      <c r="H435" s="2" t="s">
        <v>59</v>
      </c>
      <c r="I435" s="2" t="s">
        <v>1862</v>
      </c>
      <c r="J435" s="2" t="s">
        <v>1862</v>
      </c>
      <c r="K435" s="2"/>
      <c r="L435" s="2" t="s">
        <v>1862</v>
      </c>
      <c r="M435" s="2" t="s">
        <v>111</v>
      </c>
      <c r="N435" s="2" t="s">
        <v>40</v>
      </c>
      <c r="O435" s="2" t="s">
        <v>41</v>
      </c>
      <c r="P435" s="2" t="s">
        <v>42</v>
      </c>
      <c r="Q435" s="2" t="s">
        <v>42</v>
      </c>
      <c r="R435" s="2" t="s">
        <v>41</v>
      </c>
      <c r="S435" s="2" t="s">
        <v>41</v>
      </c>
      <c r="T435" s="2"/>
      <c r="U435" s="3">
        <v>45554</v>
      </c>
      <c r="V435" s="2" t="s">
        <v>1862</v>
      </c>
      <c r="W435" s="2" t="s">
        <v>253</v>
      </c>
      <c r="X435" s="2" t="s">
        <v>590</v>
      </c>
      <c r="Y435" s="2" t="s">
        <v>376</v>
      </c>
      <c r="Z435" s="2" t="s">
        <v>127</v>
      </c>
      <c r="AA435" s="2" t="s">
        <v>1863</v>
      </c>
      <c r="AB435" s="2" t="s">
        <v>129</v>
      </c>
      <c r="AC435" s="2" t="s">
        <v>1859</v>
      </c>
    </row>
    <row r="436" spans="1:29" ht="14.45" customHeight="1">
      <c r="A436" s="2" t="s">
        <v>1864</v>
      </c>
      <c r="B436" s="2" t="s">
        <v>1865</v>
      </c>
      <c r="C436" s="2" t="str">
        <f>sheet1[[#This Row],[Nombre]]&amp;sheet1[[#This Row],[Bp Id]]</f>
        <v>DataPower InternoINT0006</v>
      </c>
      <c r="D436" s="2" t="str">
        <f>VLOOKUP(sheet1[[#This Row],[Columna1]],sheet13[[Columna1]:[Estado]],4,FALSE)</f>
        <v>Operativo</v>
      </c>
      <c r="E436" s="2" t="s">
        <v>1866</v>
      </c>
      <c r="F436" s="2" t="s">
        <v>32</v>
      </c>
      <c r="G436" s="2" t="s">
        <v>123</v>
      </c>
      <c r="H436" s="2" t="s">
        <v>34</v>
      </c>
      <c r="I436" s="2" t="s">
        <v>49</v>
      </c>
      <c r="J436" s="2" t="s">
        <v>50</v>
      </c>
      <c r="K436" s="2" t="s">
        <v>51</v>
      </c>
      <c r="L436" s="2" t="s">
        <v>405</v>
      </c>
      <c r="M436" s="2" t="s">
        <v>52</v>
      </c>
      <c r="N436" s="2" t="s">
        <v>40</v>
      </c>
      <c r="O436" s="2" t="s">
        <v>41</v>
      </c>
      <c r="P436" s="2" t="s">
        <v>53</v>
      </c>
      <c r="Q436" s="2" t="s">
        <v>53</v>
      </c>
      <c r="R436" s="2" t="s">
        <v>41</v>
      </c>
      <c r="S436" s="2" t="s">
        <v>41</v>
      </c>
      <c r="T436" s="2" t="s">
        <v>1867</v>
      </c>
      <c r="U436" s="3">
        <v>46197</v>
      </c>
      <c r="V436" s="2" t="s">
        <v>124</v>
      </c>
      <c r="W436" s="2" t="s">
        <v>126</v>
      </c>
      <c r="X436" s="2" t="s">
        <v>125</v>
      </c>
      <c r="Y436" s="2" t="s">
        <v>127</v>
      </c>
      <c r="Z436" s="2" t="s">
        <v>127</v>
      </c>
      <c r="AA436" s="2" t="s">
        <v>1868</v>
      </c>
      <c r="AB436" s="2" t="s">
        <v>129</v>
      </c>
      <c r="AC436" s="2" t="s">
        <v>1869</v>
      </c>
    </row>
    <row r="437" spans="1:29" ht="14.45" customHeight="1">
      <c r="A437" s="2" t="s">
        <v>1870</v>
      </c>
      <c r="B437" s="2" t="s">
        <v>1871</v>
      </c>
      <c r="C437" s="2" t="str">
        <f>sheet1[[#This Row],[Nombre]]&amp;sheet1[[#This Row],[Bp Id]]</f>
        <v>Integration Bus OmnicanalINT0008</v>
      </c>
      <c r="D437" s="2" t="str">
        <f>VLOOKUP(sheet1[[#This Row],[Columna1]],sheet13[[Columna1]:[Estado]],4,FALSE)</f>
        <v>Operativo</v>
      </c>
      <c r="E437" s="2" t="s">
        <v>122</v>
      </c>
      <c r="F437" s="2" t="s">
        <v>32</v>
      </c>
      <c r="G437" s="2" t="s">
        <v>123</v>
      </c>
      <c r="H437" s="2" t="s">
        <v>34</v>
      </c>
      <c r="I437" s="2" t="s">
        <v>49</v>
      </c>
      <c r="J437" s="2" t="s">
        <v>50</v>
      </c>
      <c r="K437" s="2" t="s">
        <v>51</v>
      </c>
      <c r="L437" s="2" t="s">
        <v>51</v>
      </c>
      <c r="M437" s="2" t="s">
        <v>52</v>
      </c>
      <c r="N437" s="2" t="s">
        <v>40</v>
      </c>
      <c r="O437" s="2" t="s">
        <v>41</v>
      </c>
      <c r="P437" s="2" t="s">
        <v>53</v>
      </c>
      <c r="Q437" s="2" t="s">
        <v>53</v>
      </c>
      <c r="R437" s="2" t="s">
        <v>41</v>
      </c>
      <c r="S437" s="2" t="s">
        <v>41</v>
      </c>
      <c r="T437" s="2"/>
      <c r="U437" s="3">
        <v>46197</v>
      </c>
      <c r="V437" s="2" t="s">
        <v>124</v>
      </c>
      <c r="W437" s="2" t="s">
        <v>125</v>
      </c>
      <c r="X437" s="2" t="s">
        <v>126</v>
      </c>
      <c r="Y437" s="2" t="s">
        <v>127</v>
      </c>
      <c r="Z437" s="2" t="s">
        <v>127</v>
      </c>
      <c r="AA437" s="2" t="s">
        <v>1872</v>
      </c>
      <c r="AB437" s="2" t="s">
        <v>129</v>
      </c>
      <c r="AC437" s="2" t="s">
        <v>1873</v>
      </c>
    </row>
    <row r="438" spans="1:29" ht="20.100000000000001" customHeight="1">
      <c r="A438" s="2" t="s">
        <v>1874</v>
      </c>
      <c r="B438" s="2" t="s">
        <v>1875</v>
      </c>
      <c r="C438" s="2" t="str">
        <f>sheet1[[#This Row],[Nombre]]&amp;sheet1[[#This Row],[Bp Id]]</f>
        <v>BPComplianceITM0126</v>
      </c>
      <c r="D438" s="2" t="str">
        <f>VLOOKUP(sheet1[[#This Row],[Columna1]],sheet13[[Columna1]:[Estado]],4,FALSE)</f>
        <v>Operativo</v>
      </c>
      <c r="E438" s="2"/>
      <c r="F438" s="2" t="s">
        <v>32</v>
      </c>
      <c r="G438" s="2" t="s">
        <v>48</v>
      </c>
      <c r="H438" s="2" t="s">
        <v>59</v>
      </c>
      <c r="I438" s="2" t="s">
        <v>225</v>
      </c>
      <c r="J438" s="2" t="s">
        <v>226</v>
      </c>
      <c r="K438" s="2" t="s">
        <v>687</v>
      </c>
      <c r="L438" s="2" t="s">
        <v>1392</v>
      </c>
      <c r="M438" s="2"/>
      <c r="N438" s="2"/>
      <c r="O438" s="2" t="s">
        <v>43</v>
      </c>
      <c r="P438" s="2" t="s">
        <v>64</v>
      </c>
      <c r="Q438" s="2" t="s">
        <v>64</v>
      </c>
      <c r="R438" s="2" t="s">
        <v>41</v>
      </c>
      <c r="S438" s="2" t="s">
        <v>41</v>
      </c>
      <c r="T438" s="2"/>
      <c r="U438" s="3">
        <v>46184</v>
      </c>
      <c r="V438" s="2"/>
      <c r="W438" s="2" t="s">
        <v>590</v>
      </c>
      <c r="X438" s="2" t="s">
        <v>100</v>
      </c>
      <c r="Y438" s="2" t="s">
        <v>376</v>
      </c>
      <c r="Z438" s="2" t="s">
        <v>376</v>
      </c>
      <c r="AA438" s="2"/>
      <c r="AB438" s="2" t="s">
        <v>129</v>
      </c>
      <c r="AC438" s="2"/>
    </row>
    <row r="439" spans="1:29" ht="20.100000000000001" customHeight="1">
      <c r="A439" s="2" t="s">
        <v>64</v>
      </c>
      <c r="B439" s="2" t="s">
        <v>1876</v>
      </c>
      <c r="C439" s="2" t="str">
        <f>sheet1[[#This Row],[Nombre]]&amp;sheet1[[#This Row],[Bp Id]]</f>
        <v>Entra IDITM0130</v>
      </c>
      <c r="D439" s="2" t="str">
        <f>VLOOKUP(sheet1[[#This Row],[Columna1]],sheet13[[Columna1]:[Estado]],4,FALSE)</f>
        <v>Operativo</v>
      </c>
      <c r="E439" s="2"/>
      <c r="F439" s="2" t="s">
        <v>32</v>
      </c>
      <c r="G439" s="2" t="s">
        <v>48</v>
      </c>
      <c r="H439" s="2" t="s">
        <v>59</v>
      </c>
      <c r="I439" s="2" t="s">
        <v>107</v>
      </c>
      <c r="J439" s="2" t="s">
        <v>916</v>
      </c>
      <c r="K439" s="2" t="s">
        <v>916</v>
      </c>
      <c r="L439" s="2" t="s">
        <v>1877</v>
      </c>
      <c r="M439" s="2" t="s">
        <v>111</v>
      </c>
      <c r="N439" s="2"/>
      <c r="O439" s="2"/>
      <c r="P439" s="2"/>
      <c r="Q439" s="2"/>
      <c r="R439" s="2"/>
      <c r="S439" s="2"/>
      <c r="T439" s="2"/>
      <c r="U439" s="3"/>
      <c r="V439" s="2"/>
      <c r="W439" s="2"/>
      <c r="X439" s="2"/>
      <c r="Y439" s="2"/>
      <c r="Z439" s="2"/>
      <c r="AA439" s="2"/>
      <c r="AB439" s="2"/>
      <c r="AC439" s="2"/>
    </row>
    <row r="440" spans="1:29" ht="20.100000000000001" customHeight="1">
      <c r="A440" s="2" t="s">
        <v>1878</v>
      </c>
      <c r="B440" s="2" t="s">
        <v>1879</v>
      </c>
      <c r="C440" s="2" t="str">
        <f>sheet1[[#This Row],[Nombre]]&amp;sheet1[[#This Row],[Bp Id]]</f>
        <v>Nutanix File ServerITM0107</v>
      </c>
      <c r="D440" s="2" t="str">
        <f>VLOOKUP(sheet1[[#This Row],[Columna1]],sheet13[[Columna1]:[Estado]],4,FALSE)</f>
        <v>Operativo</v>
      </c>
      <c r="E440" s="2"/>
      <c r="F440" s="2" t="s">
        <v>32</v>
      </c>
      <c r="G440" s="2" t="s">
        <v>48</v>
      </c>
      <c r="H440" s="2" t="s">
        <v>34</v>
      </c>
      <c r="I440" s="2" t="s">
        <v>68</v>
      </c>
      <c r="J440" s="2" t="s">
        <v>69</v>
      </c>
      <c r="K440" s="2" t="s">
        <v>82</v>
      </c>
      <c r="L440" s="2" t="s">
        <v>1147</v>
      </c>
      <c r="M440" s="2" t="s">
        <v>52</v>
      </c>
      <c r="N440" s="2"/>
      <c r="O440" s="2"/>
      <c r="P440" s="2"/>
      <c r="Q440" s="2"/>
      <c r="R440" s="2"/>
      <c r="S440" s="2"/>
      <c r="T440" s="2"/>
      <c r="U440" s="3"/>
      <c r="V440" s="2"/>
      <c r="W440" s="2"/>
      <c r="X440" s="2"/>
      <c r="Y440" s="2"/>
      <c r="Z440" s="2"/>
      <c r="AA440" s="2"/>
      <c r="AB440" s="2"/>
      <c r="AC440" s="2"/>
    </row>
    <row r="441" spans="1:29" ht="20.100000000000001" customHeight="1">
      <c r="A441" s="2" t="s">
        <v>1880</v>
      </c>
      <c r="B441" s="2" t="s">
        <v>1881</v>
      </c>
      <c r="C441" s="2" t="str">
        <f>sheet1[[#This Row],[Nombre]]&amp;sheet1[[#This Row],[Bp Id]]</f>
        <v>Staffing ITM0105</v>
      </c>
      <c r="D441" s="2" t="str">
        <f>VLOOKUP(sheet1[[#This Row],[Columna1]],sheet13[[Columna1]:[Estado]],4,FALSE)</f>
        <v>Operativo</v>
      </c>
      <c r="E441" s="2"/>
      <c r="F441" s="2" t="s">
        <v>32</v>
      </c>
      <c r="G441" s="2" t="s">
        <v>48</v>
      </c>
      <c r="H441" s="2" t="s">
        <v>59</v>
      </c>
      <c r="I441" s="2" t="s">
        <v>225</v>
      </c>
      <c r="J441" s="2" t="s">
        <v>226</v>
      </c>
      <c r="K441" s="2" t="s">
        <v>1215</v>
      </c>
      <c r="L441" s="2" t="s">
        <v>304</v>
      </c>
      <c r="M441" s="2" t="s">
        <v>52</v>
      </c>
      <c r="N441" s="2" t="s">
        <v>40</v>
      </c>
      <c r="O441" s="2"/>
      <c r="P441" s="2"/>
      <c r="Q441" s="2"/>
      <c r="R441" s="2" t="s">
        <v>41</v>
      </c>
      <c r="S441" s="2" t="s">
        <v>43</v>
      </c>
      <c r="T441" s="2"/>
      <c r="U441" s="3"/>
      <c r="V441" s="2"/>
      <c r="W441" s="2"/>
      <c r="X441" s="2"/>
      <c r="Y441" s="2"/>
      <c r="Z441" s="2"/>
      <c r="AA441" s="2"/>
      <c r="AB441" s="2"/>
      <c r="AC441" s="2"/>
    </row>
    <row r="442" spans="1:29" ht="20.100000000000001" customHeight="1">
      <c r="A442" s="2" t="s">
        <v>1882</v>
      </c>
      <c r="B442" s="2" t="s">
        <v>1883</v>
      </c>
      <c r="C442" s="2" t="str">
        <f>sheet1[[#This Row],[Nombre]]&amp;sheet1[[#This Row],[Bp Id]]</f>
        <v>Capital CredifePRD0051</v>
      </c>
      <c r="D442" s="2" t="str">
        <f>VLOOKUP(sheet1[[#This Row],[Columna1]],sheet13[[Columna1]:[Estado]],4,FALSE)</f>
        <v>Operativo</v>
      </c>
      <c r="E442" s="2"/>
      <c r="F442" s="2" t="s">
        <v>32</v>
      </c>
      <c r="G442" s="2" t="s">
        <v>48</v>
      </c>
      <c r="H442" s="2" t="s">
        <v>34</v>
      </c>
      <c r="I442" s="2" t="s">
        <v>309</v>
      </c>
      <c r="J442" s="2" t="s">
        <v>310</v>
      </c>
      <c r="K442" s="2"/>
      <c r="L442" s="2"/>
      <c r="M442" s="2"/>
      <c r="N442" s="2" t="s">
        <v>40</v>
      </c>
      <c r="O442" s="2"/>
      <c r="P442" s="2" t="s">
        <v>53</v>
      </c>
      <c r="Q442" s="2" t="s">
        <v>53</v>
      </c>
      <c r="R442" s="2" t="s">
        <v>41</v>
      </c>
      <c r="S442" s="2" t="s">
        <v>43</v>
      </c>
      <c r="T442" s="2" t="s">
        <v>1884</v>
      </c>
      <c r="U442" s="3"/>
      <c r="V442" s="2"/>
      <c r="W442" s="2"/>
      <c r="X442" s="2"/>
      <c r="Y442" s="2"/>
      <c r="Z442" s="2"/>
      <c r="AA442" s="2"/>
      <c r="AB442" s="2"/>
      <c r="AC442" s="2"/>
    </row>
    <row r="443" spans="1:29" ht="20.100000000000001" customHeight="1">
      <c r="A443" s="2" t="s">
        <v>1885</v>
      </c>
      <c r="B443" s="2" t="s">
        <v>1886</v>
      </c>
      <c r="C443" s="2" t="str">
        <f>sheet1[[#This Row],[Nombre]]&amp;sheet1[[#This Row],[Bp Id]]</f>
        <v>Componentes de Infraestructura - BDDITM0106</v>
      </c>
      <c r="D443" s="2" t="str">
        <f>VLOOKUP(sheet1[[#This Row],[Columna1]],sheet13[[Columna1]:[Estado]],4,FALSE)</f>
        <v>Operativo</v>
      </c>
      <c r="E443" s="2"/>
      <c r="F443" s="2" t="s">
        <v>32</v>
      </c>
      <c r="G443" s="2" t="s">
        <v>48</v>
      </c>
      <c r="H443" s="2" t="s">
        <v>34</v>
      </c>
      <c r="I443" s="2" t="s">
        <v>68</v>
      </c>
      <c r="J443" s="2" t="s">
        <v>69</v>
      </c>
      <c r="K443" s="2" t="s">
        <v>70</v>
      </c>
      <c r="L443" s="2" t="s">
        <v>71</v>
      </c>
      <c r="M443" s="2" t="s">
        <v>161</v>
      </c>
      <c r="N443" s="2"/>
      <c r="O443" s="2"/>
      <c r="P443" s="2"/>
      <c r="Q443" s="2"/>
      <c r="R443" s="2"/>
      <c r="S443" s="2"/>
      <c r="T443" s="2"/>
      <c r="U443" s="3"/>
      <c r="V443" s="2"/>
      <c r="W443" s="2"/>
      <c r="X443" s="2"/>
      <c r="Y443" s="2"/>
      <c r="Z443" s="2"/>
      <c r="AA443" s="2"/>
      <c r="AB443" s="2"/>
      <c r="AC443" s="2"/>
    </row>
    <row r="444" spans="1:29" ht="20.100000000000001" customHeight="1">
      <c r="A444" s="2" t="s">
        <v>1887</v>
      </c>
      <c r="B444" s="2" t="s">
        <v>1888</v>
      </c>
      <c r="C444" s="2" t="str">
        <f>sheet1[[#This Row],[Nombre]]&amp;sheet1[[#This Row],[Bp Id]]</f>
        <v>Sistema de Gestión de Video DSSSEC0096</v>
      </c>
      <c r="D444" s="2" t="str">
        <f>VLOOKUP(sheet1[[#This Row],[Columna1]],sheet13[[Columna1]:[Estado]],4,FALSE)</f>
        <v>Operativo</v>
      </c>
      <c r="E444" s="2"/>
      <c r="F444" s="2" t="s">
        <v>32</v>
      </c>
      <c r="G444" s="2" t="s">
        <v>48</v>
      </c>
      <c r="H444" s="2" t="s">
        <v>34</v>
      </c>
      <c r="I444" s="2" t="s">
        <v>107</v>
      </c>
      <c r="J444" s="2" t="s">
        <v>1889</v>
      </c>
      <c r="K444" s="2" t="s">
        <v>1890</v>
      </c>
      <c r="L444" s="2" t="s">
        <v>1889</v>
      </c>
      <c r="M444" s="2" t="s">
        <v>111</v>
      </c>
      <c r="N444" s="2"/>
      <c r="O444" s="2"/>
      <c r="P444" s="2"/>
      <c r="Q444" s="2"/>
      <c r="R444" s="2"/>
      <c r="S444" s="2"/>
      <c r="T444" s="2"/>
      <c r="U444" s="3"/>
      <c r="V444" s="2"/>
      <c r="W444" s="2"/>
      <c r="X444" s="2"/>
      <c r="Y444" s="2"/>
      <c r="Z444" s="2"/>
      <c r="AA444" s="2"/>
      <c r="AB444" s="2"/>
      <c r="AC444" s="2"/>
    </row>
    <row r="445" spans="1:29" ht="20.100000000000001" customHeight="1">
      <c r="A445" s="2" t="s">
        <v>1891</v>
      </c>
      <c r="B445" s="2" t="s">
        <v>1892</v>
      </c>
      <c r="C445" s="2" t="str">
        <f>sheet1[[#This Row],[Nombre]]&amp;sheet1[[#This Row],[Bp Id]]</f>
        <v>HP Servicios GestionadosITM0087</v>
      </c>
      <c r="D445" s="2" t="str">
        <f>VLOOKUP(sheet1[[#This Row],[Columna1]],sheet13[[Columna1]:[Estado]],4,FALSE)</f>
        <v>Operativo</v>
      </c>
      <c r="E445" s="2"/>
      <c r="F445" s="2" t="s">
        <v>32</v>
      </c>
      <c r="G445" s="2" t="s">
        <v>48</v>
      </c>
      <c r="H445" s="2" t="s">
        <v>34</v>
      </c>
      <c r="I445" s="2" t="s">
        <v>68</v>
      </c>
      <c r="J445" s="2" t="s">
        <v>69</v>
      </c>
      <c r="K445" s="2" t="s">
        <v>82</v>
      </c>
      <c r="L445" s="2" t="s">
        <v>898</v>
      </c>
      <c r="M445" s="2" t="s">
        <v>52</v>
      </c>
      <c r="N445" s="2"/>
      <c r="O445" s="2"/>
      <c r="P445" s="2"/>
      <c r="Q445" s="2"/>
      <c r="R445" s="2"/>
      <c r="S445" s="2"/>
      <c r="T445" s="2"/>
      <c r="U445" s="3"/>
      <c r="V445" s="2"/>
      <c r="W445" s="2"/>
      <c r="X445" s="2"/>
      <c r="Y445" s="2"/>
      <c r="Z445" s="2"/>
      <c r="AA445" s="2"/>
      <c r="AB445" s="2"/>
      <c r="AC445" s="2"/>
    </row>
    <row r="446" spans="1:29" ht="14.45" customHeight="1">
      <c r="A446" s="2" t="s">
        <v>1893</v>
      </c>
      <c r="B446" s="2" t="s">
        <v>1894</v>
      </c>
      <c r="C446" s="2" t="str">
        <f>sheet1[[#This Row],[Nombre]]&amp;sheet1[[#This Row],[Bp Id]]</f>
        <v>Feature Flags TransversalITM0111</v>
      </c>
      <c r="D446" s="2" t="str">
        <f>VLOOKUP(sheet1[[#This Row],[Columna1]],sheet13[[Columna1]:[Estado]],4,FALSE)</f>
        <v>Operativo</v>
      </c>
      <c r="E446" s="2" t="s">
        <v>1895</v>
      </c>
      <c r="F446" s="2" t="s">
        <v>32</v>
      </c>
      <c r="G446" s="2" t="s">
        <v>48</v>
      </c>
      <c r="H446" s="2" t="s">
        <v>59</v>
      </c>
      <c r="I446" s="2" t="s">
        <v>198</v>
      </c>
      <c r="J446" s="2" t="s">
        <v>199</v>
      </c>
      <c r="K446" s="2" t="s">
        <v>241</v>
      </c>
      <c r="L446" s="2" t="s">
        <v>242</v>
      </c>
      <c r="M446" s="2" t="s">
        <v>39</v>
      </c>
      <c r="N446" s="2" t="s">
        <v>40</v>
      </c>
      <c r="O446" s="2" t="s">
        <v>43</v>
      </c>
      <c r="P446" s="2" t="s">
        <v>53</v>
      </c>
      <c r="Q446" s="2" t="s">
        <v>53</v>
      </c>
      <c r="R446" s="2" t="s">
        <v>41</v>
      </c>
      <c r="S446" s="2" t="s">
        <v>41</v>
      </c>
      <c r="T446" s="2" t="s">
        <v>1896</v>
      </c>
      <c r="U446" s="3">
        <v>46246</v>
      </c>
      <c r="V446" s="2"/>
      <c r="W446" s="2" t="s">
        <v>1897</v>
      </c>
      <c r="X446" s="2" t="s">
        <v>590</v>
      </c>
      <c r="Y446" s="2" t="s">
        <v>376</v>
      </c>
      <c r="Z446" s="2" t="s">
        <v>127</v>
      </c>
      <c r="AA446" s="2" t="s">
        <v>1863</v>
      </c>
      <c r="AB446" s="2" t="s">
        <v>415</v>
      </c>
      <c r="AC446" s="2" t="s">
        <v>1898</v>
      </c>
    </row>
    <row r="447" spans="1:29" ht="116.1" customHeight="1">
      <c r="A447" s="2" t="s">
        <v>1899</v>
      </c>
      <c r="B447" s="2" t="s">
        <v>1900</v>
      </c>
      <c r="C447" s="2" t="str">
        <f>sheet1[[#This Row],[Nombre]]&amp;sheet1[[#This Row],[Bp Id]]</f>
        <v>HARDWARE SECURITY MODULE - HSMGA0020</v>
      </c>
      <c r="D447" s="2" t="str">
        <f>VLOOKUP(sheet1[[#This Row],[Columna1]],sheet13[[Columna1]:[Estado]],4,FALSE)</f>
        <v>Operativo</v>
      </c>
      <c r="E447" s="2" t="s">
        <v>1901</v>
      </c>
      <c r="F447" s="2" t="s">
        <v>32</v>
      </c>
      <c r="G447" s="2"/>
      <c r="H447" s="2" t="s">
        <v>59</v>
      </c>
      <c r="I447" s="2"/>
      <c r="J447" s="2" t="s">
        <v>1902</v>
      </c>
      <c r="K447" s="2" t="s">
        <v>1902</v>
      </c>
      <c r="L447" s="2" t="s">
        <v>1903</v>
      </c>
      <c r="M447" s="2" t="s">
        <v>621</v>
      </c>
      <c r="N447" s="2" t="s">
        <v>40</v>
      </c>
      <c r="O447" s="2" t="s">
        <v>41</v>
      </c>
      <c r="P447" s="2" t="s">
        <v>53</v>
      </c>
      <c r="Q447" s="2" t="s">
        <v>53</v>
      </c>
      <c r="R447" s="2" t="s">
        <v>41</v>
      </c>
      <c r="S447" s="2" t="s">
        <v>41</v>
      </c>
      <c r="T447" s="2" t="s">
        <v>1904</v>
      </c>
      <c r="U447" s="3">
        <v>46245</v>
      </c>
      <c r="V447" s="2" t="s">
        <v>1905</v>
      </c>
      <c r="W447" s="2" t="s">
        <v>253</v>
      </c>
      <c r="X447" s="2" t="s">
        <v>262</v>
      </c>
      <c r="Y447" s="2" t="s">
        <v>127</v>
      </c>
      <c r="Z447" s="2" t="s">
        <v>311</v>
      </c>
      <c r="AA447" s="2" t="s">
        <v>1906</v>
      </c>
      <c r="AB447" s="2" t="s">
        <v>129</v>
      </c>
      <c r="AC447" s="2" t="s">
        <v>1907</v>
      </c>
    </row>
    <row r="448" spans="1:29" ht="20.100000000000001" customHeight="1">
      <c r="A448" s="2" t="s">
        <v>1908</v>
      </c>
      <c r="B448" s="2" t="s">
        <v>1909</v>
      </c>
      <c r="C448" s="2" t="str">
        <f>sheet1[[#This Row],[Nombre]]&amp;sheet1[[#This Row],[Bp Id]]</f>
        <v>Redis EnterpriseITM0142</v>
      </c>
      <c r="D448" s="2" t="str">
        <f>VLOOKUP(sheet1[[#This Row],[Columna1]],sheet13[[Columna1]:[Estado]],4,FALSE)</f>
        <v>Operativo</v>
      </c>
      <c r="E448" s="2"/>
      <c r="F448" s="2" t="s">
        <v>32</v>
      </c>
      <c r="G448" s="2" t="s">
        <v>48</v>
      </c>
      <c r="H448" s="2" t="s">
        <v>34</v>
      </c>
      <c r="I448" s="2" t="s">
        <v>449</v>
      </c>
      <c r="J448" s="2" t="s">
        <v>450</v>
      </c>
      <c r="K448" s="2" t="s">
        <v>450</v>
      </c>
      <c r="L448" s="2" t="s">
        <v>1910</v>
      </c>
      <c r="M448" s="2" t="s">
        <v>52</v>
      </c>
      <c r="N448" s="2" t="s">
        <v>40</v>
      </c>
      <c r="O448" s="2"/>
      <c r="P448" s="2"/>
      <c r="Q448" s="2"/>
      <c r="R448" s="2" t="s">
        <v>41</v>
      </c>
      <c r="S448" s="2" t="s">
        <v>43</v>
      </c>
      <c r="T448" s="2"/>
      <c r="U448" s="3"/>
      <c r="V448" s="2"/>
      <c r="W448" s="2"/>
      <c r="X448" s="2"/>
      <c r="Y448" s="2"/>
      <c r="Z448" s="2"/>
      <c r="AA448" s="2"/>
      <c r="AB448" s="2"/>
      <c r="AC448" s="2"/>
    </row>
    <row r="449" spans="1:29" ht="20.100000000000001" customHeight="1">
      <c r="A449" s="2" t="s">
        <v>1911</v>
      </c>
      <c r="B449" s="2" t="s">
        <v>1912</v>
      </c>
      <c r="C449" s="2" t="str">
        <f>sheet1[[#This Row],[Nombre]]&amp;sheet1[[#This Row],[Bp Id]]</f>
        <v>Sistema Nacional de PagosPRD0028</v>
      </c>
      <c r="D449" s="2" t="str">
        <f>VLOOKUP(sheet1[[#This Row],[Columna1]],sheet13[[Columna1]:[Estado]],4,FALSE)</f>
        <v>Operativo</v>
      </c>
      <c r="E449" s="2"/>
      <c r="F449" s="2" t="s">
        <v>32</v>
      </c>
      <c r="G449" s="2" t="s">
        <v>123</v>
      </c>
      <c r="H449" s="2" t="s">
        <v>34</v>
      </c>
      <c r="I449" s="2" t="s">
        <v>553</v>
      </c>
      <c r="J449" s="2" t="s">
        <v>554</v>
      </c>
      <c r="K449" s="2" t="s">
        <v>634</v>
      </c>
      <c r="L449" s="2" t="s">
        <v>722</v>
      </c>
      <c r="M449" s="2" t="s">
        <v>39</v>
      </c>
      <c r="N449" s="2" t="s">
        <v>40</v>
      </c>
      <c r="O449" s="2"/>
      <c r="P449" s="2"/>
      <c r="Q449" s="2"/>
      <c r="R449" s="2" t="s">
        <v>41</v>
      </c>
      <c r="S449" s="2" t="s">
        <v>43</v>
      </c>
      <c r="T449" s="2"/>
      <c r="U449" s="3"/>
      <c r="V449" s="2"/>
      <c r="W449" s="2"/>
      <c r="X449" s="2"/>
      <c r="Y449" s="2"/>
      <c r="Z449" s="2"/>
      <c r="AA449" s="2"/>
      <c r="AB449" s="2"/>
      <c r="AC449" s="2"/>
    </row>
    <row r="450" spans="1:29" ht="20.100000000000001" customHeight="1">
      <c r="A450" s="2" t="s">
        <v>1913</v>
      </c>
      <c r="B450" s="2" t="s">
        <v>1914</v>
      </c>
      <c r="C450" s="2" t="str">
        <f>sheet1[[#This Row],[Nombre]]&amp;sheet1[[#This Row],[Bp Id]]</f>
        <v>OnboardingCUS0021</v>
      </c>
      <c r="D450" s="2" t="str">
        <f>VLOOKUP(sheet1[[#This Row],[Columna1]],sheet13[[Columna1]:[Estado]],4,FALSE)</f>
        <v>Operativo</v>
      </c>
      <c r="E450" s="2"/>
      <c r="F450" s="2" t="s">
        <v>32</v>
      </c>
      <c r="G450" s="2" t="s">
        <v>76</v>
      </c>
      <c r="H450" s="2" t="s">
        <v>59</v>
      </c>
      <c r="I450" s="2" t="s">
        <v>1854</v>
      </c>
      <c r="J450" s="2" t="s">
        <v>88</v>
      </c>
      <c r="K450" s="2" t="s">
        <v>1855</v>
      </c>
      <c r="L450" s="2" t="s">
        <v>88</v>
      </c>
      <c r="M450" s="2" t="s">
        <v>63</v>
      </c>
      <c r="N450" s="2"/>
      <c r="O450" s="2"/>
      <c r="P450" s="2"/>
      <c r="Q450" s="2"/>
      <c r="R450" s="2"/>
      <c r="S450" s="2"/>
      <c r="T450" s="2"/>
      <c r="U450" s="3"/>
      <c r="V450" s="2"/>
      <c r="W450" s="2"/>
      <c r="X450" s="2"/>
      <c r="Y450" s="2"/>
      <c r="Z450" s="2"/>
      <c r="AA450" s="2"/>
      <c r="AB450" s="2"/>
      <c r="AC450" s="2"/>
    </row>
    <row r="451" spans="1:29" ht="20.100000000000001" customHeight="1">
      <c r="A451" s="2" t="s">
        <v>1915</v>
      </c>
      <c r="B451" s="2" t="s">
        <v>1916</v>
      </c>
      <c r="C451" s="2" t="str">
        <f>sheet1[[#This Row],[Nombre]]&amp;sheet1[[#This Row],[Bp Id]]</f>
        <v>SDWAN CISCOITM0090</v>
      </c>
      <c r="D451" s="2" t="str">
        <f>VLOOKUP(sheet1[[#This Row],[Columna1]],sheet13[[Columna1]:[Estado]],4,FALSE)</f>
        <v>Operativo</v>
      </c>
      <c r="E451" s="2"/>
      <c r="F451" s="2" t="s">
        <v>32</v>
      </c>
      <c r="G451" s="2" t="s">
        <v>48</v>
      </c>
      <c r="H451" s="2" t="s">
        <v>140</v>
      </c>
      <c r="I451" s="2" t="s">
        <v>68</v>
      </c>
      <c r="J451" s="2" t="s">
        <v>69</v>
      </c>
      <c r="K451" s="2" t="s">
        <v>516</v>
      </c>
      <c r="L451" s="2" t="s">
        <v>529</v>
      </c>
      <c r="M451" s="2" t="s">
        <v>52</v>
      </c>
      <c r="N451" s="2"/>
      <c r="O451" s="2"/>
      <c r="P451" s="2"/>
      <c r="Q451" s="2"/>
      <c r="R451" s="2"/>
      <c r="S451" s="2"/>
      <c r="T451" s="2"/>
      <c r="U451" s="3"/>
      <c r="V451" s="2"/>
      <c r="W451" s="2"/>
      <c r="X451" s="2"/>
      <c r="Y451" s="2"/>
      <c r="Z451" s="2"/>
      <c r="AA451" s="2"/>
      <c r="AB451" s="2"/>
      <c r="AC451" s="2"/>
    </row>
    <row r="452" spans="1:29" ht="116.1" customHeight="1">
      <c r="A452" s="2" t="s">
        <v>1917</v>
      </c>
      <c r="B452" s="2" t="s">
        <v>1918</v>
      </c>
      <c r="C452" s="2" t="str">
        <f>sheet1[[#This Row],[Nombre]]&amp;sheet1[[#This Row],[Bp Id]]</f>
        <v>MSAL Seguridad de Aplicaciones LegadasITM0145</v>
      </c>
      <c r="D452" s="2" t="str">
        <f>VLOOKUP(sheet1[[#This Row],[Columna1]],sheet13[[Columna1]:[Estado]],4,FALSE)</f>
        <v>Operativo</v>
      </c>
      <c r="E452" s="2" t="s">
        <v>1919</v>
      </c>
      <c r="F452" s="2" t="s">
        <v>32</v>
      </c>
      <c r="G452" s="2" t="s">
        <v>48</v>
      </c>
      <c r="H452" s="2" t="s">
        <v>34</v>
      </c>
      <c r="I452" s="2" t="s">
        <v>258</v>
      </c>
      <c r="J452" s="2" t="s">
        <v>259</v>
      </c>
      <c r="K452" s="2" t="s">
        <v>260</v>
      </c>
      <c r="L452" s="2" t="s">
        <v>261</v>
      </c>
      <c r="M452" s="2" t="s">
        <v>111</v>
      </c>
      <c r="N452" s="2" t="s">
        <v>40</v>
      </c>
      <c r="O452" s="2"/>
      <c r="P452" s="2" t="s">
        <v>64</v>
      </c>
      <c r="Q452" s="2" t="s">
        <v>64</v>
      </c>
      <c r="R452" s="2" t="s">
        <v>41</v>
      </c>
      <c r="S452" s="2" t="s">
        <v>41</v>
      </c>
      <c r="T452" s="2" t="s">
        <v>1920</v>
      </c>
      <c r="U452" s="3">
        <v>46247</v>
      </c>
      <c r="V452" s="2" t="s">
        <v>1921</v>
      </c>
      <c r="W452" s="2" t="s">
        <v>100</v>
      </c>
      <c r="X452" s="2" t="s">
        <v>101</v>
      </c>
      <c r="Y452" s="2" t="s">
        <v>376</v>
      </c>
      <c r="Z452" s="2" t="s">
        <v>127</v>
      </c>
      <c r="AA452" s="2" t="s">
        <v>1863</v>
      </c>
      <c r="AB452" s="2" t="s">
        <v>129</v>
      </c>
      <c r="AC452" s="2" t="s">
        <v>1922</v>
      </c>
    </row>
    <row r="453" spans="1:29" ht="20.100000000000001" customHeight="1">
      <c r="A453" s="2" t="s">
        <v>1923</v>
      </c>
      <c r="B453" s="2" t="s">
        <v>1924</v>
      </c>
      <c r="C453" s="2" t="str">
        <f>sheet1[[#This Row],[Nombre]]&amp;sheet1[[#This Row],[Bp Id]]</f>
        <v>ZDLRAITM0067</v>
      </c>
      <c r="D453" s="2" t="str">
        <f>VLOOKUP(sheet1[[#This Row],[Columna1]],sheet13[[Columna1]:[Estado]],4,FALSE)</f>
        <v>Operativo</v>
      </c>
      <c r="E453" s="2"/>
      <c r="F453" s="2" t="s">
        <v>32</v>
      </c>
      <c r="G453" s="2" t="s">
        <v>76</v>
      </c>
      <c r="H453" s="2" t="s">
        <v>34</v>
      </c>
      <c r="I453" s="2" t="s">
        <v>68</v>
      </c>
      <c r="J453" s="2" t="s">
        <v>236</v>
      </c>
      <c r="K453" s="2" t="s">
        <v>70</v>
      </c>
      <c r="L453" s="2" t="s">
        <v>586</v>
      </c>
      <c r="M453" s="2" t="s">
        <v>52</v>
      </c>
      <c r="N453" s="2" t="s">
        <v>40</v>
      </c>
      <c r="O453" s="2"/>
      <c r="P453" s="2"/>
      <c r="Q453" s="2"/>
      <c r="R453" s="2" t="s">
        <v>41</v>
      </c>
      <c r="S453" s="2" t="s">
        <v>43</v>
      </c>
      <c r="T453" s="2"/>
      <c r="U453" s="3"/>
      <c r="V453" s="2"/>
      <c r="W453" s="2"/>
      <c r="X453" s="2"/>
      <c r="Y453" s="2"/>
      <c r="Z453" s="2"/>
      <c r="AA453" s="2"/>
      <c r="AB453" s="2"/>
      <c r="AC453" s="2"/>
    </row>
    <row r="454" spans="1:29" ht="20.100000000000001" customHeight="1">
      <c r="A454" s="2" t="s">
        <v>1925</v>
      </c>
      <c r="B454" s="2" t="s">
        <v>1926</v>
      </c>
      <c r="C454" s="2" t="str">
        <f>sheet1[[#This Row],[Nombre]]&amp;sheet1[[#This Row],[Bp Id]]</f>
        <v>BMC HelixITM0139</v>
      </c>
      <c r="D454" s="2" t="str">
        <f>VLOOKUP(sheet1[[#This Row],[Columna1]],sheet13[[Columna1]:[Estado]],4,FALSE)</f>
        <v>Operativo</v>
      </c>
      <c r="E454" s="2"/>
      <c r="F454" s="2" t="s">
        <v>32</v>
      </c>
      <c r="G454" s="2" t="s">
        <v>48</v>
      </c>
      <c r="H454" s="2" t="s">
        <v>34</v>
      </c>
      <c r="I454" s="2" t="s">
        <v>670</v>
      </c>
      <c r="J454" s="2" t="s">
        <v>450</v>
      </c>
      <c r="K454" s="2" t="s">
        <v>671</v>
      </c>
      <c r="L454" s="2" t="s">
        <v>1435</v>
      </c>
      <c r="M454" s="2" t="s">
        <v>111</v>
      </c>
      <c r="N454" s="2" t="s">
        <v>40</v>
      </c>
      <c r="O454" s="2"/>
      <c r="P454" s="2"/>
      <c r="Q454" s="2"/>
      <c r="R454" s="2" t="s">
        <v>41</v>
      </c>
      <c r="S454" s="2" t="s">
        <v>43</v>
      </c>
      <c r="T454" s="2"/>
      <c r="U454" s="3"/>
      <c r="V454" s="2"/>
      <c r="W454" s="2"/>
      <c r="X454" s="2"/>
      <c r="Y454" s="2"/>
      <c r="Z454" s="2"/>
      <c r="AA454" s="2"/>
      <c r="AB454" s="2"/>
      <c r="AC454" s="2"/>
    </row>
    <row r="455" spans="1:29" ht="20.100000000000001" customHeight="1">
      <c r="A455" s="2" t="s">
        <v>1927</v>
      </c>
      <c r="B455" s="2" t="s">
        <v>1928</v>
      </c>
      <c r="C455" s="2" t="str">
        <f>sheet1[[#This Row],[Nombre]]&amp;sheet1[[#This Row],[Bp Id]]</f>
        <v>IBM Guardium Key Lifecycle ManagerITM0116</v>
      </c>
      <c r="D455" s="2" t="str">
        <f>VLOOKUP(sheet1[[#This Row],[Columna1]],sheet13[[Columna1]:[Estado]],4,FALSE)</f>
        <v>Operativo</v>
      </c>
      <c r="E455" s="2"/>
      <c r="F455" s="2" t="s">
        <v>32</v>
      </c>
      <c r="G455" s="2" t="s">
        <v>48</v>
      </c>
      <c r="H455" s="2" t="s">
        <v>34</v>
      </c>
      <c r="I455" s="2" t="s">
        <v>68</v>
      </c>
      <c r="J455" s="2" t="s">
        <v>69</v>
      </c>
      <c r="K455" s="2" t="s">
        <v>70</v>
      </c>
      <c r="L455" s="2" t="s">
        <v>1929</v>
      </c>
      <c r="M455" s="2" t="s">
        <v>52</v>
      </c>
      <c r="N455" s="2"/>
      <c r="O455" s="2"/>
      <c r="P455" s="2"/>
      <c r="Q455" s="2"/>
      <c r="R455" s="2"/>
      <c r="S455" s="2"/>
      <c r="T455" s="2"/>
      <c r="U455" s="3"/>
      <c r="V455" s="2"/>
      <c r="W455" s="2"/>
      <c r="X455" s="2"/>
      <c r="Y455" s="2"/>
      <c r="Z455" s="2"/>
      <c r="AA455" s="2"/>
      <c r="AB455" s="2"/>
      <c r="AC455" s="2"/>
    </row>
    <row r="456" spans="1:29" ht="20.100000000000001" customHeight="1">
      <c r="A456" s="2" t="s">
        <v>1930</v>
      </c>
      <c r="B456" s="2" t="s">
        <v>1931</v>
      </c>
      <c r="C456" s="2" t="str">
        <f>sheet1[[#This Row],[Nombre]]&amp;sheet1[[#This Row],[Bp Id]]</f>
        <v>Stratio RocketDAT0011</v>
      </c>
      <c r="D456" s="2" t="str">
        <f>VLOOKUP(sheet1[[#This Row],[Columna1]],sheet13[[Columna1]:[Estado]],4,FALSE)</f>
        <v>Retirado</v>
      </c>
      <c r="E456" s="2"/>
      <c r="F456" s="2" t="s">
        <v>47</v>
      </c>
      <c r="G456" s="2" t="s">
        <v>48</v>
      </c>
      <c r="H456" s="2" t="s">
        <v>59</v>
      </c>
      <c r="I456" s="2" t="s">
        <v>328</v>
      </c>
      <c r="J456" s="2" t="s">
        <v>329</v>
      </c>
      <c r="K456" s="2" t="s">
        <v>575</v>
      </c>
      <c r="L456" s="2" t="s">
        <v>575</v>
      </c>
      <c r="M456" s="2"/>
      <c r="N456" s="2"/>
      <c r="O456" s="2"/>
      <c r="P456" s="2"/>
      <c r="Q456" s="2"/>
      <c r="R456" s="2"/>
      <c r="S456" s="2"/>
      <c r="T456" s="2"/>
      <c r="U456" s="3"/>
      <c r="V456" s="2"/>
      <c r="W456" s="2"/>
      <c r="X456" s="2"/>
      <c r="Y456" s="2"/>
      <c r="Z456" s="2"/>
      <c r="AA456" s="2"/>
      <c r="AB456" s="2"/>
      <c r="AC456" s="2"/>
    </row>
    <row r="457" spans="1:29" ht="20.100000000000001" customHeight="1">
      <c r="A457" s="2" t="s">
        <v>1932</v>
      </c>
      <c r="B457" s="2" t="s">
        <v>1933</v>
      </c>
      <c r="C457" s="2" t="str">
        <f>sheet1[[#This Row],[Nombre]]&amp;sheet1[[#This Row],[Bp Id]]</f>
        <v>Servicenow ITSMITM0101</v>
      </c>
      <c r="D457" s="2" t="str">
        <f>VLOOKUP(sheet1[[#This Row],[Columna1]],sheet13[[Columna1]:[Estado]],4,FALSE)</f>
        <v>Operativo</v>
      </c>
      <c r="E457" s="2"/>
      <c r="F457" s="2" t="s">
        <v>32</v>
      </c>
      <c r="G457" s="2" t="s">
        <v>76</v>
      </c>
      <c r="H457" s="2" t="s">
        <v>59</v>
      </c>
      <c r="I457" s="2" t="s">
        <v>232</v>
      </c>
      <c r="J457" s="2" t="s">
        <v>234</v>
      </c>
      <c r="K457" s="2" t="s">
        <v>1256</v>
      </c>
      <c r="L457" s="2" t="s">
        <v>1256</v>
      </c>
      <c r="M457" s="2"/>
      <c r="N457" s="2"/>
      <c r="O457" s="2"/>
      <c r="P457" s="2"/>
      <c r="Q457" s="2"/>
      <c r="R457" s="2"/>
      <c r="S457" s="2"/>
      <c r="T457" s="2"/>
      <c r="U457" s="3"/>
      <c r="V457" s="2"/>
      <c r="W457" s="2"/>
      <c r="X457" s="2"/>
      <c r="Y457" s="2"/>
      <c r="Z457" s="2"/>
      <c r="AA457" s="2"/>
      <c r="AB457" s="2"/>
      <c r="AC457" s="2"/>
    </row>
    <row r="458" spans="1:29" ht="20.100000000000001" customHeight="1">
      <c r="A458" s="2" t="s">
        <v>1934</v>
      </c>
      <c r="B458" s="2" t="s">
        <v>1935</v>
      </c>
      <c r="C458" s="2" t="str">
        <f>sheet1[[#This Row],[Nombre]]&amp;sheet1[[#This Row],[Bp Id]]</f>
        <v>Modelo Credito Pequeñas Empresas(MEC)RIS0016</v>
      </c>
      <c r="D458" s="2" t="str">
        <f>VLOOKUP(sheet1[[#This Row],[Columna1]],sheet13[[Columna1]:[Estado]],4,FALSE)</f>
        <v>Retirado</v>
      </c>
      <c r="E458" s="2"/>
      <c r="F458" s="2" t="s">
        <v>47</v>
      </c>
      <c r="G458" s="2" t="s">
        <v>48</v>
      </c>
      <c r="H458" s="2" t="s">
        <v>34</v>
      </c>
      <c r="I458" s="2" t="s">
        <v>553</v>
      </c>
      <c r="J458" s="2" t="s">
        <v>554</v>
      </c>
      <c r="K458" s="2"/>
      <c r="L458" s="2"/>
      <c r="M458" s="2"/>
      <c r="N458" s="2"/>
      <c r="O458" s="2"/>
      <c r="P458" s="2"/>
      <c r="Q458" s="2"/>
      <c r="R458" s="2"/>
      <c r="S458" s="2"/>
      <c r="T458" s="2"/>
      <c r="U458" s="3"/>
      <c r="V458" s="2"/>
      <c r="W458" s="2"/>
      <c r="X458" s="2"/>
      <c r="Y458" s="2"/>
      <c r="Z458" s="2"/>
      <c r="AA458" s="2"/>
      <c r="AB458" s="2"/>
      <c r="AC458" s="2"/>
    </row>
    <row r="459" spans="1:29" ht="20.100000000000001" customHeight="1">
      <c r="A459" s="2" t="s">
        <v>1936</v>
      </c>
      <c r="B459" s="2" t="s">
        <v>1937</v>
      </c>
      <c r="C459" s="2" t="str">
        <f>sheet1[[#This Row],[Nombre]]&amp;sheet1[[#This Row],[Bp Id]]</f>
        <v>DatawarehouseDAT0003</v>
      </c>
      <c r="D459" s="2" t="str">
        <f>VLOOKUP(sheet1[[#This Row],[Columna1]],sheet13[[Columna1]:[Estado]],4,FALSE)</f>
        <v>Retirado</v>
      </c>
      <c r="E459" s="2"/>
      <c r="F459" s="2" t="s">
        <v>47</v>
      </c>
      <c r="G459" s="2" t="s">
        <v>76</v>
      </c>
      <c r="H459" s="2" t="s">
        <v>34</v>
      </c>
      <c r="I459" s="2" t="s">
        <v>328</v>
      </c>
      <c r="J459" s="2" t="s">
        <v>329</v>
      </c>
      <c r="K459" s="2" t="s">
        <v>575</v>
      </c>
      <c r="L459" s="2" t="s">
        <v>647</v>
      </c>
      <c r="M459" s="2"/>
      <c r="N459" s="2"/>
      <c r="O459" s="2"/>
      <c r="P459" s="2"/>
      <c r="Q459" s="2"/>
      <c r="R459" s="2"/>
      <c r="S459" s="2"/>
      <c r="T459" s="2"/>
      <c r="U459" s="3"/>
      <c r="V459" s="2"/>
      <c r="W459" s="2"/>
      <c r="X459" s="2"/>
      <c r="Y459" s="2"/>
      <c r="Z459" s="2"/>
      <c r="AA459" s="2"/>
      <c r="AB459" s="2"/>
      <c r="AC459" s="2"/>
    </row>
    <row r="460" spans="1:29" ht="20.100000000000001" customHeight="1">
      <c r="A460" s="2" t="s">
        <v>1938</v>
      </c>
      <c r="B460" s="2" t="s">
        <v>1939</v>
      </c>
      <c r="C460" s="2" t="str">
        <f>sheet1[[#This Row],[Nombre]]&amp;sheet1[[#This Row],[Bp Id]]</f>
        <v>Nessus ProfessionalSEC0029</v>
      </c>
      <c r="D460" s="2" t="str">
        <f>VLOOKUP(sheet1[[#This Row],[Columna1]],sheet13[[Columna1]:[Estado]],4,FALSE)</f>
        <v>Retirado</v>
      </c>
      <c r="E460" s="2"/>
      <c r="F460" s="2" t="s">
        <v>47</v>
      </c>
      <c r="G460" s="2" t="s">
        <v>48</v>
      </c>
      <c r="H460" s="2" t="s">
        <v>34</v>
      </c>
      <c r="I460" s="2" t="s">
        <v>107</v>
      </c>
      <c r="J460" s="2" t="s">
        <v>272</v>
      </c>
      <c r="K460" s="2" t="s">
        <v>176</v>
      </c>
      <c r="L460" s="2" t="s">
        <v>214</v>
      </c>
      <c r="M460" s="2"/>
      <c r="N460" s="2"/>
      <c r="O460" s="2"/>
      <c r="P460" s="2"/>
      <c r="Q460" s="2"/>
      <c r="R460" s="2"/>
      <c r="S460" s="2"/>
      <c r="T460" s="2"/>
      <c r="U460" s="3"/>
      <c r="V460" s="2"/>
      <c r="W460" s="2"/>
      <c r="X460" s="2"/>
      <c r="Y460" s="2"/>
      <c r="Z460" s="2"/>
      <c r="AA460" s="2"/>
      <c r="AB460" s="2"/>
      <c r="AC460" s="2"/>
    </row>
    <row r="461" spans="1:29" ht="20.100000000000001" customHeight="1">
      <c r="A461" s="2" t="s">
        <v>1940</v>
      </c>
      <c r="B461" s="2" t="s">
        <v>1941</v>
      </c>
      <c r="C461" s="2" t="str">
        <f>sheet1[[#This Row],[Nombre]]&amp;sheet1[[#This Row],[Bp Id]]</f>
        <v>Servicios Tarjeta de Crédito (OTPs TDD)PAY0014</v>
      </c>
      <c r="D461" s="2" t="str">
        <f>VLOOKUP(sheet1[[#This Row],[Columna1]],sheet13[[Columna1]:[Estado]],4,FALSE)</f>
        <v>Retirado</v>
      </c>
      <c r="E461" s="2"/>
      <c r="F461" s="2" t="s">
        <v>47</v>
      </c>
      <c r="G461" s="2" t="s">
        <v>48</v>
      </c>
      <c r="H461" s="2" t="s">
        <v>34</v>
      </c>
      <c r="I461" s="2" t="s">
        <v>141</v>
      </c>
      <c r="J461" s="2" t="s">
        <v>142</v>
      </c>
      <c r="K461" s="2" t="s">
        <v>1366</v>
      </c>
      <c r="L461" s="2" t="s">
        <v>565</v>
      </c>
      <c r="M461" s="2"/>
      <c r="N461" s="2"/>
      <c r="O461" s="2"/>
      <c r="P461" s="2"/>
      <c r="Q461" s="2"/>
      <c r="R461" s="2"/>
      <c r="S461" s="2"/>
      <c r="T461" s="2"/>
      <c r="U461" s="3"/>
      <c r="V461" s="2"/>
      <c r="W461" s="2"/>
      <c r="X461" s="2"/>
      <c r="Y461" s="2"/>
      <c r="Z461" s="2"/>
      <c r="AA461" s="2"/>
      <c r="AB461" s="2"/>
      <c r="AC461" s="2"/>
    </row>
    <row r="462" spans="1:29" ht="20.100000000000001" customHeight="1">
      <c r="A462" s="2" t="s">
        <v>1942</v>
      </c>
      <c r="B462" s="2" t="s">
        <v>1943</v>
      </c>
      <c r="C462" s="2" t="str">
        <f>sheet1[[#This Row],[Nombre]]&amp;sheet1[[#This Row],[Bp Id]]</f>
        <v>Qlik SenseDAT0008</v>
      </c>
      <c r="D462" s="2" t="str">
        <f>VLOOKUP(sheet1[[#This Row],[Columna1]],sheet13[[Columna1]:[Estado]],4,FALSE)</f>
        <v>Retirado</v>
      </c>
      <c r="E462" s="2"/>
      <c r="F462" s="2" t="s">
        <v>47</v>
      </c>
      <c r="G462" s="2" t="s">
        <v>48</v>
      </c>
      <c r="H462" s="2" t="s">
        <v>34</v>
      </c>
      <c r="I462" s="2" t="s">
        <v>328</v>
      </c>
      <c r="J462" s="2" t="s">
        <v>329</v>
      </c>
      <c r="K462" s="2"/>
      <c r="L462" s="2" t="s">
        <v>647</v>
      </c>
      <c r="M462" s="2"/>
      <c r="N462" s="2"/>
      <c r="O462" s="2"/>
      <c r="P462" s="2"/>
      <c r="Q462" s="2"/>
      <c r="R462" s="2"/>
      <c r="S462" s="2"/>
      <c r="T462" s="2"/>
      <c r="U462" s="3"/>
      <c r="V462" s="2"/>
      <c r="W462" s="2"/>
      <c r="X462" s="2"/>
      <c r="Y462" s="2"/>
      <c r="Z462" s="2"/>
      <c r="AA462" s="2"/>
      <c r="AB462" s="2"/>
      <c r="AC462" s="2"/>
    </row>
    <row r="463" spans="1:29" ht="20.100000000000001" customHeight="1">
      <c r="A463" s="2" t="s">
        <v>1944</v>
      </c>
      <c r="B463" s="2" t="s">
        <v>1945</v>
      </c>
      <c r="C463" s="2" t="str">
        <f>sheet1[[#This Row],[Nombre]]&amp;sheet1[[#This Row],[Bp Id]]</f>
        <v>Switch de Servicios ATMsCHL0027</v>
      </c>
      <c r="D463" s="2" t="str">
        <f>VLOOKUP(sheet1[[#This Row],[Columna1]],sheet13[[Columna1]:[Estado]],4,FALSE)</f>
        <v>Retirado</v>
      </c>
      <c r="E463" s="2"/>
      <c r="F463" s="2" t="s">
        <v>47</v>
      </c>
      <c r="G463" s="2" t="s">
        <v>48</v>
      </c>
      <c r="H463" s="2" t="s">
        <v>34</v>
      </c>
      <c r="I463" s="2" t="s">
        <v>35</v>
      </c>
      <c r="J463" s="2" t="s">
        <v>349</v>
      </c>
      <c r="K463" s="2" t="s">
        <v>234</v>
      </c>
      <c r="L463" s="2" t="s">
        <v>1326</v>
      </c>
      <c r="M463" s="2"/>
      <c r="N463" s="2"/>
      <c r="O463" s="2"/>
      <c r="P463" s="2"/>
      <c r="Q463" s="2"/>
      <c r="R463" s="2"/>
      <c r="S463" s="2"/>
      <c r="T463" s="2"/>
      <c r="U463" s="3"/>
      <c r="V463" s="2"/>
      <c r="W463" s="2"/>
      <c r="X463" s="2"/>
      <c r="Y463" s="2"/>
      <c r="Z463" s="2"/>
      <c r="AA463" s="2"/>
      <c r="AB463" s="2"/>
      <c r="AC463" s="2"/>
    </row>
    <row r="464" spans="1:29" ht="20.100000000000001" customHeight="1">
      <c r="A464" s="2" t="s">
        <v>1946</v>
      </c>
      <c r="B464" s="2" t="s">
        <v>1947</v>
      </c>
      <c r="C464" s="2" t="str">
        <f>sheet1[[#This Row],[Nombre]]&amp;sheet1[[#This Row],[Bp Id]]</f>
        <v>Afiliacion_Pichincha_EmpresasPRD0002</v>
      </c>
      <c r="D464" s="2" t="str">
        <f>VLOOKUP(sheet1[[#This Row],[Columna1]],sheet13[[Columna1]:[Estado]],4,FALSE)</f>
        <v>Retirado</v>
      </c>
      <c r="E464" s="2"/>
      <c r="F464" s="2" t="s">
        <v>47</v>
      </c>
      <c r="G464" s="2" t="s">
        <v>76</v>
      </c>
      <c r="H464" s="2" t="s">
        <v>34</v>
      </c>
      <c r="I464" s="2" t="s">
        <v>553</v>
      </c>
      <c r="J464" s="2" t="s">
        <v>554</v>
      </c>
      <c r="K464" s="2"/>
      <c r="L464" s="2" t="s">
        <v>722</v>
      </c>
      <c r="M464" s="2"/>
      <c r="N464" s="2"/>
      <c r="O464" s="2"/>
      <c r="P464" s="2"/>
      <c r="Q464" s="2"/>
      <c r="R464" s="2"/>
      <c r="S464" s="2"/>
      <c r="T464" s="2"/>
      <c r="U464" s="3"/>
      <c r="V464" s="2"/>
      <c r="W464" s="2"/>
      <c r="X464" s="2"/>
      <c r="Y464" s="2"/>
      <c r="Z464" s="2"/>
      <c r="AA464" s="2"/>
      <c r="AB464" s="2"/>
      <c r="AC464" s="2"/>
    </row>
    <row r="465" spans="1:29" ht="20.100000000000001" customHeight="1">
      <c r="A465" s="2" t="s">
        <v>1948</v>
      </c>
      <c r="B465" s="2" t="s">
        <v>1949</v>
      </c>
      <c r="C465" s="2" t="str">
        <f>sheet1[[#This Row],[Nombre]]&amp;sheet1[[#This Row],[Bp Id]]</f>
        <v>Automatizaciones BDDITM0091</v>
      </c>
      <c r="D465" s="2" t="str">
        <f>VLOOKUP(sheet1[[#This Row],[Columna1]],sheet13[[Columna1]:[Estado]],4,FALSE)</f>
        <v>Operativo</v>
      </c>
      <c r="E465" s="2"/>
      <c r="F465" s="2" t="s">
        <v>32</v>
      </c>
      <c r="G465" s="2" t="s">
        <v>48</v>
      </c>
      <c r="H465" s="2" t="s">
        <v>34</v>
      </c>
      <c r="I465" s="2" t="s">
        <v>68</v>
      </c>
      <c r="J465" s="2" t="s">
        <v>69</v>
      </c>
      <c r="K465" s="2" t="s">
        <v>70</v>
      </c>
      <c r="L465" s="2" t="s">
        <v>71</v>
      </c>
      <c r="M465" s="2"/>
      <c r="N465" s="2"/>
      <c r="O465" s="2"/>
      <c r="P465" s="2"/>
      <c r="Q465" s="2"/>
      <c r="R465" s="2"/>
      <c r="S465" s="2"/>
      <c r="T465" s="2"/>
      <c r="U465" s="3"/>
      <c r="V465" s="2"/>
      <c r="W465" s="2"/>
      <c r="X465" s="2"/>
      <c r="Y465" s="2"/>
      <c r="Z465" s="2"/>
      <c r="AA465" s="2"/>
      <c r="AB465" s="2"/>
      <c r="AC465" s="2"/>
    </row>
    <row r="466" spans="1:29" ht="20.100000000000001" customHeight="1">
      <c r="A466" s="2" t="s">
        <v>1950</v>
      </c>
      <c r="B466" s="2" t="s">
        <v>1951</v>
      </c>
      <c r="C466" s="2" t="str">
        <f>sheet1[[#This Row],[Nombre]]&amp;sheet1[[#This Row],[Bp Id]]</f>
        <v>TeamsITM0057</v>
      </c>
      <c r="D466" s="2" t="str">
        <f>VLOOKUP(sheet1[[#This Row],[Columna1]],sheet13[[Columna1]:[Estado]],4,FALSE)</f>
        <v>Retirado</v>
      </c>
      <c r="E466" s="2"/>
      <c r="F466" s="2" t="s">
        <v>47</v>
      </c>
      <c r="G466" s="2" t="s">
        <v>48</v>
      </c>
      <c r="H466" s="2" t="s">
        <v>59</v>
      </c>
      <c r="I466" s="2" t="s">
        <v>68</v>
      </c>
      <c r="J466" s="2" t="s">
        <v>236</v>
      </c>
      <c r="K466" s="2"/>
      <c r="L466" s="2" t="s">
        <v>234</v>
      </c>
      <c r="M466" s="2"/>
      <c r="N466" s="2"/>
      <c r="O466" s="2"/>
      <c r="P466" s="2"/>
      <c r="Q466" s="2"/>
      <c r="R466" s="2"/>
      <c r="S466" s="2"/>
      <c r="T466" s="2"/>
      <c r="U466" s="3"/>
      <c r="V466" s="2"/>
      <c r="W466" s="2"/>
      <c r="X466" s="2"/>
      <c r="Y466" s="2"/>
      <c r="Z466" s="2"/>
      <c r="AA466" s="2"/>
      <c r="AB466" s="2"/>
      <c r="AC466" s="2"/>
    </row>
    <row r="467" spans="1:29" ht="20.100000000000001" customHeight="1">
      <c r="A467" s="2" t="s">
        <v>1952</v>
      </c>
      <c r="B467" s="2" t="s">
        <v>1953</v>
      </c>
      <c r="C467" s="2" t="str">
        <f>sheet1[[#This Row],[Nombre]]&amp;sheet1[[#This Row],[Bp Id]]</f>
        <v>VMware Site Recovery ManagerITM0079</v>
      </c>
      <c r="D467" s="2" t="str">
        <f>VLOOKUP(sheet1[[#This Row],[Columna1]],sheet13[[Columna1]:[Estado]],4,FALSE)</f>
        <v>Operativo</v>
      </c>
      <c r="E467" s="2"/>
      <c r="F467" s="2" t="s">
        <v>32</v>
      </c>
      <c r="G467" s="2" t="s">
        <v>48</v>
      </c>
      <c r="H467" s="2" t="s">
        <v>34</v>
      </c>
      <c r="I467" s="2" t="s">
        <v>68</v>
      </c>
      <c r="J467" s="2" t="s">
        <v>69</v>
      </c>
      <c r="K467" s="2" t="s">
        <v>82</v>
      </c>
      <c r="L467" s="2" t="s">
        <v>1715</v>
      </c>
      <c r="M467" s="2"/>
      <c r="N467" s="2"/>
      <c r="O467" s="2"/>
      <c r="P467" s="2"/>
      <c r="Q467" s="2"/>
      <c r="R467" s="2"/>
      <c r="S467" s="2"/>
      <c r="T467" s="2"/>
      <c r="U467" s="3"/>
      <c r="V467" s="2"/>
      <c r="W467" s="2"/>
      <c r="X467" s="2"/>
      <c r="Y467" s="2"/>
      <c r="Z467" s="2"/>
      <c r="AA467" s="2"/>
      <c r="AB467" s="2"/>
      <c r="AC467" s="2"/>
    </row>
    <row r="468" spans="1:29" ht="20.100000000000001" customHeight="1">
      <c r="A468" s="2" t="s">
        <v>1954</v>
      </c>
      <c r="B468" s="2" t="s">
        <v>1955</v>
      </c>
      <c r="C468" s="2" t="str">
        <f>sheet1[[#This Row],[Nombre]]&amp;sheet1[[#This Row],[Bp Id]]</f>
        <v>VMware SkylineITM0081</v>
      </c>
      <c r="D468" s="2" t="str">
        <f>VLOOKUP(sheet1[[#This Row],[Columna1]],sheet13[[Columna1]:[Estado]],4,FALSE)</f>
        <v>Operativo</v>
      </c>
      <c r="E468" s="2"/>
      <c r="F468" s="2" t="s">
        <v>32</v>
      </c>
      <c r="G468" s="2" t="s">
        <v>48</v>
      </c>
      <c r="H468" s="2" t="s">
        <v>34</v>
      </c>
      <c r="I468" s="2" t="s">
        <v>68</v>
      </c>
      <c r="J468" s="2" t="s">
        <v>69</v>
      </c>
      <c r="K468" s="2" t="s">
        <v>82</v>
      </c>
      <c r="L468" s="2" t="s">
        <v>1715</v>
      </c>
      <c r="M468" s="2"/>
      <c r="N468" s="2"/>
      <c r="O468" s="2"/>
      <c r="P468" s="2"/>
      <c r="Q468" s="2"/>
      <c r="R468" s="2"/>
      <c r="S468" s="2"/>
      <c r="T468" s="2"/>
      <c r="U468" s="3"/>
      <c r="V468" s="2"/>
      <c r="W468" s="2"/>
      <c r="X468" s="2"/>
      <c r="Y468" s="2"/>
      <c r="Z468" s="2"/>
      <c r="AA468" s="2"/>
      <c r="AB468" s="2"/>
      <c r="AC468" s="2"/>
    </row>
    <row r="469" spans="1:29" ht="20.100000000000001" customHeight="1">
      <c r="A469" s="2" t="s">
        <v>1956</v>
      </c>
      <c r="B469" s="2" t="s">
        <v>1957</v>
      </c>
      <c r="C469" s="2" t="str">
        <f>sheet1[[#This Row],[Nombre]]&amp;sheet1[[#This Row],[Bp Id]]</f>
        <v>Contact Center PlusCHL0013</v>
      </c>
      <c r="D469" s="2" t="str">
        <f>VLOOKUP(sheet1[[#This Row],[Columna1]],sheet13[[Columna1]:[Estado]],4,FALSE)</f>
        <v>Retirado</v>
      </c>
      <c r="E469" s="2"/>
      <c r="F469" s="2" t="s">
        <v>47</v>
      </c>
      <c r="G469" s="2" t="s">
        <v>123</v>
      </c>
      <c r="H469" s="2" t="s">
        <v>34</v>
      </c>
      <c r="I469" s="2" t="s">
        <v>35</v>
      </c>
      <c r="J469" s="2" t="s">
        <v>349</v>
      </c>
      <c r="K469" s="2"/>
      <c r="L469" s="2" t="s">
        <v>517</v>
      </c>
      <c r="M469" s="2"/>
      <c r="N469" s="2"/>
      <c r="O469" s="2"/>
      <c r="P469" s="2"/>
      <c r="Q469" s="2"/>
      <c r="R469" s="2"/>
      <c r="S469" s="2"/>
      <c r="T469" s="2"/>
      <c r="U469" s="3"/>
      <c r="V469" s="2"/>
      <c r="W469" s="2"/>
      <c r="X469" s="2"/>
      <c r="Y469" s="2"/>
      <c r="Z469" s="2"/>
      <c r="AA469" s="2"/>
      <c r="AB469" s="2"/>
      <c r="AC469" s="2"/>
    </row>
    <row r="470" spans="1:29" ht="20.100000000000001" customHeight="1">
      <c r="A470" s="2" t="s">
        <v>1958</v>
      </c>
      <c r="B470" s="2" t="s">
        <v>1959</v>
      </c>
      <c r="C470" s="2" t="str">
        <f>sheet1[[#This Row],[Nombre]]&amp;sheet1[[#This Row],[Bp Id]]</f>
        <v>HP Monitoreo Insight ManagerITM0077</v>
      </c>
      <c r="D470" s="2" t="str">
        <f>VLOOKUP(sheet1[[#This Row],[Columna1]],sheet13[[Columna1]:[Estado]],4,FALSE)</f>
        <v>Retirado</v>
      </c>
      <c r="E470" s="2"/>
      <c r="F470" s="2" t="s">
        <v>47</v>
      </c>
      <c r="G470" s="2" t="s">
        <v>48</v>
      </c>
      <c r="H470" s="2" t="s">
        <v>34</v>
      </c>
      <c r="I470" s="2" t="s">
        <v>68</v>
      </c>
      <c r="J470" s="2" t="s">
        <v>236</v>
      </c>
      <c r="K470" s="2" t="s">
        <v>82</v>
      </c>
      <c r="L470" s="2" t="s">
        <v>335</v>
      </c>
      <c r="M470" s="2"/>
      <c r="N470" s="2"/>
      <c r="O470" s="2"/>
      <c r="P470" s="2"/>
      <c r="Q470" s="2"/>
      <c r="R470" s="2"/>
      <c r="S470" s="2"/>
      <c r="T470" s="2"/>
      <c r="U470" s="3"/>
      <c r="V470" s="2"/>
      <c r="W470" s="2"/>
      <c r="X470" s="2"/>
      <c r="Y470" s="2"/>
      <c r="Z470" s="2"/>
      <c r="AA470" s="2"/>
      <c r="AB470" s="2"/>
      <c r="AC470" s="2"/>
    </row>
    <row r="471" spans="1:29" ht="20.100000000000001" customHeight="1">
      <c r="A471" s="2" t="s">
        <v>1960</v>
      </c>
      <c r="B471" s="2" t="s">
        <v>1961</v>
      </c>
      <c r="C471" s="2" t="str">
        <f>sheet1[[#This Row],[Nombre]]&amp;sheet1[[#This Row],[Bp Id]]</f>
        <v>AcunetixSEC0001</v>
      </c>
      <c r="D471" s="2" t="str">
        <f>VLOOKUP(sheet1[[#This Row],[Columna1]],sheet13[[Columna1]:[Estado]],4,FALSE)</f>
        <v>Retirado</v>
      </c>
      <c r="E471" s="2"/>
      <c r="F471" s="2" t="s">
        <v>47</v>
      </c>
      <c r="G471" s="2" t="s">
        <v>48</v>
      </c>
      <c r="H471" s="2" t="s">
        <v>34</v>
      </c>
      <c r="I471" s="2" t="s">
        <v>107</v>
      </c>
      <c r="J471" s="2" t="s">
        <v>176</v>
      </c>
      <c r="K471" s="2"/>
      <c r="L471" s="2" t="s">
        <v>1637</v>
      </c>
      <c r="M471" s="2"/>
      <c r="N471" s="2"/>
      <c r="O471" s="2"/>
      <c r="P471" s="2"/>
      <c r="Q471" s="2"/>
      <c r="R471" s="2"/>
      <c r="S471" s="2"/>
      <c r="T471" s="2"/>
      <c r="U471" s="3"/>
      <c r="V471" s="2"/>
      <c r="W471" s="2"/>
      <c r="X471" s="2"/>
      <c r="Y471" s="2"/>
      <c r="Z471" s="2"/>
      <c r="AA471" s="2"/>
      <c r="AB471" s="2"/>
      <c r="AC471" s="2"/>
    </row>
    <row r="472" spans="1:29" ht="20.100000000000001" customHeight="1">
      <c r="A472" s="2" t="s">
        <v>1962</v>
      </c>
      <c r="B472" s="2" t="s">
        <v>1963</v>
      </c>
      <c r="C472" s="2" t="str">
        <f>sheet1[[#This Row],[Nombre]]&amp;sheet1[[#This Row],[Bp Id]]</f>
        <v>AUTODESKITM0002</v>
      </c>
      <c r="D472" s="2" t="str">
        <f>VLOOKUP(sheet1[[#This Row],[Columna1]],sheet13[[Columna1]:[Estado]],4,FALSE)</f>
        <v>Retirado</v>
      </c>
      <c r="E472" s="2"/>
      <c r="F472" s="2" t="s">
        <v>47</v>
      </c>
      <c r="G472" s="2" t="s">
        <v>48</v>
      </c>
      <c r="H472" s="2" t="s">
        <v>34</v>
      </c>
      <c r="I472" s="2" t="s">
        <v>68</v>
      </c>
      <c r="J472" s="2" t="s">
        <v>236</v>
      </c>
      <c r="K472" s="2"/>
      <c r="L472" s="2" t="s">
        <v>234</v>
      </c>
      <c r="M472" s="2"/>
      <c r="N472" s="2"/>
      <c r="O472" s="2"/>
      <c r="P472" s="2"/>
      <c r="Q472" s="2"/>
      <c r="R472" s="2"/>
      <c r="S472" s="2"/>
      <c r="T472" s="2"/>
      <c r="U472" s="3"/>
      <c r="V472" s="2"/>
      <c r="W472" s="2"/>
      <c r="X472" s="2"/>
      <c r="Y472" s="2"/>
      <c r="Z472" s="2"/>
      <c r="AA472" s="2"/>
      <c r="AB472" s="2"/>
      <c r="AC472" s="2"/>
    </row>
    <row r="473" spans="1:29" ht="20.100000000000001" customHeight="1">
      <c r="A473" s="2" t="s">
        <v>1964</v>
      </c>
      <c r="B473" s="2" t="s">
        <v>1965</v>
      </c>
      <c r="C473" s="2" t="str">
        <f>sheet1[[#This Row],[Nombre]]&amp;sheet1[[#This Row],[Bp Id]]</f>
        <v>Futuro SeguroSUP0019</v>
      </c>
      <c r="D473" s="2" t="str">
        <f>VLOOKUP(sheet1[[#This Row],[Columna1]],sheet13[[Columna1]:[Estado]],4,FALSE)</f>
        <v>Retirado</v>
      </c>
      <c r="E473" s="2"/>
      <c r="F473" s="2" t="s">
        <v>47</v>
      </c>
      <c r="G473" s="2" t="s">
        <v>48</v>
      </c>
      <c r="H473" s="2" t="s">
        <v>34</v>
      </c>
      <c r="I473" s="2" t="s">
        <v>225</v>
      </c>
      <c r="J473" s="2" t="s">
        <v>226</v>
      </c>
      <c r="K473" s="2"/>
      <c r="L473" s="2" t="s">
        <v>169</v>
      </c>
      <c r="M473" s="2"/>
      <c r="N473" s="2"/>
      <c r="O473" s="2"/>
      <c r="P473" s="2"/>
      <c r="Q473" s="2"/>
      <c r="R473" s="2"/>
      <c r="S473" s="2"/>
      <c r="T473" s="2"/>
      <c r="U473" s="3"/>
      <c r="V473" s="2"/>
      <c r="W473" s="2"/>
      <c r="X473" s="2"/>
      <c r="Y473" s="2"/>
      <c r="Z473" s="2"/>
      <c r="AA473" s="2"/>
      <c r="AB473" s="2"/>
      <c r="AC473" s="2"/>
    </row>
    <row r="474" spans="1:29" ht="20.100000000000001" customHeight="1">
      <c r="A474" s="2" t="s">
        <v>1966</v>
      </c>
      <c r="B474" s="2" t="s">
        <v>1967</v>
      </c>
      <c r="C474" s="2" t="str">
        <f>sheet1[[#This Row],[Nombre]]&amp;sheet1[[#This Row],[Bp Id]]</f>
        <v>Visa Direct PortalITM0140</v>
      </c>
      <c r="D474" s="2" t="str">
        <f>VLOOKUP(sheet1[[#This Row],[Columna1]],sheet13[[Columna1]:[Estado]],4,FALSE)</f>
        <v>Operativo</v>
      </c>
      <c r="E474" s="2"/>
      <c r="F474" s="2" t="s">
        <v>32</v>
      </c>
      <c r="G474" s="2" t="s">
        <v>48</v>
      </c>
      <c r="H474" s="2" t="s">
        <v>59</v>
      </c>
      <c r="I474" s="2" t="s">
        <v>141</v>
      </c>
      <c r="J474" s="2" t="s">
        <v>151</v>
      </c>
      <c r="K474" s="2" t="s">
        <v>1968</v>
      </c>
      <c r="L474" s="2" t="s">
        <v>1347</v>
      </c>
      <c r="M474" s="2"/>
      <c r="N474" s="2"/>
      <c r="O474" s="2"/>
      <c r="P474" s="2"/>
      <c r="Q474" s="2"/>
      <c r="R474" s="2"/>
      <c r="S474" s="2"/>
      <c r="T474" s="2"/>
      <c r="U474" s="3"/>
      <c r="V474" s="2"/>
      <c r="W474" s="2"/>
      <c r="X474" s="2"/>
      <c r="Y474" s="2"/>
      <c r="Z474" s="2"/>
      <c r="AA474" s="2"/>
      <c r="AB474" s="2"/>
      <c r="AC474" s="2"/>
    </row>
    <row r="475" spans="1:29" ht="20.100000000000001" customHeight="1">
      <c r="A475" s="2" t="s">
        <v>1969</v>
      </c>
      <c r="B475" s="2" t="s">
        <v>1970</v>
      </c>
      <c r="C475" s="2" t="str">
        <f>sheet1[[#This Row],[Nombre]]&amp;sheet1[[#This Row],[Bp Id]]</f>
        <v>IPAM AWSITM0128</v>
      </c>
      <c r="D475" s="2" t="str">
        <f>VLOOKUP(sheet1[[#This Row],[Columna1]],sheet13[[Columna1]:[Estado]],4,FALSE)</f>
        <v>Operativo</v>
      </c>
      <c r="E475" s="2"/>
      <c r="F475" s="2" t="s">
        <v>32</v>
      </c>
      <c r="G475" s="2" t="s">
        <v>48</v>
      </c>
      <c r="H475" s="2" t="s">
        <v>59</v>
      </c>
      <c r="I475" s="2" t="s">
        <v>68</v>
      </c>
      <c r="J475" s="2" t="s">
        <v>69</v>
      </c>
      <c r="K475" s="2" t="s">
        <v>521</v>
      </c>
      <c r="L475" s="2" t="s">
        <v>1971</v>
      </c>
      <c r="M475" s="2"/>
      <c r="N475" s="2"/>
      <c r="O475" s="2"/>
      <c r="P475" s="2"/>
      <c r="Q475" s="2"/>
      <c r="R475" s="2"/>
      <c r="S475" s="2"/>
      <c r="T475" s="2"/>
      <c r="U475" s="3"/>
      <c r="V475" s="2"/>
      <c r="W475" s="2"/>
      <c r="X475" s="2"/>
      <c r="Y475" s="2"/>
      <c r="Z475" s="2"/>
      <c r="AA475" s="2"/>
      <c r="AB475" s="2"/>
      <c r="AC475" s="2"/>
    </row>
    <row r="476" spans="1:29" ht="20.100000000000001" customHeight="1">
      <c r="A476" s="2" t="s">
        <v>1972</v>
      </c>
      <c r="B476" s="2" t="s">
        <v>1973</v>
      </c>
      <c r="C476" s="2" t="str">
        <f>sheet1[[#This Row],[Nombre]]&amp;sheet1[[#This Row],[Bp Id]]</f>
        <v>CIS CAT ProITM0119</v>
      </c>
      <c r="D476" s="2" t="str">
        <f>VLOOKUP(sheet1[[#This Row],[Columna1]],sheet13[[Columna1]:[Estado]],4,FALSE)</f>
        <v>Operativo</v>
      </c>
      <c r="E476" s="2"/>
      <c r="F476" s="2" t="s">
        <v>32</v>
      </c>
      <c r="G476" s="2" t="s">
        <v>48</v>
      </c>
      <c r="H476" s="2" t="s">
        <v>34</v>
      </c>
      <c r="I476" s="2" t="s">
        <v>107</v>
      </c>
      <c r="J476" s="2" t="s">
        <v>1737</v>
      </c>
      <c r="K476" s="2" t="s">
        <v>1974</v>
      </c>
      <c r="L476" s="2" t="s">
        <v>1737</v>
      </c>
      <c r="M476" s="2"/>
      <c r="N476" s="2"/>
      <c r="O476" s="2"/>
      <c r="P476" s="2"/>
      <c r="Q476" s="2"/>
      <c r="R476" s="2"/>
      <c r="S476" s="2"/>
      <c r="T476" s="2"/>
      <c r="U476" s="3"/>
      <c r="V476" s="2"/>
      <c r="W476" s="2"/>
      <c r="X476" s="2"/>
      <c r="Y476" s="2"/>
      <c r="Z476" s="2"/>
      <c r="AA476" s="2"/>
      <c r="AB476" s="2"/>
      <c r="AC476" s="2"/>
    </row>
    <row r="477" spans="1:29" ht="20.100000000000001" customHeight="1">
      <c r="A477" s="2" t="s">
        <v>1975</v>
      </c>
      <c r="B477" s="2" t="s">
        <v>1976</v>
      </c>
      <c r="C477" s="2" t="str">
        <f>sheet1[[#This Row],[Nombre]]&amp;sheet1[[#This Row],[Bp Id]]</f>
        <v>SlackITM0052</v>
      </c>
      <c r="D477" s="2" t="str">
        <f>VLOOKUP(sheet1[[#This Row],[Columna1]],sheet13[[Columna1]:[Estado]],4,FALSE)</f>
        <v>Retirado</v>
      </c>
      <c r="E477" s="2"/>
      <c r="F477" s="2" t="s">
        <v>47</v>
      </c>
      <c r="G477" s="2" t="s">
        <v>48</v>
      </c>
      <c r="H477" s="2" t="s">
        <v>59</v>
      </c>
      <c r="I477" s="2" t="s">
        <v>68</v>
      </c>
      <c r="J477" s="2" t="s">
        <v>236</v>
      </c>
      <c r="K477" s="2"/>
      <c r="L477" s="2" t="s">
        <v>234</v>
      </c>
      <c r="M477" s="2"/>
      <c r="N477" s="2"/>
      <c r="O477" s="2"/>
      <c r="P477" s="2"/>
      <c r="Q477" s="2"/>
      <c r="R477" s="2"/>
      <c r="S477" s="2"/>
      <c r="T477" s="2"/>
      <c r="U477" s="3"/>
      <c r="V477" s="2"/>
      <c r="W477" s="2"/>
      <c r="X477" s="2"/>
      <c r="Y477" s="2"/>
      <c r="Z477" s="2"/>
      <c r="AA477" s="2"/>
      <c r="AB477" s="2"/>
      <c r="AC477" s="2"/>
    </row>
    <row r="478" spans="1:29" ht="20.100000000000001" customHeight="1">
      <c r="A478" s="2" t="s">
        <v>1977</v>
      </c>
      <c r="B478" s="2" t="s">
        <v>1978</v>
      </c>
      <c r="C478" s="2" t="str">
        <f>sheet1[[#This Row],[Nombre]]&amp;sheet1[[#This Row],[Bp Id]]</f>
        <v>Banred Switch BASE 24 CLASICOCHL0005</v>
      </c>
      <c r="D478" s="2" t="str">
        <f>VLOOKUP(sheet1[[#This Row],[Columna1]],sheet13[[Columna1]:[Estado]],4,FALSE)</f>
        <v>Retirado</v>
      </c>
      <c r="E478" s="2"/>
      <c r="F478" s="2" t="s">
        <v>47</v>
      </c>
      <c r="G478" s="2" t="s">
        <v>123</v>
      </c>
      <c r="H478" s="2" t="s">
        <v>140</v>
      </c>
      <c r="I478" s="2" t="s">
        <v>35</v>
      </c>
      <c r="J478" s="2" t="s">
        <v>349</v>
      </c>
      <c r="K478" s="2"/>
      <c r="L478" s="2" t="s">
        <v>350</v>
      </c>
      <c r="M478" s="2"/>
      <c r="N478" s="2"/>
      <c r="O478" s="2"/>
      <c r="P478" s="2"/>
      <c r="Q478" s="2"/>
      <c r="R478" s="2"/>
      <c r="S478" s="2"/>
      <c r="T478" s="2"/>
      <c r="U478" s="3"/>
      <c r="V478" s="2"/>
      <c r="W478" s="2"/>
      <c r="X478" s="2"/>
      <c r="Y478" s="2"/>
      <c r="Z478" s="2"/>
      <c r="AA478" s="2"/>
      <c r="AB478" s="2"/>
      <c r="AC478" s="2"/>
    </row>
    <row r="479" spans="1:29" ht="20.100000000000001" customHeight="1">
      <c r="A479" s="2" t="s">
        <v>1979</v>
      </c>
      <c r="B479" s="2" t="s">
        <v>1980</v>
      </c>
      <c r="C479" s="2" t="str">
        <f>sheet1[[#This Row],[Nombre]]&amp;sheet1[[#This Row],[Bp Id]]</f>
        <v>Notificador TransversalTIE0023</v>
      </c>
      <c r="D479" s="2" t="str">
        <f>VLOOKUP(sheet1[[#This Row],[Columna1]],sheet13[[Columna1]:[Estado]],4,FALSE)</f>
        <v>Operativo</v>
      </c>
      <c r="E479" s="2"/>
      <c r="F479" s="2" t="s">
        <v>32</v>
      </c>
      <c r="G479" s="2" t="s">
        <v>58</v>
      </c>
      <c r="H479" s="2" t="s">
        <v>59</v>
      </c>
      <c r="I479" s="2" t="s">
        <v>49</v>
      </c>
      <c r="J479" s="2" t="s">
        <v>340</v>
      </c>
      <c r="K479" s="2" t="s">
        <v>467</v>
      </c>
      <c r="L479" s="2" t="s">
        <v>1981</v>
      </c>
      <c r="M479" s="2"/>
      <c r="N479" s="2"/>
      <c r="O479" s="2"/>
      <c r="P479" s="2"/>
      <c r="Q479" s="2"/>
      <c r="R479" s="2"/>
      <c r="S479" s="2"/>
      <c r="T479" s="2"/>
      <c r="U479" s="3"/>
      <c r="V479" s="2"/>
      <c r="W479" s="2"/>
      <c r="X479" s="2"/>
      <c r="Y479" s="2"/>
      <c r="Z479" s="2"/>
      <c r="AA479" s="2"/>
      <c r="AB479" s="2"/>
      <c r="AC479" s="2"/>
    </row>
    <row r="480" spans="1:29" ht="20.100000000000001" customHeight="1">
      <c r="A480" s="2" t="s">
        <v>1982</v>
      </c>
      <c r="B480" s="2" t="s">
        <v>1983</v>
      </c>
      <c r="C480" s="2" t="str">
        <f>sheet1[[#This Row],[Nombre]]&amp;sheet1[[#This Row],[Bp Id]]</f>
        <v>IVR GVPCHL0018</v>
      </c>
      <c r="D480" s="2" t="str">
        <f>VLOOKUP(sheet1[[#This Row],[Columna1]],sheet13[[Columna1]:[Estado]],4,FALSE)</f>
        <v>Retirado</v>
      </c>
      <c r="E480" s="2"/>
      <c r="F480" s="2" t="s">
        <v>47</v>
      </c>
      <c r="G480" s="2" t="s">
        <v>33</v>
      </c>
      <c r="H480" s="2" t="s">
        <v>34</v>
      </c>
      <c r="I480" s="2" t="s">
        <v>35</v>
      </c>
      <c r="J480" s="2" t="s">
        <v>349</v>
      </c>
      <c r="K480" s="2"/>
      <c r="L480" s="2" t="s">
        <v>517</v>
      </c>
      <c r="M480" s="2"/>
      <c r="N480" s="2"/>
      <c r="O480" s="2"/>
      <c r="P480" s="2"/>
      <c r="Q480" s="2"/>
      <c r="R480" s="2"/>
      <c r="S480" s="2"/>
      <c r="T480" s="2"/>
      <c r="U480" s="3"/>
      <c r="V480" s="2"/>
      <c r="W480" s="2"/>
      <c r="X480" s="2"/>
      <c r="Y480" s="2"/>
      <c r="Z480" s="2"/>
      <c r="AA480" s="2"/>
      <c r="AB480" s="2"/>
      <c r="AC480" s="2"/>
    </row>
    <row r="481" spans="1:29" ht="20.100000000000001" customHeight="1">
      <c r="A481" s="2" t="s">
        <v>1984</v>
      </c>
      <c r="B481" s="2" t="s">
        <v>1985</v>
      </c>
      <c r="C481" s="2" t="str">
        <f>sheet1[[#This Row],[Nombre]]&amp;sheet1[[#This Row],[Bp Id]]</f>
        <v>KasperskySEC0027</v>
      </c>
      <c r="D481" s="2" t="str">
        <f>VLOOKUP(sheet1[[#This Row],[Columna1]],sheet13[[Columna1]:[Estado]],4,FALSE)</f>
        <v>Retirado</v>
      </c>
      <c r="E481" s="2"/>
      <c r="F481" s="2" t="s">
        <v>47</v>
      </c>
      <c r="G481" s="2" t="s">
        <v>48</v>
      </c>
      <c r="H481" s="2" t="s">
        <v>34</v>
      </c>
      <c r="I481" s="2" t="s">
        <v>107</v>
      </c>
      <c r="J481" s="2" t="s">
        <v>176</v>
      </c>
      <c r="K481" s="2"/>
      <c r="L481" s="2" t="s">
        <v>1637</v>
      </c>
      <c r="M481" s="2"/>
      <c r="N481" s="2"/>
      <c r="O481" s="2"/>
      <c r="P481" s="2"/>
      <c r="Q481" s="2"/>
      <c r="R481" s="2"/>
      <c r="S481" s="2"/>
      <c r="T481" s="2"/>
      <c r="U481" s="3"/>
      <c r="V481" s="2"/>
      <c r="W481" s="2"/>
      <c r="X481" s="2"/>
      <c r="Y481" s="2"/>
      <c r="Z481" s="2"/>
      <c r="AA481" s="2"/>
      <c r="AB481" s="2"/>
      <c r="AC481" s="2"/>
    </row>
    <row r="482" spans="1:29" ht="20.100000000000001" customHeight="1">
      <c r="A482" s="2" t="s">
        <v>1986</v>
      </c>
      <c r="B482" s="2" t="s">
        <v>1987</v>
      </c>
      <c r="C482" s="2" t="str">
        <f>sheet1[[#This Row],[Nombre]]&amp;sheet1[[#This Row],[Bp Id]]</f>
        <v>Swift InquiryPRD0042</v>
      </c>
      <c r="D482" s="2" t="str">
        <f>VLOOKUP(sheet1[[#This Row],[Columna1]],sheet13[[Columna1]:[Estado]],4,FALSE)</f>
        <v>Retirado</v>
      </c>
      <c r="E482" s="2"/>
      <c r="F482" s="2" t="s">
        <v>47</v>
      </c>
      <c r="G482" s="2" t="s">
        <v>123</v>
      </c>
      <c r="H482" s="2" t="s">
        <v>34</v>
      </c>
      <c r="I482" s="2" t="s">
        <v>921</v>
      </c>
      <c r="J482" s="2" t="s">
        <v>240</v>
      </c>
      <c r="K482" s="2"/>
      <c r="L482" s="2"/>
      <c r="M482" s="2"/>
      <c r="N482" s="2"/>
      <c r="O482" s="2"/>
      <c r="P482" s="2"/>
      <c r="Q482" s="2"/>
      <c r="R482" s="2"/>
      <c r="S482" s="2"/>
      <c r="T482" s="2"/>
      <c r="U482" s="3"/>
      <c r="V482" s="2"/>
      <c r="W482" s="2"/>
      <c r="X482" s="2"/>
      <c r="Y482" s="2"/>
      <c r="Z482" s="2"/>
      <c r="AA482" s="2"/>
      <c r="AB482" s="2"/>
      <c r="AC482" s="2"/>
    </row>
    <row r="483" spans="1:29" ht="20.100000000000001" customHeight="1">
      <c r="A483" s="2" t="s">
        <v>1988</v>
      </c>
      <c r="B483" s="2" t="s">
        <v>1989</v>
      </c>
      <c r="C483" s="2" t="str">
        <f>sheet1[[#This Row],[Nombre]]&amp;sheet1[[#This Row],[Bp Id]]</f>
        <v>Componentes de NetworkingITM0094</v>
      </c>
      <c r="D483" s="2" t="str">
        <f>VLOOKUP(sheet1[[#This Row],[Columna1]],sheet13[[Columna1]:[Estado]],4,FALSE)</f>
        <v>Operativo</v>
      </c>
      <c r="E483" s="2"/>
      <c r="F483" s="2" t="s">
        <v>32</v>
      </c>
      <c r="G483" s="2" t="s">
        <v>48</v>
      </c>
      <c r="H483" s="2" t="s">
        <v>34</v>
      </c>
      <c r="I483" s="2" t="s">
        <v>68</v>
      </c>
      <c r="J483" s="2" t="s">
        <v>69</v>
      </c>
      <c r="K483" s="2" t="s">
        <v>516</v>
      </c>
      <c r="L483" s="2" t="s">
        <v>1990</v>
      </c>
      <c r="M483" s="2"/>
      <c r="N483" s="2"/>
      <c r="O483" s="2"/>
      <c r="P483" s="2"/>
      <c r="Q483" s="2"/>
      <c r="R483" s="2"/>
      <c r="S483" s="2"/>
      <c r="T483" s="2"/>
      <c r="U483" s="3"/>
      <c r="V483" s="2"/>
      <c r="W483" s="2"/>
      <c r="X483" s="2"/>
      <c r="Y483" s="2"/>
      <c r="Z483" s="2"/>
      <c r="AA483" s="2"/>
      <c r="AB483" s="2"/>
      <c r="AC483" s="2"/>
    </row>
    <row r="484" spans="1:29" ht="20.100000000000001" customHeight="1">
      <c r="A484" s="2" t="s">
        <v>475</v>
      </c>
      <c r="B484" s="2" t="s">
        <v>1991</v>
      </c>
      <c r="C484" s="2" t="str">
        <f>sheet1[[#This Row],[Nombre]]&amp;sheet1[[#This Row],[Bp Id]]</f>
        <v>Microsoft AzureITM0138</v>
      </c>
      <c r="D484" s="2" t="str">
        <f>VLOOKUP(sheet1[[#This Row],[Columna1]],sheet13[[Columna1]:[Estado]],4,FALSE)</f>
        <v>Operativo</v>
      </c>
      <c r="E484" s="2"/>
      <c r="F484" s="2" t="s">
        <v>32</v>
      </c>
      <c r="G484" s="2" t="s">
        <v>123</v>
      </c>
      <c r="H484" s="2" t="s">
        <v>59</v>
      </c>
      <c r="I484" s="2" t="s">
        <v>68</v>
      </c>
      <c r="J484" s="2" t="s">
        <v>69</v>
      </c>
      <c r="K484" s="2" t="s">
        <v>521</v>
      </c>
      <c r="L484" s="2" t="s">
        <v>1971</v>
      </c>
      <c r="M484" s="2"/>
      <c r="N484" s="2"/>
      <c r="O484" s="2"/>
      <c r="P484" s="2"/>
      <c r="Q484" s="2"/>
      <c r="R484" s="2"/>
      <c r="S484" s="2"/>
      <c r="T484" s="2"/>
      <c r="U484" s="3"/>
      <c r="V484" s="2"/>
      <c r="W484" s="2"/>
      <c r="X484" s="2"/>
      <c r="Y484" s="2"/>
      <c r="Z484" s="2"/>
      <c r="AA484" s="2"/>
      <c r="AB484" s="2"/>
      <c r="AC484" s="2"/>
    </row>
    <row r="485" spans="1:29" ht="20.100000000000001" customHeight="1">
      <c r="A485" s="2" t="s">
        <v>1992</v>
      </c>
      <c r="B485" s="2" t="s">
        <v>1993</v>
      </c>
      <c r="C485" s="2" t="str">
        <f>sheet1[[#This Row],[Nombre]]&amp;sheet1[[#This Row],[Bp Id]]</f>
        <v>Componentes ISTITM0086</v>
      </c>
      <c r="D485" s="2" t="str">
        <f>VLOOKUP(sheet1[[#This Row],[Columna1]],sheet13[[Columna1]:[Estado]],4,FALSE)</f>
        <v>Operativo</v>
      </c>
      <c r="E485" s="2"/>
      <c r="F485" s="2" t="s">
        <v>32</v>
      </c>
      <c r="G485" s="2" t="s">
        <v>48</v>
      </c>
      <c r="H485" s="2" t="s">
        <v>34</v>
      </c>
      <c r="I485" s="2" t="s">
        <v>68</v>
      </c>
      <c r="J485" s="2" t="s">
        <v>450</v>
      </c>
      <c r="K485" s="2" t="s">
        <v>869</v>
      </c>
      <c r="L485" s="2" t="s">
        <v>1994</v>
      </c>
      <c r="M485" s="2"/>
      <c r="N485" s="2"/>
      <c r="O485" s="2"/>
      <c r="P485" s="2"/>
      <c r="Q485" s="2"/>
      <c r="R485" s="2"/>
      <c r="S485" s="2"/>
      <c r="T485" s="2"/>
      <c r="U485" s="3"/>
      <c r="V485" s="2"/>
      <c r="W485" s="2"/>
      <c r="X485" s="2"/>
      <c r="Y485" s="2"/>
      <c r="Z485" s="2"/>
      <c r="AA485" s="2"/>
      <c r="AB485" s="2"/>
      <c r="AC485" s="2"/>
    </row>
    <row r="486" spans="1:29" ht="20.100000000000001" customHeight="1">
      <c r="A486" s="2" t="s">
        <v>1995</v>
      </c>
      <c r="B486" s="2" t="s">
        <v>1996</v>
      </c>
      <c r="C486" s="2" t="str">
        <f>sheet1[[#This Row],[Nombre]]&amp;sheet1[[#This Row],[Bp Id]]</f>
        <v>Gestión de LitigiosITM0144</v>
      </c>
      <c r="D486" s="2" t="str">
        <f>VLOOKUP(sheet1[[#This Row],[Columna1]],sheet13[[Columna1]:[Estado]],4,FALSE)</f>
        <v>Operativo</v>
      </c>
      <c r="E486" s="2"/>
      <c r="F486" s="2" t="s">
        <v>32</v>
      </c>
      <c r="G486" s="2" t="s">
        <v>48</v>
      </c>
      <c r="H486" s="2" t="s">
        <v>59</v>
      </c>
      <c r="I486" s="2" t="s">
        <v>225</v>
      </c>
      <c r="J486" s="2" t="s">
        <v>226</v>
      </c>
      <c r="K486" s="2" t="s">
        <v>1997</v>
      </c>
      <c r="L486" s="2" t="s">
        <v>228</v>
      </c>
      <c r="M486" s="2"/>
      <c r="N486" s="2"/>
      <c r="O486" s="2"/>
      <c r="P486" s="2"/>
      <c r="Q486" s="2"/>
      <c r="R486" s="2"/>
      <c r="S486" s="2"/>
      <c r="T486" s="2"/>
      <c r="U486" s="3"/>
      <c r="V486" s="2"/>
      <c r="W486" s="2"/>
      <c r="X486" s="2"/>
      <c r="Y486" s="2"/>
      <c r="Z486" s="2"/>
      <c r="AA486" s="2"/>
      <c r="AB486" s="2"/>
      <c r="AC486" s="2"/>
    </row>
    <row r="487" spans="1:29" ht="20.100000000000001" customHeight="1">
      <c r="A487" s="2" t="s">
        <v>1998</v>
      </c>
      <c r="B487" s="2" t="s">
        <v>1999</v>
      </c>
      <c r="C487" s="2" t="str">
        <f>sheet1[[#This Row],[Nombre]]&amp;sheet1[[#This Row],[Bp Id]]</f>
        <v>Switch InterfilialesPRD0043</v>
      </c>
      <c r="D487" s="2" t="str">
        <f>VLOOKUP(sheet1[[#This Row],[Columna1]],sheet13[[Columna1]:[Estado]],4,FALSE)</f>
        <v>No operativo</v>
      </c>
      <c r="E487" s="2"/>
      <c r="F487" s="2" t="s">
        <v>1788</v>
      </c>
      <c r="G487" s="2" t="s">
        <v>48</v>
      </c>
      <c r="H487" s="2" t="s">
        <v>34</v>
      </c>
      <c r="I487" s="2" t="s">
        <v>921</v>
      </c>
      <c r="J487" s="2" t="s">
        <v>240</v>
      </c>
      <c r="K487" s="2"/>
      <c r="L487" s="2" t="s">
        <v>634</v>
      </c>
      <c r="M487" s="2"/>
      <c r="N487" s="2"/>
      <c r="O487" s="2"/>
      <c r="P487" s="2"/>
      <c r="Q487" s="2"/>
      <c r="R487" s="2"/>
      <c r="S487" s="2"/>
      <c r="T487" s="2"/>
      <c r="U487" s="3"/>
      <c r="V487" s="2"/>
      <c r="W487" s="2"/>
      <c r="X487" s="2"/>
      <c r="Y487" s="2"/>
      <c r="Z487" s="2"/>
      <c r="AA487" s="2"/>
      <c r="AB487" s="2"/>
      <c r="AC487" s="2"/>
    </row>
    <row r="488" spans="1:29" ht="20.100000000000001" customHeight="1">
      <c r="A488" s="2" t="s">
        <v>2000</v>
      </c>
      <c r="B488" s="2" t="s">
        <v>2001</v>
      </c>
      <c r="C488" s="2" t="str">
        <f>sheet1[[#This Row],[Nombre]]&amp;sheet1[[#This Row],[Bp Id]]</f>
        <v>Ducats Data Director (3D)PRD0017</v>
      </c>
      <c r="D488" s="2" t="str">
        <f>VLOOKUP(sheet1[[#This Row],[Columna1]],sheet13[[Columna1]:[Estado]],4,FALSE)</f>
        <v>Retirado</v>
      </c>
      <c r="E488" s="2"/>
      <c r="F488" s="2" t="s">
        <v>47</v>
      </c>
      <c r="G488" s="2" t="s">
        <v>48</v>
      </c>
      <c r="H488" s="2" t="s">
        <v>34</v>
      </c>
      <c r="I488" s="2" t="s">
        <v>553</v>
      </c>
      <c r="J488" s="2" t="s">
        <v>554</v>
      </c>
      <c r="K488" s="2"/>
      <c r="L488" s="2"/>
      <c r="M488" s="2"/>
      <c r="N488" s="2"/>
      <c r="O488" s="2"/>
      <c r="P488" s="2"/>
      <c r="Q488" s="2"/>
      <c r="R488" s="2"/>
      <c r="S488" s="2"/>
      <c r="T488" s="2"/>
      <c r="U488" s="3"/>
      <c r="V488" s="2"/>
      <c r="W488" s="2"/>
      <c r="X488" s="2"/>
      <c r="Y488" s="2"/>
      <c r="Z488" s="2"/>
      <c r="AA488" s="2"/>
      <c r="AB488" s="2"/>
      <c r="AC488" s="2"/>
    </row>
    <row r="489" spans="1:29" ht="20.100000000000001" customHeight="1">
      <c r="A489" s="2" t="s">
        <v>2002</v>
      </c>
      <c r="B489" s="2" t="s">
        <v>2003</v>
      </c>
      <c r="C489" s="2" t="str">
        <f>sheet1[[#This Row],[Nombre]]&amp;sheet1[[#This Row],[Bp Id]]</f>
        <v>LogicorbaRIS0015</v>
      </c>
      <c r="D489" s="2" t="str">
        <f>VLOOKUP(sheet1[[#This Row],[Columna1]],sheet13[[Columna1]:[Estado]],4,FALSE)</f>
        <v>Retirado</v>
      </c>
      <c r="E489" s="2"/>
      <c r="F489" s="2" t="s">
        <v>47</v>
      </c>
      <c r="G489" s="2" t="s">
        <v>76</v>
      </c>
      <c r="H489" s="2" t="s">
        <v>34</v>
      </c>
      <c r="I489" s="2" t="s">
        <v>553</v>
      </c>
      <c r="J489" s="2" t="s">
        <v>554</v>
      </c>
      <c r="K489" s="2"/>
      <c r="L489" s="2" t="s">
        <v>110</v>
      </c>
      <c r="M489" s="2"/>
      <c r="N489" s="2"/>
      <c r="O489" s="2"/>
      <c r="P489" s="2"/>
      <c r="Q489" s="2"/>
      <c r="R489" s="2"/>
      <c r="S489" s="2"/>
      <c r="T489" s="2"/>
      <c r="U489" s="3"/>
      <c r="V489" s="2"/>
      <c r="W489" s="2"/>
      <c r="X489" s="2"/>
      <c r="Y489" s="2"/>
      <c r="Z489" s="2"/>
      <c r="AA489" s="2"/>
      <c r="AB489" s="2"/>
      <c r="AC489" s="2"/>
    </row>
    <row r="490" spans="1:29" ht="20.100000000000001" customHeight="1">
      <c r="A490" s="2" t="s">
        <v>2004</v>
      </c>
      <c r="B490" s="2" t="s">
        <v>2005</v>
      </c>
      <c r="C490" s="2" t="str">
        <f>sheet1[[#This Row],[Nombre]]&amp;sheet1[[#This Row],[Bp Id]]</f>
        <v>Host to HostPRD0020</v>
      </c>
      <c r="D490" s="2" t="str">
        <f>VLOOKUP(sheet1[[#This Row],[Columna1]],sheet13[[Columna1]:[Estado]],4,FALSE)</f>
        <v>Retirado</v>
      </c>
      <c r="E490" s="2"/>
      <c r="F490" s="2" t="s">
        <v>47</v>
      </c>
      <c r="G490" s="2" t="s">
        <v>48</v>
      </c>
      <c r="H490" s="2" t="s">
        <v>34</v>
      </c>
      <c r="I490" s="2" t="s">
        <v>553</v>
      </c>
      <c r="J490" s="2" t="s">
        <v>554</v>
      </c>
      <c r="K490" s="2" t="s">
        <v>555</v>
      </c>
      <c r="L490" s="2" t="s">
        <v>556</v>
      </c>
      <c r="M490" s="2"/>
      <c r="N490" s="2"/>
      <c r="O490" s="2"/>
      <c r="P490" s="2"/>
      <c r="Q490" s="2"/>
      <c r="R490" s="2"/>
      <c r="S490" s="2"/>
      <c r="T490" s="2"/>
      <c r="U490" s="3"/>
      <c r="V490" s="2"/>
      <c r="W490" s="2"/>
      <c r="X490" s="2"/>
      <c r="Y490" s="2"/>
      <c r="Z490" s="2"/>
      <c r="AA490" s="2"/>
      <c r="AB490" s="2"/>
      <c r="AC490" s="2"/>
    </row>
    <row r="491" spans="1:29" ht="20.100000000000001" customHeight="1">
      <c r="A491" s="2" t="s">
        <v>2006</v>
      </c>
      <c r="B491" s="2" t="s">
        <v>2007</v>
      </c>
      <c r="C491" s="2" t="str">
        <f>sheet1[[#This Row],[Nombre]]&amp;sheet1[[#This Row],[Bp Id]]</f>
        <v>AgenciaVirtualCHL0004</v>
      </c>
      <c r="D491" s="2" t="str">
        <f>VLOOKUP(sheet1[[#This Row],[Columna1]],sheet13[[Columna1]:[Estado]],4,FALSE)</f>
        <v>Retirado</v>
      </c>
      <c r="E491" s="2"/>
      <c r="F491" s="2" t="s">
        <v>47</v>
      </c>
      <c r="G491" s="2" t="s">
        <v>48</v>
      </c>
      <c r="H491" s="2" t="s">
        <v>34</v>
      </c>
      <c r="I491" s="2" t="s">
        <v>35</v>
      </c>
      <c r="J491" s="2" t="s">
        <v>349</v>
      </c>
      <c r="K491" s="2"/>
      <c r="L491" s="2" t="s">
        <v>517</v>
      </c>
      <c r="M491" s="2"/>
      <c r="N491" s="2"/>
      <c r="O491" s="2"/>
      <c r="P491" s="2"/>
      <c r="Q491" s="2"/>
      <c r="R491" s="2"/>
      <c r="S491" s="2"/>
      <c r="T491" s="2"/>
      <c r="U491" s="3"/>
      <c r="V491" s="2"/>
      <c r="W491" s="2"/>
      <c r="X491" s="2"/>
      <c r="Y491" s="2"/>
      <c r="Z491" s="2"/>
      <c r="AA491" s="2"/>
      <c r="AB491" s="2"/>
      <c r="AC491" s="2"/>
    </row>
    <row r="492" spans="1:29" ht="20.100000000000001" customHeight="1">
      <c r="A492" s="2" t="s">
        <v>2008</v>
      </c>
      <c r="B492" s="2" t="s">
        <v>2009</v>
      </c>
      <c r="C492" s="2" t="str">
        <f>sheet1[[#This Row],[Nombre]]&amp;sheet1[[#This Row],[Bp Id]]</f>
        <v>Middleware Fuentes PúblicasCUS0024</v>
      </c>
      <c r="D492" s="2" t="str">
        <f>VLOOKUP(sheet1[[#This Row],[Columna1]],sheet13[[Columna1]:[Estado]],4,FALSE)</f>
        <v>Retirado</v>
      </c>
      <c r="E492" s="2"/>
      <c r="F492" s="2" t="s">
        <v>47</v>
      </c>
      <c r="G492" s="2" t="s">
        <v>123</v>
      </c>
      <c r="H492" s="2" t="s">
        <v>34</v>
      </c>
      <c r="I492" s="2" t="s">
        <v>134</v>
      </c>
      <c r="J492" s="2" t="s">
        <v>88</v>
      </c>
      <c r="K492" s="2" t="s">
        <v>1855</v>
      </c>
      <c r="L492" s="2" t="s">
        <v>2010</v>
      </c>
      <c r="M492" s="2"/>
      <c r="N492" s="2"/>
      <c r="O492" s="2"/>
      <c r="P492" s="2"/>
      <c r="Q492" s="2"/>
      <c r="R492" s="2"/>
      <c r="S492" s="2"/>
      <c r="T492" s="2"/>
      <c r="U492" s="3"/>
      <c r="V492" s="2"/>
      <c r="W492" s="2"/>
      <c r="X492" s="2"/>
      <c r="Y492" s="2"/>
      <c r="Z492" s="2"/>
      <c r="AA492" s="2"/>
      <c r="AB492" s="2"/>
      <c r="AC492" s="2"/>
    </row>
    <row r="493" spans="1:29" ht="20.100000000000001" customHeight="1">
      <c r="A493" s="2" t="s">
        <v>2011</v>
      </c>
      <c r="B493" s="2" t="s">
        <v>2012</v>
      </c>
      <c r="C493" s="2" t="str">
        <f>sheet1[[#This Row],[Nombre]]&amp;sheet1[[#This Row],[Bp Id]]</f>
        <v>IBM Deployment Manager (Dmgr_Portal)ITM0032</v>
      </c>
      <c r="D493" s="2" t="str">
        <f>VLOOKUP(sheet1[[#This Row],[Columna1]],sheet13[[Columna1]:[Estado]],4,FALSE)</f>
        <v>Retirado</v>
      </c>
      <c r="E493" s="2"/>
      <c r="F493" s="2" t="s">
        <v>47</v>
      </c>
      <c r="G493" s="2" t="s">
        <v>48</v>
      </c>
      <c r="H493" s="2" t="s">
        <v>34</v>
      </c>
      <c r="I493" s="2" t="s">
        <v>35</v>
      </c>
      <c r="J493" s="2" t="s">
        <v>349</v>
      </c>
      <c r="K493" s="2"/>
      <c r="L493" s="2" t="s">
        <v>38</v>
      </c>
      <c r="M493" s="2"/>
      <c r="N493" s="2"/>
      <c r="O493" s="2"/>
      <c r="P493" s="2"/>
      <c r="Q493" s="2"/>
      <c r="R493" s="2"/>
      <c r="S493" s="2"/>
      <c r="T493" s="2"/>
      <c r="U493" s="3"/>
      <c r="V493" s="2"/>
      <c r="W493" s="2"/>
      <c r="X493" s="2"/>
      <c r="Y493" s="2"/>
      <c r="Z493" s="2"/>
      <c r="AA493" s="2"/>
      <c r="AB493" s="2"/>
      <c r="AC493" s="2"/>
    </row>
    <row r="494" spans="1:29" ht="20.100000000000001" customHeight="1">
      <c r="A494" s="2" t="s">
        <v>2013</v>
      </c>
      <c r="B494" s="2" t="s">
        <v>2014</v>
      </c>
      <c r="C494" s="2" t="str">
        <f>sheet1[[#This Row],[Nombre]]&amp;sheet1[[#This Row],[Bp Id]]</f>
        <v>AppdomeITM0146</v>
      </c>
      <c r="D494" s="2" t="str">
        <f>VLOOKUP(sheet1[[#This Row],[Columna1]],sheet13[[Columna1]:[Estado]],4,FALSE)</f>
        <v>Operativo</v>
      </c>
      <c r="E494" s="2"/>
      <c r="F494" s="2" t="s">
        <v>32</v>
      </c>
      <c r="G494" s="2" t="s">
        <v>48</v>
      </c>
      <c r="H494" s="2" t="s">
        <v>140</v>
      </c>
      <c r="I494" s="2" t="s">
        <v>258</v>
      </c>
      <c r="J494" s="2" t="s">
        <v>259</v>
      </c>
      <c r="K494" s="2" t="s">
        <v>438</v>
      </c>
      <c r="L494" s="2" t="s">
        <v>261</v>
      </c>
      <c r="M494" s="2"/>
      <c r="N494" s="2"/>
      <c r="O494" s="2"/>
      <c r="P494" s="2"/>
      <c r="Q494" s="2"/>
      <c r="R494" s="2"/>
      <c r="S494" s="2"/>
      <c r="T494" s="2"/>
      <c r="U494" s="3"/>
      <c r="V494" s="2"/>
      <c r="W494" s="2"/>
      <c r="X494" s="2"/>
      <c r="Y494" s="2"/>
      <c r="Z494" s="2"/>
      <c r="AA494" s="2"/>
      <c r="AB494" s="2"/>
      <c r="AC494" s="2"/>
    </row>
    <row r="495" spans="1:29" ht="20.100000000000001" customHeight="1">
      <c r="A495" s="2" t="s">
        <v>2015</v>
      </c>
      <c r="B495" s="2" t="s">
        <v>2016</v>
      </c>
      <c r="C495" s="2" t="str">
        <f>sheet1[[#This Row],[Nombre]]&amp;sheet1[[#This Row],[Bp Id]]</f>
        <v>Parametrizador LegadosITM0110</v>
      </c>
      <c r="D495" s="2" t="str">
        <f>VLOOKUP(sheet1[[#This Row],[Columna1]],sheet13[[Columna1]:[Estado]],4,FALSE)</f>
        <v>Operativo</v>
      </c>
      <c r="E495" s="2"/>
      <c r="F495" s="2" t="s">
        <v>32</v>
      </c>
      <c r="G495" s="2" t="s">
        <v>48</v>
      </c>
      <c r="H495" s="2" t="s">
        <v>59</v>
      </c>
      <c r="I495" s="2" t="s">
        <v>225</v>
      </c>
      <c r="J495" s="2" t="s">
        <v>226</v>
      </c>
      <c r="K495" s="2" t="s">
        <v>226</v>
      </c>
      <c r="L495" s="2" t="s">
        <v>2017</v>
      </c>
      <c r="M495" s="2"/>
      <c r="N495" s="2"/>
      <c r="O495" s="2"/>
      <c r="P495" s="2"/>
      <c r="Q495" s="2"/>
      <c r="R495" s="2"/>
      <c r="S495" s="2"/>
      <c r="T495" s="2"/>
      <c r="U495" s="3"/>
      <c r="V495" s="2"/>
      <c r="W495" s="2"/>
      <c r="X495" s="2"/>
      <c r="Y495" s="2"/>
      <c r="Z495" s="2"/>
      <c r="AA495" s="2"/>
      <c r="AB495" s="2"/>
      <c r="AC495" s="2"/>
    </row>
    <row r="496" spans="1:29" ht="20.100000000000001" customHeight="1">
      <c r="A496" s="2" t="s">
        <v>2018</v>
      </c>
      <c r="B496" s="2" t="s">
        <v>2019</v>
      </c>
      <c r="C496" s="2" t="str">
        <f>sheet1[[#This Row],[Nombre]]&amp;sheet1[[#This Row],[Bp Id]]</f>
        <v>Fraud rules ManagerGOB0004</v>
      </c>
      <c r="D496" s="2" t="str">
        <f>VLOOKUP(sheet1[[#This Row],[Columna1]],sheet13[[Columna1]:[Estado]],4,FALSE)</f>
        <v>Retirado</v>
      </c>
      <c r="E496" s="2"/>
      <c r="F496" s="2" t="s">
        <v>47</v>
      </c>
      <c r="G496" s="2" t="s">
        <v>123</v>
      </c>
      <c r="H496" s="2" t="s">
        <v>140</v>
      </c>
      <c r="I496" s="2" t="s">
        <v>107</v>
      </c>
      <c r="J496" s="2" t="s">
        <v>176</v>
      </c>
      <c r="K496" s="2"/>
      <c r="L496" s="2" t="s">
        <v>108</v>
      </c>
      <c r="M496" s="2"/>
      <c r="N496" s="2"/>
      <c r="O496" s="2"/>
      <c r="P496" s="2"/>
      <c r="Q496" s="2"/>
      <c r="R496" s="2"/>
      <c r="S496" s="2"/>
      <c r="T496" s="2"/>
      <c r="U496" s="3"/>
      <c r="V496" s="2"/>
      <c r="W496" s="2"/>
      <c r="X496" s="2"/>
      <c r="Y496" s="2"/>
      <c r="Z496" s="2"/>
      <c r="AA496" s="2"/>
      <c r="AB496" s="2"/>
      <c r="AC496" s="2"/>
    </row>
    <row r="497" spans="1:29" ht="20.100000000000001" customHeight="1">
      <c r="A497" s="2" t="s">
        <v>2020</v>
      </c>
      <c r="B497" s="2" t="s">
        <v>2021</v>
      </c>
      <c r="C497" s="2" t="str">
        <f>sheet1[[#This Row],[Nombre]]&amp;sheet1[[#This Row],[Bp Id]]</f>
        <v>CertesSEC0007</v>
      </c>
      <c r="D497" s="2" t="str">
        <f>VLOOKUP(sheet1[[#This Row],[Columna1]],sheet13[[Columna1]:[Estado]],4,FALSE)</f>
        <v>Retirado</v>
      </c>
      <c r="E497" s="2"/>
      <c r="F497" s="2" t="s">
        <v>47</v>
      </c>
      <c r="G497" s="2" t="s">
        <v>48</v>
      </c>
      <c r="H497" s="2" t="s">
        <v>34</v>
      </c>
      <c r="I497" s="2" t="s">
        <v>107</v>
      </c>
      <c r="J497" s="2" t="s">
        <v>176</v>
      </c>
      <c r="K497" s="2"/>
      <c r="L497" s="2" t="s">
        <v>185</v>
      </c>
      <c r="M497" s="2"/>
      <c r="N497" s="2"/>
      <c r="O497" s="2"/>
      <c r="P497" s="2"/>
      <c r="Q497" s="2"/>
      <c r="R497" s="2"/>
      <c r="S497" s="2"/>
      <c r="T497" s="2"/>
      <c r="U497" s="3"/>
      <c r="V497" s="2"/>
      <c r="W497" s="2"/>
      <c r="X497" s="2"/>
      <c r="Y497" s="2"/>
      <c r="Z497" s="2"/>
      <c r="AA497" s="2"/>
      <c r="AB497" s="2"/>
      <c r="AC497" s="2"/>
    </row>
    <row r="498" spans="1:29" ht="20.100000000000001" customHeight="1">
      <c r="A498" s="2" t="s">
        <v>2022</v>
      </c>
      <c r="B498" s="2" t="s">
        <v>2023</v>
      </c>
      <c r="C498" s="2" t="str">
        <f>sheet1[[#This Row],[Nombre]]&amp;sheet1[[#This Row],[Bp Id]]</f>
        <v>Onboarding VinculaciónCHL0035</v>
      </c>
      <c r="D498" s="2" t="str">
        <f>VLOOKUP(sheet1[[#This Row],[Columna1]],sheet13[[Columna1]:[Estado]],4,FALSE)</f>
        <v>Retirado</v>
      </c>
      <c r="E498" s="2"/>
      <c r="F498" s="2" t="s">
        <v>47</v>
      </c>
      <c r="G498" s="2" t="s">
        <v>48</v>
      </c>
      <c r="H498" s="2" t="s">
        <v>59</v>
      </c>
      <c r="I498" s="2" t="s">
        <v>553</v>
      </c>
      <c r="J498" s="2" t="s">
        <v>554</v>
      </c>
      <c r="K498" s="2"/>
      <c r="L498" s="2"/>
      <c r="M498" s="2"/>
      <c r="N498" s="2"/>
      <c r="O498" s="2"/>
      <c r="P498" s="2"/>
      <c r="Q498" s="2"/>
      <c r="R498" s="2"/>
      <c r="S498" s="2"/>
      <c r="T498" s="2"/>
      <c r="U498" s="3"/>
      <c r="V498" s="2"/>
      <c r="W498" s="2"/>
      <c r="X498" s="2"/>
      <c r="Y498" s="2"/>
      <c r="Z498" s="2"/>
      <c r="AA498" s="2"/>
      <c r="AB498" s="2"/>
      <c r="AC498" s="2"/>
    </row>
    <row r="499" spans="1:29" ht="20.100000000000001" customHeight="1">
      <c r="A499" s="2" t="s">
        <v>2024</v>
      </c>
      <c r="B499" s="2" t="s">
        <v>2025</v>
      </c>
      <c r="C499" s="2" t="str">
        <f>sheet1[[#This Row],[Nombre]]&amp;sheet1[[#This Row],[Bp Id]]</f>
        <v>Exchange Server 2010ITM0016</v>
      </c>
      <c r="D499" s="2" t="str">
        <f>VLOOKUP(sheet1[[#This Row],[Columna1]],sheet13[[Columna1]:[Estado]],4,FALSE)</f>
        <v>Retirado</v>
      </c>
      <c r="E499" s="2"/>
      <c r="F499" s="2" t="s">
        <v>47</v>
      </c>
      <c r="G499" s="2" t="s">
        <v>48</v>
      </c>
      <c r="H499" s="2" t="s">
        <v>34</v>
      </c>
      <c r="I499" s="2" t="s">
        <v>68</v>
      </c>
      <c r="J499" s="2" t="s">
        <v>236</v>
      </c>
      <c r="K499" s="2"/>
      <c r="L499" s="2" t="s">
        <v>82</v>
      </c>
      <c r="M499" s="2"/>
      <c r="N499" s="2"/>
      <c r="O499" s="2"/>
      <c r="P499" s="2"/>
      <c r="Q499" s="2"/>
      <c r="R499" s="2"/>
      <c r="S499" s="2"/>
      <c r="T499" s="2"/>
      <c r="U499" s="3"/>
      <c r="V499" s="2"/>
      <c r="W499" s="2"/>
      <c r="X499" s="2"/>
      <c r="Y499" s="2"/>
      <c r="Z499" s="2"/>
      <c r="AA499" s="2"/>
      <c r="AB499" s="2"/>
      <c r="AC499" s="2"/>
    </row>
    <row r="500" spans="1:29" ht="20.100000000000001" customHeight="1">
      <c r="A500" s="2" t="s">
        <v>2026</v>
      </c>
      <c r="B500" s="2" t="s">
        <v>2027</v>
      </c>
      <c r="C500" s="2" t="str">
        <f>sheet1[[#This Row],[Nombre]]&amp;sheet1[[#This Row],[Bp Id]]</f>
        <v>IBM Rational Perfomance TesterITM0103</v>
      </c>
      <c r="D500" s="2" t="str">
        <f>VLOOKUP(sheet1[[#This Row],[Columna1]],sheet13[[Columna1]:[Estado]],4,FALSE)</f>
        <v>Operativo</v>
      </c>
      <c r="E500" s="2"/>
      <c r="F500" s="2" t="s">
        <v>32</v>
      </c>
      <c r="G500" s="2" t="s">
        <v>48</v>
      </c>
      <c r="H500" s="2" t="s">
        <v>34</v>
      </c>
      <c r="I500" s="2" t="s">
        <v>198</v>
      </c>
      <c r="J500" s="2" t="s">
        <v>240</v>
      </c>
      <c r="K500" s="2" t="s">
        <v>2028</v>
      </c>
      <c r="L500" s="2" t="s">
        <v>2028</v>
      </c>
      <c r="M500" s="2"/>
      <c r="N500" s="2"/>
      <c r="O500" s="2"/>
      <c r="P500" s="2"/>
      <c r="Q500" s="2"/>
      <c r="R500" s="2"/>
      <c r="S500" s="2"/>
      <c r="T500" s="2"/>
      <c r="U500" s="3"/>
      <c r="V500" s="2"/>
      <c r="W500" s="2"/>
      <c r="X500" s="2"/>
      <c r="Y500" s="2"/>
      <c r="Z500" s="2"/>
      <c r="AA500" s="2"/>
      <c r="AB500" s="2"/>
      <c r="AC500" s="2"/>
    </row>
    <row r="501" spans="1:29" ht="20.100000000000001" customHeight="1">
      <c r="A501" s="2" t="s">
        <v>2029</v>
      </c>
      <c r="B501" s="2" t="s">
        <v>2030</v>
      </c>
      <c r="C501" s="2" t="str">
        <f>sheet1[[#This Row],[Nombre]]&amp;sheet1[[#This Row],[Bp Id]]</f>
        <v>Tokenización de TarjetasITM0149</v>
      </c>
      <c r="D501" s="2" t="e">
        <f>VLOOKUP(sheet1[[#This Row],[Columna1]],sheet13[[Columna1]:[Estado]],4,FALSE)</f>
        <v>#N/A</v>
      </c>
      <c r="E501" s="2"/>
      <c r="F501" s="2" t="s">
        <v>32</v>
      </c>
      <c r="G501" s="2" t="s">
        <v>48</v>
      </c>
      <c r="H501" s="2" t="s">
        <v>345</v>
      </c>
      <c r="I501" s="2" t="s">
        <v>141</v>
      </c>
      <c r="J501" s="2" t="s">
        <v>151</v>
      </c>
      <c r="K501" s="2" t="s">
        <v>564</v>
      </c>
      <c r="L501" s="2" t="s">
        <v>2031</v>
      </c>
      <c r="M501" s="2"/>
      <c r="N501" s="2"/>
      <c r="O501" s="2"/>
      <c r="P501" s="2"/>
      <c r="Q501" s="2"/>
      <c r="R501" s="2"/>
      <c r="S501" s="2"/>
      <c r="T501" s="2"/>
      <c r="U501" s="3"/>
      <c r="V501" s="2"/>
      <c r="W501" s="2"/>
      <c r="X501" s="2"/>
      <c r="Y501" s="2"/>
      <c r="Z501" s="2"/>
      <c r="AA501" s="2"/>
      <c r="AB501" s="2"/>
      <c r="AC501" s="2"/>
    </row>
    <row r="502" spans="1:29" ht="20.100000000000001" customHeight="1">
      <c r="A502" s="2" t="s">
        <v>2032</v>
      </c>
      <c r="B502" s="2" t="s">
        <v>2033</v>
      </c>
      <c r="C502" s="2" t="str">
        <f>sheet1[[#This Row],[Nombre]]&amp;sheet1[[#This Row],[Bp Id]]</f>
        <v>Urban Code DeployITM0059</v>
      </c>
      <c r="D502" s="2" t="str">
        <f>VLOOKUP(sheet1[[#This Row],[Columna1]],sheet13[[Columna1]:[Estado]],4,FALSE)</f>
        <v>Retirado</v>
      </c>
      <c r="E502" s="2"/>
      <c r="F502" s="2" t="s">
        <v>47</v>
      </c>
      <c r="G502" s="2" t="s">
        <v>48</v>
      </c>
      <c r="H502" s="2" t="s">
        <v>34</v>
      </c>
      <c r="I502" s="2" t="s">
        <v>198</v>
      </c>
      <c r="J502" s="2" t="s">
        <v>199</v>
      </c>
      <c r="K502" s="2" t="s">
        <v>199</v>
      </c>
      <c r="L502" s="2" t="s">
        <v>199</v>
      </c>
      <c r="M502" s="2"/>
      <c r="N502" s="2"/>
      <c r="O502" s="2"/>
      <c r="P502" s="2"/>
      <c r="Q502" s="2"/>
      <c r="R502" s="2"/>
      <c r="S502" s="2"/>
      <c r="T502" s="2"/>
      <c r="U502" s="3"/>
      <c r="V502" s="2"/>
      <c r="W502" s="2"/>
      <c r="X502" s="2"/>
      <c r="Y502" s="2"/>
      <c r="Z502" s="2"/>
      <c r="AA502" s="2"/>
      <c r="AB502" s="2"/>
      <c r="AC502" s="2"/>
    </row>
    <row r="503" spans="1:29" ht="20.100000000000001" customHeight="1">
      <c r="A503" s="2" t="s">
        <v>2034</v>
      </c>
      <c r="B503" s="2" t="s">
        <v>2035</v>
      </c>
      <c r="C503" s="2" t="str">
        <f>sheet1[[#This Row],[Nombre]]&amp;sheet1[[#This Row],[Bp Id]]</f>
        <v>Componente MKT Cloud SMSCUS0006</v>
      </c>
      <c r="D503" s="2" t="str">
        <f>VLOOKUP(sheet1[[#This Row],[Columna1]],sheet13[[Columna1]:[Estado]],4,FALSE)</f>
        <v>Retirado</v>
      </c>
      <c r="E503" s="2"/>
      <c r="F503" s="2" t="s">
        <v>47</v>
      </c>
      <c r="G503" s="2" t="s">
        <v>48</v>
      </c>
      <c r="H503" s="2" t="s">
        <v>59</v>
      </c>
      <c r="I503" s="2" t="s">
        <v>134</v>
      </c>
      <c r="J503" s="2" t="s">
        <v>88</v>
      </c>
      <c r="K503" s="2" t="s">
        <v>479</v>
      </c>
      <c r="L503" s="2" t="s">
        <v>480</v>
      </c>
      <c r="M503" s="2"/>
      <c r="N503" s="2"/>
      <c r="O503" s="2"/>
      <c r="P503" s="2"/>
      <c r="Q503" s="2"/>
      <c r="R503" s="2"/>
      <c r="S503" s="2"/>
      <c r="T503" s="2"/>
      <c r="U503" s="3"/>
      <c r="V503" s="2"/>
      <c r="W503" s="2"/>
      <c r="X503" s="2"/>
      <c r="Y503" s="2"/>
      <c r="Z503" s="2"/>
      <c r="AA503" s="2"/>
      <c r="AB503" s="2"/>
      <c r="AC503" s="2"/>
    </row>
    <row r="504" spans="1:29" ht="20.100000000000001" customHeight="1">
      <c r="A504" s="2" t="s">
        <v>2036</v>
      </c>
      <c r="B504" s="2" t="s">
        <v>2037</v>
      </c>
      <c r="C504" s="2" t="str">
        <f>sheet1[[#This Row],[Nombre]]&amp;sheet1[[#This Row],[Bp Id]]</f>
        <v>Estados de CuentaPRD0066</v>
      </c>
      <c r="D504" s="2" t="str">
        <f>VLOOKUP(sheet1[[#This Row],[Columna1]],sheet13[[Columna1]:[Estado]],4,FALSE)</f>
        <v>Operativo</v>
      </c>
      <c r="E504" s="2"/>
      <c r="F504" s="2" t="s">
        <v>32</v>
      </c>
      <c r="G504" s="2" t="s">
        <v>48</v>
      </c>
      <c r="H504" s="2" t="s">
        <v>59</v>
      </c>
      <c r="I504" s="2" t="s">
        <v>167</v>
      </c>
      <c r="J504" s="2" t="s">
        <v>96</v>
      </c>
      <c r="K504" s="2" t="s">
        <v>2038</v>
      </c>
      <c r="L504" s="2" t="s">
        <v>169</v>
      </c>
      <c r="M504" s="2"/>
      <c r="N504" s="2"/>
      <c r="O504" s="2"/>
      <c r="P504" s="2"/>
      <c r="Q504" s="2"/>
      <c r="R504" s="2"/>
      <c r="S504" s="2"/>
      <c r="T504" s="2"/>
      <c r="U504" s="3"/>
      <c r="V504" s="2"/>
      <c r="W504" s="2"/>
      <c r="X504" s="2"/>
      <c r="Y504" s="2"/>
      <c r="Z504" s="2"/>
      <c r="AA504" s="2"/>
      <c r="AB504" s="2"/>
      <c r="AC504" s="2"/>
    </row>
    <row r="505" spans="1:29" ht="20.100000000000001" customHeight="1">
      <c r="A505" s="2" t="s">
        <v>2039</v>
      </c>
      <c r="B505" s="2" t="s">
        <v>2040</v>
      </c>
      <c r="C505" s="2" t="str">
        <f>sheet1[[#This Row],[Nombre]]&amp;sheet1[[#This Row],[Bp Id]]</f>
        <v>Switch YanbalPRD0030</v>
      </c>
      <c r="D505" s="2" t="str">
        <f>VLOOKUP(sheet1[[#This Row],[Columna1]],sheet13[[Columna1]:[Estado]],4,FALSE)</f>
        <v>No operativo</v>
      </c>
      <c r="E505" s="2"/>
      <c r="F505" s="2" t="s">
        <v>1788</v>
      </c>
      <c r="G505" s="2" t="s">
        <v>48</v>
      </c>
      <c r="H505" s="2" t="s">
        <v>34</v>
      </c>
      <c r="I505" s="2" t="s">
        <v>553</v>
      </c>
      <c r="J505" s="2" t="s">
        <v>554</v>
      </c>
      <c r="K505" s="2"/>
      <c r="L505" s="2" t="s">
        <v>556</v>
      </c>
      <c r="M505" s="2"/>
      <c r="N505" s="2"/>
      <c r="O505" s="2"/>
      <c r="P505" s="2"/>
      <c r="Q505" s="2"/>
      <c r="R505" s="2"/>
      <c r="S505" s="2"/>
      <c r="T505" s="2"/>
      <c r="U505" s="3"/>
      <c r="V505" s="2"/>
      <c r="W505" s="2"/>
      <c r="X505" s="2"/>
      <c r="Y505" s="2"/>
      <c r="Z505" s="2"/>
      <c r="AA505" s="2"/>
      <c r="AB505" s="2"/>
      <c r="AC505" s="2"/>
    </row>
    <row r="506" spans="1:29" ht="20.100000000000001" customHeight="1">
      <c r="A506" s="2" t="s">
        <v>2041</v>
      </c>
      <c r="B506" s="2" t="s">
        <v>2042</v>
      </c>
      <c r="C506" s="2" t="str">
        <f>sheet1[[#This Row],[Nombre]]&amp;sheet1[[#This Row],[Bp Id]]</f>
        <v>Stratio DiscoveryDAT0010</v>
      </c>
      <c r="D506" s="2" t="str">
        <f>VLOOKUP(sheet1[[#This Row],[Columna1]],sheet13[[Columna1]:[Estado]],4,FALSE)</f>
        <v>Retirado</v>
      </c>
      <c r="E506" s="2"/>
      <c r="F506" s="2" t="s">
        <v>47</v>
      </c>
      <c r="G506" s="2" t="s">
        <v>48</v>
      </c>
      <c r="H506" s="2" t="s">
        <v>59</v>
      </c>
      <c r="I506" s="2" t="s">
        <v>328</v>
      </c>
      <c r="J506" s="2" t="s">
        <v>329</v>
      </c>
      <c r="K506" s="2" t="s">
        <v>575</v>
      </c>
      <c r="L506" s="2" t="s">
        <v>575</v>
      </c>
      <c r="M506" s="2"/>
      <c r="N506" s="2"/>
      <c r="O506" s="2"/>
      <c r="P506" s="2"/>
      <c r="Q506" s="2"/>
      <c r="R506" s="2"/>
      <c r="S506" s="2"/>
      <c r="T506" s="2"/>
      <c r="U506" s="3"/>
      <c r="V506" s="2"/>
      <c r="W506" s="2"/>
      <c r="X506" s="2"/>
      <c r="Y506" s="2"/>
      <c r="Z506" s="2"/>
      <c r="AA506" s="2"/>
      <c r="AB506" s="2"/>
      <c r="AC506" s="2"/>
    </row>
    <row r="507" spans="1:29" ht="20.100000000000001" customHeight="1">
      <c r="A507" s="2" t="s">
        <v>2043</v>
      </c>
      <c r="B507" s="2" t="s">
        <v>2044</v>
      </c>
      <c r="C507" s="2" t="str">
        <f>sheet1[[#This Row],[Nombre]]&amp;sheet1[[#This Row],[Bp Id]]</f>
        <v>PagerDutyITM0150</v>
      </c>
      <c r="D507" s="2" t="e">
        <f>VLOOKUP(sheet1[[#This Row],[Columna1]],sheet13[[Columna1]:[Estado]],4,FALSE)</f>
        <v>#N/A</v>
      </c>
      <c r="E507" s="2"/>
      <c r="F507" s="2" t="s">
        <v>32</v>
      </c>
      <c r="G507" s="2" t="s">
        <v>48</v>
      </c>
      <c r="H507" s="2" t="s">
        <v>59</v>
      </c>
      <c r="I507" s="2" t="s">
        <v>449</v>
      </c>
      <c r="J507" s="2" t="s">
        <v>885</v>
      </c>
      <c r="K507" s="2" t="s">
        <v>884</v>
      </c>
      <c r="L507" s="2" t="s">
        <v>884</v>
      </c>
      <c r="M507" s="2"/>
      <c r="N507" s="2"/>
      <c r="O507" s="2"/>
      <c r="P507" s="2"/>
      <c r="Q507" s="2"/>
      <c r="R507" s="2"/>
      <c r="S507" s="2"/>
      <c r="T507" s="2"/>
      <c r="U507" s="3"/>
      <c r="V507" s="2"/>
      <c r="W507" s="2"/>
      <c r="X507" s="2"/>
      <c r="Y507" s="2"/>
      <c r="Z507" s="2"/>
      <c r="AA507" s="2"/>
      <c r="AB507" s="2"/>
      <c r="AC507" s="2"/>
    </row>
    <row r="508" spans="1:29" ht="20.100000000000001" customHeight="1">
      <c r="A508" s="2" t="s">
        <v>2045</v>
      </c>
      <c r="B508" s="2" t="s">
        <v>2046</v>
      </c>
      <c r="C508" s="2" t="str">
        <f>sheet1[[#This Row],[Nombre]]&amp;sheet1[[#This Row],[Bp Id]]</f>
        <v>Nuevo CashPRD0024</v>
      </c>
      <c r="D508" s="2" t="str">
        <f>VLOOKUP(sheet1[[#This Row],[Columna1]],sheet13[[Columna1]:[Estado]],4,FALSE)</f>
        <v>Retirado</v>
      </c>
      <c r="E508" s="2"/>
      <c r="F508" s="2" t="s">
        <v>47</v>
      </c>
      <c r="G508" s="2" t="s">
        <v>48</v>
      </c>
      <c r="H508" s="2" t="s">
        <v>59</v>
      </c>
      <c r="I508" s="2" t="s">
        <v>553</v>
      </c>
      <c r="J508" s="2" t="s">
        <v>554</v>
      </c>
      <c r="K508" s="2"/>
      <c r="L508" s="2" t="s">
        <v>2047</v>
      </c>
      <c r="M508" s="2"/>
      <c r="N508" s="2"/>
      <c r="O508" s="2"/>
      <c r="P508" s="2"/>
      <c r="Q508" s="2"/>
      <c r="R508" s="2"/>
      <c r="S508" s="2"/>
      <c r="T508" s="2"/>
      <c r="U508" s="3"/>
      <c r="V508" s="2"/>
      <c r="W508" s="2"/>
      <c r="X508" s="2"/>
      <c r="Y508" s="2"/>
      <c r="Z508" s="2"/>
      <c r="AA508" s="2"/>
      <c r="AB508" s="2"/>
      <c r="AC508" s="2"/>
    </row>
    <row r="509" spans="1:29" ht="20.100000000000001" customHeight="1">
      <c r="A509" s="2" t="s">
        <v>2048</v>
      </c>
      <c r="B509" s="2" t="s">
        <v>2049</v>
      </c>
      <c r="C509" s="2" t="str">
        <f>sheet1[[#This Row],[Nombre]]&amp;sheet1[[#This Row],[Bp Id]]</f>
        <v>Componente MKT Cloud PushCUS0005</v>
      </c>
      <c r="D509" s="2" t="str">
        <f>VLOOKUP(sheet1[[#This Row],[Columna1]],sheet13[[Columna1]:[Estado]],4,FALSE)</f>
        <v>Retirado</v>
      </c>
      <c r="E509" s="2"/>
      <c r="F509" s="2" t="s">
        <v>47</v>
      </c>
      <c r="G509" s="2" t="s">
        <v>48</v>
      </c>
      <c r="H509" s="2" t="s">
        <v>59</v>
      </c>
      <c r="I509" s="2" t="s">
        <v>134</v>
      </c>
      <c r="J509" s="2" t="s">
        <v>88</v>
      </c>
      <c r="K509" s="2" t="s">
        <v>479</v>
      </c>
      <c r="L509" s="2" t="s">
        <v>480</v>
      </c>
      <c r="M509" s="2"/>
      <c r="N509" s="2"/>
      <c r="O509" s="2"/>
      <c r="P509" s="2"/>
      <c r="Q509" s="2"/>
      <c r="R509" s="2"/>
      <c r="S509" s="2"/>
      <c r="T509" s="2"/>
      <c r="U509" s="3"/>
      <c r="V509" s="2"/>
      <c r="W509" s="2"/>
      <c r="X509" s="2"/>
      <c r="Y509" s="2"/>
      <c r="Z509" s="2"/>
      <c r="AA509" s="2"/>
      <c r="AB509" s="2"/>
      <c r="AC509" s="2"/>
    </row>
    <row r="510" spans="1:29" ht="20.100000000000001" customHeight="1">
      <c r="A510" s="2" t="s">
        <v>2050</v>
      </c>
      <c r="B510" s="2" t="s">
        <v>2051</v>
      </c>
      <c r="C510" s="2" t="str">
        <f>sheet1[[#This Row],[Nombre]]&amp;sheet1[[#This Row],[Bp Id]]</f>
        <v>UnificaTPSUP0022</v>
      </c>
      <c r="D510" s="2" t="str">
        <f>VLOOKUP(sheet1[[#This Row],[Columna1]],sheet13[[Columna1]:[Estado]],4,FALSE)</f>
        <v>Retirado</v>
      </c>
      <c r="E510" s="2"/>
      <c r="F510" s="2" t="s">
        <v>47</v>
      </c>
      <c r="G510" s="2" t="s">
        <v>48</v>
      </c>
      <c r="H510" s="2" t="s">
        <v>34</v>
      </c>
      <c r="I510" s="2" t="s">
        <v>35</v>
      </c>
      <c r="J510" s="2" t="s">
        <v>349</v>
      </c>
      <c r="K510" s="2" t="s">
        <v>381</v>
      </c>
      <c r="L510" s="2" t="s">
        <v>350</v>
      </c>
      <c r="M510" s="2"/>
      <c r="N510" s="2"/>
      <c r="O510" s="2"/>
      <c r="P510" s="2"/>
      <c r="Q510" s="2"/>
      <c r="R510" s="2"/>
      <c r="S510" s="2"/>
      <c r="T510" s="2"/>
      <c r="U510" s="3"/>
      <c r="V510" s="2"/>
      <c r="W510" s="2"/>
      <c r="X510" s="2"/>
      <c r="Y510" s="2"/>
      <c r="Z510" s="2"/>
      <c r="AA510" s="2"/>
      <c r="AB510" s="2"/>
      <c r="AC510" s="2"/>
    </row>
    <row r="511" spans="1:29" ht="20.100000000000001" customHeight="1">
      <c r="A511" s="2" t="s">
        <v>2052</v>
      </c>
      <c r="B511" s="2" t="s">
        <v>2053</v>
      </c>
      <c r="C511" s="2" t="str">
        <f>sheet1[[#This Row],[Nombre]]&amp;sheet1[[#This Row],[Bp Id]]</f>
        <v>Elastic Kubernetes ServicesITM0124</v>
      </c>
      <c r="D511" s="2" t="str">
        <f>VLOOKUP(sheet1[[#This Row],[Columna1]],sheet13[[Columna1]:[Estado]],4,FALSE)</f>
        <v>Operativo</v>
      </c>
      <c r="E511" s="2"/>
      <c r="F511" s="2" t="s">
        <v>32</v>
      </c>
      <c r="G511" s="2" t="s">
        <v>123</v>
      </c>
      <c r="H511" s="2" t="s">
        <v>59</v>
      </c>
      <c r="I511" s="2" t="s">
        <v>198</v>
      </c>
      <c r="J511" s="2" t="s">
        <v>199</v>
      </c>
      <c r="K511" s="2" t="s">
        <v>521</v>
      </c>
      <c r="L511" s="2" t="s">
        <v>242</v>
      </c>
      <c r="M511" s="2"/>
      <c r="N511" s="2"/>
      <c r="O511" s="2"/>
      <c r="P511" s="2"/>
      <c r="Q511" s="2"/>
      <c r="R511" s="2"/>
      <c r="S511" s="2"/>
      <c r="T511" s="2"/>
      <c r="U511" s="3"/>
      <c r="V511" s="2"/>
      <c r="W511" s="2"/>
      <c r="X511" s="2"/>
      <c r="Y511" s="2"/>
      <c r="Z511" s="2"/>
      <c r="AA511" s="2"/>
      <c r="AB511" s="2"/>
      <c r="AC511" s="2"/>
    </row>
    <row r="512" spans="1:29" ht="20.100000000000001" customHeight="1">
      <c r="A512" s="2" t="s">
        <v>2054</v>
      </c>
      <c r="B512" s="2" t="s">
        <v>2055</v>
      </c>
      <c r="C512" s="2" t="str">
        <f>sheet1[[#This Row],[Nombre]]&amp;sheet1[[#This Row],[Bp Id]]</f>
        <v>Sharepoint 2013ITM0051</v>
      </c>
      <c r="D512" s="2" t="str">
        <f>VLOOKUP(sheet1[[#This Row],[Columna1]],sheet13[[Columna1]:[Estado]],4,FALSE)</f>
        <v>No operativo</v>
      </c>
      <c r="E512" s="2"/>
      <c r="F512" s="2" t="s">
        <v>1788</v>
      </c>
      <c r="G512" s="2" t="s">
        <v>58</v>
      </c>
      <c r="H512" s="2" t="s">
        <v>34</v>
      </c>
      <c r="I512" s="2" t="s">
        <v>68</v>
      </c>
      <c r="J512" s="2" t="s">
        <v>236</v>
      </c>
      <c r="K512" s="2"/>
      <c r="L512" s="2" t="s">
        <v>234</v>
      </c>
      <c r="M512" s="2"/>
      <c r="N512" s="2"/>
      <c r="O512" s="2"/>
      <c r="P512" s="2"/>
      <c r="Q512" s="2"/>
      <c r="R512" s="2"/>
      <c r="S512" s="2"/>
      <c r="T512" s="2"/>
      <c r="U512" s="3"/>
      <c r="V512" s="2"/>
      <c r="W512" s="2"/>
      <c r="X512" s="2"/>
      <c r="Y512" s="2"/>
      <c r="Z512" s="2"/>
      <c r="AA512" s="2"/>
      <c r="AB512" s="2"/>
      <c r="AC512" s="2"/>
    </row>
    <row r="513" spans="1:29" ht="20.100000000000001" customHeight="1">
      <c r="A513" s="2" t="s">
        <v>2056</v>
      </c>
      <c r="B513" s="2" t="s">
        <v>2057</v>
      </c>
      <c r="C513" s="2" t="str">
        <f>sheet1[[#This Row],[Nombre]]&amp;sheet1[[#This Row],[Bp Id]]</f>
        <v>Segmentación de ClientesCUS0023</v>
      </c>
      <c r="D513" s="2" t="str">
        <f>VLOOKUP(sheet1[[#This Row],[Columna1]],sheet13[[Columna1]:[Estado]],4,FALSE)</f>
        <v>Operativo</v>
      </c>
      <c r="E513" s="2"/>
      <c r="F513" s="2" t="s">
        <v>32</v>
      </c>
      <c r="G513" s="2" t="s">
        <v>48</v>
      </c>
      <c r="H513" s="2" t="s">
        <v>59</v>
      </c>
      <c r="I513" s="2" t="s">
        <v>1854</v>
      </c>
      <c r="J513" s="2" t="s">
        <v>88</v>
      </c>
      <c r="K513" s="2" t="s">
        <v>2058</v>
      </c>
      <c r="L513" s="2" t="s">
        <v>88</v>
      </c>
      <c r="M513" s="2"/>
      <c r="N513" s="2"/>
      <c r="O513" s="2"/>
      <c r="P513" s="2"/>
      <c r="Q513" s="2"/>
      <c r="R513" s="2"/>
      <c r="S513" s="2"/>
      <c r="T513" s="2"/>
      <c r="U513" s="3"/>
      <c r="V513" s="2"/>
      <c r="W513" s="2"/>
      <c r="X513" s="2"/>
      <c r="Y513" s="2"/>
      <c r="Z513" s="2"/>
      <c r="AA513" s="2"/>
      <c r="AB513" s="2"/>
      <c r="AC513" s="2"/>
    </row>
    <row r="514" spans="1:29" ht="20.100000000000001" customHeight="1">
      <c r="A514" s="2" t="s">
        <v>2059</v>
      </c>
      <c r="B514" s="2" t="s">
        <v>2060</v>
      </c>
      <c r="C514" s="2" t="str">
        <f>sheet1[[#This Row],[Nombre]]&amp;sheet1[[#This Row],[Bp Id]]</f>
        <v>Citrix MetaframeITM0005</v>
      </c>
      <c r="D514" s="2" t="str">
        <f>VLOOKUP(sheet1[[#This Row],[Columna1]],sheet13[[Columna1]:[Estado]],4,FALSE)</f>
        <v>Retirado</v>
      </c>
      <c r="E514" s="2"/>
      <c r="F514" s="2" t="s">
        <v>47</v>
      </c>
      <c r="G514" s="2" t="s">
        <v>48</v>
      </c>
      <c r="H514" s="2" t="s">
        <v>34</v>
      </c>
      <c r="I514" s="2" t="s">
        <v>68</v>
      </c>
      <c r="J514" s="2" t="s">
        <v>236</v>
      </c>
      <c r="K514" s="2"/>
      <c r="L514" s="2"/>
      <c r="M514" s="2"/>
      <c r="N514" s="2"/>
      <c r="O514" s="2"/>
      <c r="P514" s="2"/>
      <c r="Q514" s="2"/>
      <c r="R514" s="2"/>
      <c r="S514" s="2"/>
      <c r="T514" s="2"/>
      <c r="U514" s="3"/>
      <c r="V514" s="2"/>
      <c r="W514" s="2"/>
      <c r="X514" s="2"/>
      <c r="Y514" s="2"/>
      <c r="Z514" s="2"/>
      <c r="AA514" s="2"/>
      <c r="AB514" s="2"/>
      <c r="AC514" s="2"/>
    </row>
    <row r="515" spans="1:29" ht="20.100000000000001" customHeight="1">
      <c r="A515" s="2" t="s">
        <v>2061</v>
      </c>
      <c r="B515" s="2" t="s">
        <v>2062</v>
      </c>
      <c r="C515" s="2" t="str">
        <f>sheet1[[#This Row],[Nombre]]&amp;sheet1[[#This Row],[Bp Id]]</f>
        <v>Componentes de infraestructuraITM0100</v>
      </c>
      <c r="D515" s="2" t="str">
        <f>VLOOKUP(sheet1[[#This Row],[Columna1]],sheet13[[Columna1]:[Estado]],4,FALSE)</f>
        <v>Retirado</v>
      </c>
      <c r="E515" s="2"/>
      <c r="F515" s="2" t="s">
        <v>47</v>
      </c>
      <c r="G515" s="2" t="s">
        <v>48</v>
      </c>
      <c r="H515" s="2" t="s">
        <v>34</v>
      </c>
      <c r="I515" s="2" t="s">
        <v>68</v>
      </c>
      <c r="J515" s="2" t="s">
        <v>69</v>
      </c>
      <c r="K515" s="2" t="s">
        <v>69</v>
      </c>
      <c r="L515" s="2" t="s">
        <v>2063</v>
      </c>
      <c r="M515" s="2"/>
      <c r="N515" s="2"/>
      <c r="O515" s="2"/>
      <c r="P515" s="2"/>
      <c r="Q515" s="2"/>
      <c r="R515" s="2"/>
      <c r="S515" s="2"/>
      <c r="T515" s="2"/>
      <c r="U515" s="3"/>
      <c r="V515" s="2"/>
      <c r="W515" s="2"/>
      <c r="X515" s="2"/>
      <c r="Y515" s="2"/>
      <c r="Z515" s="2"/>
      <c r="AA515" s="2"/>
      <c r="AB515" s="2"/>
      <c r="AC515" s="2"/>
    </row>
    <row r="516" spans="1:29" ht="20.100000000000001" customHeight="1">
      <c r="A516" s="2" t="s">
        <v>2064</v>
      </c>
      <c r="B516" s="2" t="s">
        <v>2065</v>
      </c>
      <c r="C516" s="2" t="str">
        <f>sheet1[[#This Row],[Nombre]]&amp;sheet1[[#This Row],[Bp Id]]</f>
        <v>BaccambiosSUP0024</v>
      </c>
      <c r="D516" s="2" t="str">
        <f>VLOOKUP(sheet1[[#This Row],[Columna1]],sheet13[[Columna1]:[Estado]],4,FALSE)</f>
        <v>No operativo</v>
      </c>
      <c r="E516" s="2"/>
      <c r="F516" s="2" t="s">
        <v>1788</v>
      </c>
      <c r="G516" s="2" t="s">
        <v>48</v>
      </c>
      <c r="H516" s="2" t="s">
        <v>34</v>
      </c>
      <c r="I516" s="2" t="s">
        <v>921</v>
      </c>
      <c r="J516" s="2" t="s">
        <v>240</v>
      </c>
      <c r="K516" s="2"/>
      <c r="L516" s="2"/>
      <c r="M516" s="2"/>
      <c r="N516" s="2"/>
      <c r="O516" s="2"/>
      <c r="P516" s="2"/>
      <c r="Q516" s="2"/>
      <c r="R516" s="2"/>
      <c r="S516" s="2"/>
      <c r="T516" s="2"/>
      <c r="U516" s="3"/>
      <c r="V516" s="2"/>
      <c r="W516" s="2"/>
      <c r="X516" s="2"/>
      <c r="Y516" s="2"/>
      <c r="Z516" s="2"/>
      <c r="AA516" s="2"/>
      <c r="AB516" s="2"/>
      <c r="AC516" s="2"/>
    </row>
    <row r="517" spans="1:29" ht="20.100000000000001" customHeight="1">
      <c r="A517" s="2" t="s">
        <v>2066</v>
      </c>
      <c r="B517" s="2" t="s">
        <v>2067</v>
      </c>
      <c r="C517" s="2" t="str">
        <f>sheet1[[#This Row],[Nombre]]&amp;sheet1[[#This Row],[Bp Id]]</f>
        <v>StratioDAT0013</v>
      </c>
      <c r="D517" s="2" t="str">
        <f>VLOOKUP(sheet1[[#This Row],[Columna1]],sheet13[[Columna1]:[Estado]],4,FALSE)</f>
        <v>Operativo</v>
      </c>
      <c r="E517" s="2"/>
      <c r="F517" s="2" t="s">
        <v>32</v>
      </c>
      <c r="G517" s="2" t="s">
        <v>123</v>
      </c>
      <c r="H517" s="2" t="s">
        <v>59</v>
      </c>
      <c r="I517" s="2" t="s">
        <v>328</v>
      </c>
      <c r="J517" s="2" t="s">
        <v>2068</v>
      </c>
      <c r="K517" s="2" t="s">
        <v>575</v>
      </c>
      <c r="L517" s="2" t="s">
        <v>575</v>
      </c>
      <c r="M517" s="2"/>
      <c r="N517" s="2"/>
      <c r="O517" s="2"/>
      <c r="P517" s="2"/>
      <c r="Q517" s="2"/>
      <c r="R517" s="2"/>
      <c r="S517" s="2"/>
      <c r="T517" s="2"/>
      <c r="U517" s="3"/>
      <c r="V517" s="2"/>
      <c r="W517" s="2"/>
      <c r="X517" s="2"/>
      <c r="Y517" s="2"/>
      <c r="Z517" s="2"/>
      <c r="AA517" s="2"/>
      <c r="AB517" s="2"/>
      <c r="AC517" s="2"/>
    </row>
    <row r="518" spans="1:29" ht="20.100000000000001" customHeight="1">
      <c r="A518" s="2" t="s">
        <v>2069</v>
      </c>
      <c r="B518" s="2" t="s">
        <v>2070</v>
      </c>
      <c r="C518" s="2" t="str">
        <f>sheet1[[#This Row],[Nombre]]&amp;sheet1[[#This Row],[Bp Id]]</f>
        <v>MAC-LogiflowPRD0059</v>
      </c>
      <c r="D518" s="2" t="str">
        <f>VLOOKUP(sheet1[[#This Row],[Columna1]],sheet13[[Columna1]:[Estado]],4,FALSE)</f>
        <v>Retirado</v>
      </c>
      <c r="E518" s="2"/>
      <c r="F518" s="2" t="s">
        <v>47</v>
      </c>
      <c r="G518" s="2" t="s">
        <v>48</v>
      </c>
      <c r="H518" s="2" t="s">
        <v>34</v>
      </c>
      <c r="I518" s="2" t="s">
        <v>553</v>
      </c>
      <c r="J518" s="2" t="s">
        <v>554</v>
      </c>
      <c r="K518" s="2"/>
      <c r="L518" s="2" t="s">
        <v>110</v>
      </c>
      <c r="M518" s="2"/>
      <c r="N518" s="2"/>
      <c r="O518" s="2"/>
      <c r="P518" s="2"/>
      <c r="Q518" s="2"/>
      <c r="R518" s="2"/>
      <c r="S518" s="2"/>
      <c r="T518" s="2"/>
      <c r="U518" s="3"/>
      <c r="V518" s="2"/>
      <c r="W518" s="2"/>
      <c r="X518" s="2"/>
      <c r="Y518" s="2"/>
      <c r="Z518" s="2"/>
      <c r="AA518" s="2"/>
      <c r="AB518" s="2"/>
      <c r="AC518" s="2"/>
    </row>
    <row r="519" spans="1:29" ht="20.100000000000001" customHeight="1">
      <c r="A519" s="2" t="s">
        <v>2071</v>
      </c>
      <c r="B519" s="2" t="s">
        <v>2072</v>
      </c>
      <c r="C519" s="2" t="str">
        <f>sheet1[[#This Row],[Nombre]]&amp;sheet1[[#This Row],[Bp Id]]</f>
        <v>EDCManagerCHL0016</v>
      </c>
      <c r="D519" s="2" t="str">
        <f>VLOOKUP(sheet1[[#This Row],[Columna1]],sheet13[[Columna1]:[Estado]],4,FALSE)</f>
        <v>Retirado</v>
      </c>
      <c r="E519" s="2"/>
      <c r="F519" s="2" t="s">
        <v>47</v>
      </c>
      <c r="G519" s="2" t="s">
        <v>76</v>
      </c>
      <c r="H519" s="2" t="s">
        <v>34</v>
      </c>
      <c r="I519" s="2" t="s">
        <v>35</v>
      </c>
      <c r="J519" s="2" t="s">
        <v>349</v>
      </c>
      <c r="K519" s="2"/>
      <c r="L519" s="2"/>
      <c r="M519" s="2"/>
      <c r="N519" s="2"/>
      <c r="O519" s="2"/>
      <c r="P519" s="2"/>
      <c r="Q519" s="2"/>
      <c r="R519" s="2"/>
      <c r="S519" s="2"/>
      <c r="T519" s="2"/>
      <c r="U519" s="3"/>
      <c r="V519" s="2"/>
      <c r="W519" s="2"/>
      <c r="X519" s="2"/>
      <c r="Y519" s="2"/>
      <c r="Z519" s="2"/>
      <c r="AA519" s="2"/>
      <c r="AB519" s="2"/>
      <c r="AC519" s="2"/>
    </row>
    <row r="520" spans="1:29" ht="20.100000000000001" customHeight="1">
      <c r="A520" s="2" t="s">
        <v>2073</v>
      </c>
      <c r="B520" s="2" t="s">
        <v>2074</v>
      </c>
      <c r="C520" s="2" t="str">
        <f>sheet1[[#This Row],[Nombre]]&amp;sheet1[[#This Row],[Bp Id]]</f>
        <v>SteadybitITM0117</v>
      </c>
      <c r="D520" s="2" t="str">
        <f>VLOOKUP(sheet1[[#This Row],[Columna1]],sheet13[[Columna1]:[Estado]],4,FALSE)</f>
        <v>Operativo</v>
      </c>
      <c r="E520" s="2"/>
      <c r="F520" s="2" t="s">
        <v>32</v>
      </c>
      <c r="G520" s="2" t="s">
        <v>48</v>
      </c>
      <c r="H520" s="2" t="s">
        <v>59</v>
      </c>
      <c r="I520" s="2" t="s">
        <v>449</v>
      </c>
      <c r="J520" s="2" t="s">
        <v>450</v>
      </c>
      <c r="K520" s="2" t="s">
        <v>1910</v>
      </c>
      <c r="L520" s="2" t="s">
        <v>1910</v>
      </c>
      <c r="M520" s="2"/>
      <c r="N520" s="2"/>
      <c r="O520" s="2"/>
      <c r="P520" s="2"/>
      <c r="Q520" s="2"/>
      <c r="R520" s="2"/>
      <c r="S520" s="2"/>
      <c r="T520" s="2"/>
      <c r="U520" s="3"/>
      <c r="V520" s="2"/>
      <c r="W520" s="2"/>
      <c r="X520" s="2"/>
      <c r="Y520" s="2"/>
      <c r="Z520" s="2"/>
      <c r="AA520" s="2"/>
      <c r="AB520" s="2"/>
      <c r="AC520" s="2"/>
    </row>
    <row r="521" spans="1:29" ht="20.100000000000001" customHeight="1">
      <c r="A521" s="2" t="s">
        <v>2075</v>
      </c>
      <c r="B521" s="2" t="s">
        <v>2076</v>
      </c>
      <c r="C521" s="2" t="str">
        <f>sheet1[[#This Row],[Nombre]]&amp;sheet1[[#This Row],[Bp Id]]</f>
        <v>SAS Customer AnalyticsDAT0009</v>
      </c>
      <c r="D521" s="2" t="str">
        <f>VLOOKUP(sheet1[[#This Row],[Columna1]],sheet13[[Columna1]:[Estado]],4,FALSE)</f>
        <v>Retirado</v>
      </c>
      <c r="E521" s="2"/>
      <c r="F521" s="2" t="s">
        <v>47</v>
      </c>
      <c r="G521" s="2" t="s">
        <v>58</v>
      </c>
      <c r="H521" s="2" t="s">
        <v>34</v>
      </c>
      <c r="I521" s="2" t="s">
        <v>328</v>
      </c>
      <c r="J521" s="2" t="s">
        <v>329</v>
      </c>
      <c r="K521" s="2"/>
      <c r="L521" s="2" t="s">
        <v>647</v>
      </c>
      <c r="M521" s="2"/>
      <c r="N521" s="2"/>
      <c r="O521" s="2"/>
      <c r="P521" s="2"/>
      <c r="Q521" s="2"/>
      <c r="R521" s="2"/>
      <c r="S521" s="2"/>
      <c r="T521" s="2"/>
      <c r="U521" s="3"/>
      <c r="V521" s="2"/>
      <c r="W521" s="2"/>
      <c r="X521" s="2"/>
      <c r="Y521" s="2"/>
      <c r="Z521" s="2"/>
      <c r="AA521" s="2"/>
      <c r="AB521" s="2"/>
      <c r="AC521" s="2"/>
    </row>
    <row r="522" spans="1:29" ht="20.100000000000001" customHeight="1">
      <c r="A522" s="2" t="s">
        <v>2077</v>
      </c>
      <c r="B522" s="2" t="s">
        <v>2078</v>
      </c>
      <c r="C522" s="2" t="str">
        <f>sheet1[[#This Row],[Nombre]]&amp;sheet1[[#This Row],[Bp Id]]</f>
        <v>SHORISUP0070</v>
      </c>
      <c r="D522" s="2" t="str">
        <f>VLOOKUP(sheet1[[#This Row],[Columna1]],sheet13[[Columna1]:[Estado]],4,FALSE)</f>
        <v>Operativo</v>
      </c>
      <c r="E522" s="2"/>
      <c r="F522" s="2" t="s">
        <v>32</v>
      </c>
      <c r="G522" s="2" t="s">
        <v>48</v>
      </c>
      <c r="H522" s="2" t="s">
        <v>59</v>
      </c>
      <c r="I522" s="2" t="s">
        <v>225</v>
      </c>
      <c r="J522" s="2" t="s">
        <v>226</v>
      </c>
      <c r="K522" s="2" t="s">
        <v>1779</v>
      </c>
      <c r="L522" s="2" t="s">
        <v>228</v>
      </c>
      <c r="M522" s="2"/>
      <c r="N522" s="2"/>
      <c r="O522" s="2"/>
      <c r="P522" s="2"/>
      <c r="Q522" s="2"/>
      <c r="R522" s="2"/>
      <c r="S522" s="2"/>
      <c r="T522" s="2"/>
      <c r="U522" s="3"/>
      <c r="V522" s="2"/>
      <c r="W522" s="2"/>
      <c r="X522" s="2"/>
      <c r="Y522" s="2"/>
      <c r="Z522" s="2"/>
      <c r="AA522" s="2"/>
      <c r="AB522" s="2"/>
      <c r="AC522" s="2"/>
    </row>
    <row r="523" spans="1:29" ht="20.100000000000001" customHeight="1">
      <c r="A523" s="2" t="s">
        <v>2079</v>
      </c>
      <c r="B523" s="2" t="s">
        <v>2080</v>
      </c>
      <c r="C523" s="2" t="str">
        <f>sheet1[[#This Row],[Nombre]]&amp;sheet1[[#This Row],[Bp Id]]</f>
        <v>Componentes CloudITM0097</v>
      </c>
      <c r="D523" s="2" t="str">
        <f>VLOOKUP(sheet1[[#This Row],[Columna1]],sheet13[[Columna1]:[Estado]],4,FALSE)</f>
        <v>Operativo</v>
      </c>
      <c r="E523" s="2"/>
      <c r="F523" s="2" t="s">
        <v>32</v>
      </c>
      <c r="G523" s="2" t="s">
        <v>48</v>
      </c>
      <c r="H523" s="2" t="s">
        <v>59</v>
      </c>
      <c r="I523" s="2" t="s">
        <v>68</v>
      </c>
      <c r="J523" s="2" t="s">
        <v>69</v>
      </c>
      <c r="K523" s="2" t="s">
        <v>521</v>
      </c>
      <c r="L523" s="2" t="s">
        <v>522</v>
      </c>
      <c r="M523" s="2"/>
      <c r="N523" s="2"/>
      <c r="O523" s="2"/>
      <c r="P523" s="2"/>
      <c r="Q523" s="2"/>
      <c r="R523" s="2"/>
      <c r="S523" s="2"/>
      <c r="T523" s="2"/>
      <c r="U523" s="3"/>
      <c r="V523" s="2"/>
      <c r="W523" s="2"/>
      <c r="X523" s="2"/>
      <c r="Y523" s="2"/>
      <c r="Z523" s="2"/>
      <c r="AA523" s="2"/>
      <c r="AB523" s="2"/>
      <c r="AC523" s="2"/>
    </row>
    <row r="524" spans="1:29" ht="20.100000000000001" customHeight="1">
      <c r="A524" s="2" t="s">
        <v>2081</v>
      </c>
      <c r="B524" s="2" t="s">
        <v>2082</v>
      </c>
      <c r="C524" s="2" t="str">
        <f>sheet1[[#This Row],[Nombre]]&amp;sheet1[[#This Row],[Bp Id]]</f>
        <v>Sistema de Evaluación CrediticiaPRD0057</v>
      </c>
      <c r="D524" s="2" t="str">
        <f>VLOOKUP(sheet1[[#This Row],[Columna1]],sheet13[[Columna1]:[Estado]],4,FALSE)</f>
        <v>No operativo</v>
      </c>
      <c r="E524" s="2"/>
      <c r="F524" s="2" t="s">
        <v>1788</v>
      </c>
      <c r="G524" s="2" t="s">
        <v>48</v>
      </c>
      <c r="H524" s="2" t="s">
        <v>34</v>
      </c>
      <c r="I524" s="2" t="s">
        <v>309</v>
      </c>
      <c r="J524" s="2" t="s">
        <v>310</v>
      </c>
      <c r="K524" s="2"/>
      <c r="L524" s="2"/>
      <c r="M524" s="2"/>
      <c r="N524" s="2"/>
      <c r="O524" s="2"/>
      <c r="P524" s="2"/>
      <c r="Q524" s="2"/>
      <c r="R524" s="2"/>
      <c r="S524" s="2"/>
      <c r="T524" s="2"/>
      <c r="U524" s="3"/>
      <c r="V524" s="2"/>
      <c r="W524" s="2"/>
      <c r="X524" s="2"/>
      <c r="Y524" s="2"/>
      <c r="Z524" s="2"/>
      <c r="AA524" s="2"/>
      <c r="AB524" s="2"/>
      <c r="AC524" s="2"/>
    </row>
    <row r="525" spans="1:29" ht="20.100000000000001" customHeight="1">
      <c r="A525" s="2" t="s">
        <v>2083</v>
      </c>
      <c r="B525" s="2" t="s">
        <v>2084</v>
      </c>
      <c r="C525" s="2" t="str">
        <f>sheet1[[#This Row],[Nombre]]&amp;sheet1[[#This Row],[Bp Id]]</f>
        <v>Guia de visitasPRD0019</v>
      </c>
      <c r="D525" s="2" t="str">
        <f>VLOOKUP(sheet1[[#This Row],[Columna1]],sheet13[[Columna1]:[Estado]],4,FALSE)</f>
        <v>Retirado</v>
      </c>
      <c r="E525" s="2"/>
      <c r="F525" s="2" t="s">
        <v>47</v>
      </c>
      <c r="G525" s="2" t="s">
        <v>48</v>
      </c>
      <c r="H525" s="2" t="s">
        <v>59</v>
      </c>
      <c r="I525" s="2" t="s">
        <v>553</v>
      </c>
      <c r="J525" s="2" t="s">
        <v>554</v>
      </c>
      <c r="K525" s="2"/>
      <c r="L525" s="2" t="s">
        <v>88</v>
      </c>
      <c r="M525" s="2"/>
      <c r="N525" s="2"/>
      <c r="O525" s="2"/>
      <c r="P525" s="2"/>
      <c r="Q525" s="2"/>
      <c r="R525" s="2"/>
      <c r="S525" s="2"/>
      <c r="T525" s="2"/>
      <c r="U525" s="3"/>
      <c r="V525" s="2"/>
      <c r="W525" s="2"/>
      <c r="X525" s="2"/>
      <c r="Y525" s="2"/>
      <c r="Z525" s="2"/>
      <c r="AA525" s="2"/>
      <c r="AB525" s="2"/>
      <c r="AC525" s="2"/>
    </row>
    <row r="526" spans="1:29" ht="20.100000000000001" customHeight="1">
      <c r="A526" s="2" t="s">
        <v>2085</v>
      </c>
      <c r="B526" s="2" t="s">
        <v>2086</v>
      </c>
      <c r="C526" s="2" t="str">
        <f>sheet1[[#This Row],[Nombre]]&amp;sheet1[[#This Row],[Bp Id]]</f>
        <v>Archivo DigitalTIE0001</v>
      </c>
      <c r="D526" s="2" t="str">
        <f>VLOOKUP(sheet1[[#This Row],[Columna1]],sheet13[[Columna1]:[Estado]],4,FALSE)</f>
        <v>Retirado</v>
      </c>
      <c r="E526" s="2"/>
      <c r="F526" s="2" t="s">
        <v>47</v>
      </c>
      <c r="G526" s="2" t="s">
        <v>48</v>
      </c>
      <c r="H526" s="2" t="s">
        <v>34</v>
      </c>
      <c r="I526" s="2" t="s">
        <v>487</v>
      </c>
      <c r="J526" s="2" t="s">
        <v>488</v>
      </c>
      <c r="K526" s="2"/>
      <c r="L526" s="2" t="s">
        <v>110</v>
      </c>
      <c r="M526" s="2"/>
      <c r="N526" s="2"/>
      <c r="O526" s="2"/>
      <c r="P526" s="2"/>
      <c r="Q526" s="2"/>
      <c r="R526" s="2"/>
      <c r="S526" s="2"/>
      <c r="T526" s="2"/>
      <c r="U526" s="3"/>
      <c r="V526" s="2"/>
      <c r="W526" s="2"/>
      <c r="X526" s="2"/>
      <c r="Y526" s="2"/>
      <c r="Z526" s="2"/>
      <c r="AA526" s="2"/>
      <c r="AB526" s="2"/>
      <c r="AC526" s="2"/>
    </row>
    <row r="527" spans="1:29" ht="20.100000000000001" customHeight="1">
      <c r="A527" s="2" t="s">
        <v>2087</v>
      </c>
      <c r="B527" s="2" t="s">
        <v>2088</v>
      </c>
      <c r="C527" s="2" t="str">
        <f>sheet1[[#This Row],[Nombre]]&amp;sheet1[[#This Row],[Bp Id]]</f>
        <v>Nutanix File AnalyticsITM0085</v>
      </c>
      <c r="D527" s="2" t="str">
        <f>VLOOKUP(sheet1[[#This Row],[Columna1]],sheet13[[Columna1]:[Estado]],4,FALSE)</f>
        <v>Operativo</v>
      </c>
      <c r="E527" s="2"/>
      <c r="F527" s="2" t="s">
        <v>32</v>
      </c>
      <c r="G527" s="2" t="s">
        <v>48</v>
      </c>
      <c r="H527" s="2" t="s">
        <v>34</v>
      </c>
      <c r="I527" s="2" t="s">
        <v>68</v>
      </c>
      <c r="J527" s="2" t="s">
        <v>69</v>
      </c>
      <c r="K527" s="2" t="s">
        <v>82</v>
      </c>
      <c r="L527" s="2" t="s">
        <v>1147</v>
      </c>
      <c r="M527" s="2"/>
      <c r="N527" s="2"/>
      <c r="O527" s="2"/>
      <c r="P527" s="2"/>
      <c r="Q527" s="2"/>
      <c r="R527" s="2"/>
      <c r="S527" s="2"/>
      <c r="T527" s="2"/>
      <c r="U527" s="3"/>
      <c r="V527" s="2"/>
      <c r="W527" s="2"/>
      <c r="X527" s="2"/>
      <c r="Y527" s="2"/>
      <c r="Z527" s="2"/>
      <c r="AA527" s="2"/>
      <c r="AB527" s="2"/>
      <c r="AC527" s="2"/>
    </row>
    <row r="528" spans="1:29" ht="20.100000000000001" customHeight="1">
      <c r="A528" s="2" t="s">
        <v>2089</v>
      </c>
      <c r="B528" s="2" t="s">
        <v>2090</v>
      </c>
      <c r="C528" s="2" t="str">
        <f>sheet1[[#This Row],[Nombre]]&amp;sheet1[[#This Row],[Bp Id]]</f>
        <v>Nuevo Crédito DistribuidorPRD0025</v>
      </c>
      <c r="D528" s="2" t="str">
        <f>VLOOKUP(sheet1[[#This Row],[Columna1]],sheet13[[Columna1]:[Estado]],4,FALSE)</f>
        <v>Retirado</v>
      </c>
      <c r="E528" s="2"/>
      <c r="F528" s="2" t="s">
        <v>47</v>
      </c>
      <c r="G528" s="2" t="s">
        <v>48</v>
      </c>
      <c r="H528" s="2" t="s">
        <v>59</v>
      </c>
      <c r="I528" s="2" t="s">
        <v>553</v>
      </c>
      <c r="J528" s="2" t="s">
        <v>554</v>
      </c>
      <c r="K528" s="2" t="s">
        <v>2091</v>
      </c>
      <c r="L528" s="2"/>
      <c r="M528" s="2"/>
      <c r="N528" s="2"/>
      <c r="O528" s="2"/>
      <c r="P528" s="2"/>
      <c r="Q528" s="2"/>
      <c r="R528" s="2"/>
      <c r="S528" s="2"/>
      <c r="T528" s="2"/>
      <c r="U528" s="3"/>
      <c r="V528" s="2"/>
      <c r="W528" s="2"/>
      <c r="X528" s="2"/>
      <c r="Y528" s="2"/>
      <c r="Z528" s="2"/>
      <c r="AA528" s="2"/>
      <c r="AB528" s="2"/>
      <c r="AC528" s="2"/>
    </row>
    <row r="529" spans="1:29" ht="20.100000000000001" customHeight="1">
      <c r="A529" s="2" t="s">
        <v>2092</v>
      </c>
      <c r="B529" s="2" t="s">
        <v>2093</v>
      </c>
      <c r="C529" s="2" t="str">
        <f>sheet1[[#This Row],[Nombre]]&amp;sheet1[[#This Row],[Bp Id]]</f>
        <v>UanatacaITM0121</v>
      </c>
      <c r="D529" s="2" t="str">
        <f>VLOOKUP(sheet1[[#This Row],[Columna1]],sheet13[[Columna1]:[Estado]],4,FALSE)</f>
        <v>Operativo</v>
      </c>
      <c r="E529" s="2"/>
      <c r="F529" s="2" t="s">
        <v>32</v>
      </c>
      <c r="G529" s="2" t="s">
        <v>48</v>
      </c>
      <c r="H529" s="2" t="s">
        <v>59</v>
      </c>
      <c r="I529" s="2" t="s">
        <v>487</v>
      </c>
      <c r="J529" s="2" t="s">
        <v>666</v>
      </c>
      <c r="K529" s="2" t="s">
        <v>489</v>
      </c>
      <c r="L529" s="2" t="s">
        <v>490</v>
      </c>
      <c r="M529" s="2"/>
      <c r="N529" s="2"/>
      <c r="O529" s="2"/>
      <c r="P529" s="2"/>
      <c r="Q529" s="2"/>
      <c r="R529" s="2"/>
      <c r="S529" s="2"/>
      <c r="T529" s="2"/>
      <c r="U529" s="3"/>
      <c r="V529" s="2"/>
      <c r="W529" s="2"/>
      <c r="X529" s="2"/>
      <c r="Y529" s="2"/>
      <c r="Z529" s="2"/>
      <c r="AA529" s="2"/>
      <c r="AB529" s="2"/>
      <c r="AC529" s="2"/>
    </row>
    <row r="530" spans="1:29" ht="20.100000000000001" customHeight="1">
      <c r="A530" s="2" t="s">
        <v>2094</v>
      </c>
      <c r="B530" s="2" t="s">
        <v>2095</v>
      </c>
      <c r="C530" s="2" t="str">
        <f>sheet1[[#This Row],[Nombre]]&amp;sheet1[[#This Row],[Bp Id]]</f>
        <v>Azure Container RegistryITM0137</v>
      </c>
      <c r="D530" s="2" t="str">
        <f>VLOOKUP(sheet1[[#This Row],[Columna1]],sheet13[[Columna1]:[Estado]],4,FALSE)</f>
        <v>Operativo</v>
      </c>
      <c r="E530" s="2"/>
      <c r="F530" s="2" t="s">
        <v>32</v>
      </c>
      <c r="G530" s="2" t="s">
        <v>48</v>
      </c>
      <c r="H530" s="2" t="s">
        <v>59</v>
      </c>
      <c r="I530" s="2" t="s">
        <v>198</v>
      </c>
      <c r="J530" s="2" t="s">
        <v>199</v>
      </c>
      <c r="K530" s="2" t="s">
        <v>521</v>
      </c>
      <c r="L530" s="2" t="s">
        <v>242</v>
      </c>
      <c r="M530" s="2"/>
      <c r="N530" s="2"/>
      <c r="O530" s="2"/>
      <c r="P530" s="2"/>
      <c r="Q530" s="2"/>
      <c r="R530" s="2"/>
      <c r="S530" s="2"/>
      <c r="T530" s="2"/>
      <c r="U530" s="3"/>
      <c r="V530" s="2"/>
      <c r="W530" s="2"/>
      <c r="X530" s="2"/>
      <c r="Y530" s="2"/>
      <c r="Z530" s="2"/>
      <c r="AA530" s="2"/>
      <c r="AB530" s="2"/>
      <c r="AC530" s="2"/>
    </row>
    <row r="531" spans="1:29" ht="20.100000000000001" customHeight="1">
      <c r="A531" s="2" t="s">
        <v>2096</v>
      </c>
      <c r="B531" s="2" t="s">
        <v>2097</v>
      </c>
      <c r="C531" s="2" t="str">
        <f>sheet1[[#This Row],[Nombre]]&amp;sheet1[[#This Row],[Bp Id]]</f>
        <v>Tabla de Amortización DiferidosPRD0050</v>
      </c>
      <c r="D531" s="2" t="str">
        <f>VLOOKUP(sheet1[[#This Row],[Columna1]],sheet13[[Columna1]:[Estado]],4,FALSE)</f>
        <v>Retirado</v>
      </c>
      <c r="E531" s="2"/>
      <c r="F531" s="2" t="s">
        <v>47</v>
      </c>
      <c r="G531" s="2" t="s">
        <v>48</v>
      </c>
      <c r="H531" s="2" t="s">
        <v>34</v>
      </c>
      <c r="I531" s="2" t="s">
        <v>1086</v>
      </c>
      <c r="J531" s="2" t="s">
        <v>96</v>
      </c>
      <c r="K531" s="2"/>
      <c r="L531" s="2" t="s">
        <v>98</v>
      </c>
      <c r="M531" s="2"/>
      <c r="N531" s="2"/>
      <c r="O531" s="2"/>
      <c r="P531" s="2"/>
      <c r="Q531" s="2"/>
      <c r="R531" s="2"/>
      <c r="S531" s="2"/>
      <c r="T531" s="2"/>
      <c r="U531" s="3"/>
      <c r="V531" s="2"/>
      <c r="W531" s="2"/>
      <c r="X531" s="2"/>
      <c r="Y531" s="2"/>
      <c r="Z531" s="2"/>
      <c r="AA531" s="2"/>
      <c r="AB531" s="2"/>
      <c r="AC531" s="2"/>
    </row>
    <row r="532" spans="1:29" ht="20.100000000000001" customHeight="1">
      <c r="A532" s="2" t="s">
        <v>621</v>
      </c>
      <c r="B532" s="2" t="s">
        <v>2098</v>
      </c>
      <c r="C532" s="2" t="str">
        <f>sheet1[[#This Row],[Nombre]]&amp;sheet1[[#This Row],[Bp Id]]</f>
        <v>Switch TransaccionalINT0018</v>
      </c>
      <c r="D532" s="2" t="str">
        <f>VLOOKUP(sheet1[[#This Row],[Columna1]],sheet13[[Columna1]:[Estado]],4,FALSE)</f>
        <v>Operativo</v>
      </c>
      <c r="E532" s="2"/>
      <c r="F532" s="2" t="s">
        <v>32</v>
      </c>
      <c r="G532" s="2" t="s">
        <v>123</v>
      </c>
      <c r="H532" s="2" t="s">
        <v>59</v>
      </c>
      <c r="I532" s="2" t="s">
        <v>49</v>
      </c>
      <c r="J532" s="2" t="s">
        <v>50</v>
      </c>
      <c r="K532" s="2" t="s">
        <v>2099</v>
      </c>
      <c r="L532" s="2" t="s">
        <v>2099</v>
      </c>
      <c r="M532" s="2"/>
      <c r="N532" s="2"/>
      <c r="O532" s="2"/>
      <c r="P532" s="2"/>
      <c r="Q532" s="2"/>
      <c r="R532" s="2"/>
      <c r="S532" s="2"/>
      <c r="T532" s="2"/>
      <c r="U532" s="3"/>
      <c r="V532" s="2"/>
      <c r="W532" s="2"/>
      <c r="X532" s="2"/>
      <c r="Y532" s="2"/>
      <c r="Z532" s="2"/>
      <c r="AA532" s="2"/>
      <c r="AB532" s="2"/>
      <c r="AC532" s="2"/>
    </row>
    <row r="533" spans="1:29" ht="20.100000000000001" customHeight="1">
      <c r="A533" s="2" t="s">
        <v>2100</v>
      </c>
      <c r="B533" s="2" t="s">
        <v>2101</v>
      </c>
      <c r="C533" s="2" t="str">
        <f>sheet1[[#This Row],[Nombre]]&amp;sheet1[[#This Row],[Bp Id]]</f>
        <v>Sistema de Cuadres y Conciliaciones (SCC)SUP0037</v>
      </c>
      <c r="D533" s="2" t="str">
        <f>VLOOKUP(sheet1[[#This Row],[Columna1]],sheet13[[Columna1]:[Estado]],4,FALSE)</f>
        <v>Operativo</v>
      </c>
      <c r="E533" s="2"/>
      <c r="F533" s="2" t="s">
        <v>32</v>
      </c>
      <c r="G533" s="2" t="s">
        <v>76</v>
      </c>
      <c r="H533" s="2" t="s">
        <v>34</v>
      </c>
      <c r="I533" s="2" t="s">
        <v>225</v>
      </c>
      <c r="J533" s="2" t="s">
        <v>226</v>
      </c>
      <c r="K533" s="2" t="s">
        <v>2102</v>
      </c>
      <c r="L533" s="2" t="s">
        <v>2017</v>
      </c>
      <c r="M533" s="2"/>
      <c r="N533" s="2"/>
      <c r="O533" s="2"/>
      <c r="P533" s="2"/>
      <c r="Q533" s="2"/>
      <c r="R533" s="2"/>
      <c r="S533" s="2"/>
      <c r="T533" s="2"/>
      <c r="U533" s="3"/>
      <c r="V533" s="2"/>
      <c r="W533" s="2"/>
      <c r="X533" s="2"/>
      <c r="Y533" s="2"/>
      <c r="Z533" s="2"/>
      <c r="AA533" s="2"/>
      <c r="AB533" s="2"/>
      <c r="AC533" s="2"/>
    </row>
    <row r="534" spans="1:29" ht="20.100000000000001" customHeight="1">
      <c r="A534" s="2" t="s">
        <v>2103</v>
      </c>
      <c r="B534" s="2" t="s">
        <v>2104</v>
      </c>
      <c r="C534" s="2" t="str">
        <f>sheet1[[#This Row],[Nombre]]&amp;sheet1[[#This Row],[Bp Id]]</f>
        <v>TDMDAT0016</v>
      </c>
      <c r="D534" s="2" t="str">
        <f>VLOOKUP(sheet1[[#This Row],[Columna1]],sheet13[[Columna1]:[Estado]],4,FALSE)</f>
        <v>Retirado</v>
      </c>
      <c r="E534" s="2"/>
      <c r="F534" s="2" t="s">
        <v>47</v>
      </c>
      <c r="G534" s="2" t="s">
        <v>48</v>
      </c>
      <c r="H534" s="2" t="s">
        <v>59</v>
      </c>
      <c r="I534" s="2" t="s">
        <v>328</v>
      </c>
      <c r="J534" s="2" t="s">
        <v>329</v>
      </c>
      <c r="K534" s="2" t="s">
        <v>2068</v>
      </c>
      <c r="L534" s="2" t="s">
        <v>90</v>
      </c>
      <c r="M534" s="2"/>
      <c r="N534" s="2"/>
      <c r="O534" s="2"/>
      <c r="P534" s="2"/>
      <c r="Q534" s="2"/>
      <c r="R534" s="2"/>
      <c r="S534" s="2"/>
      <c r="T534" s="2"/>
      <c r="U534" s="3"/>
      <c r="V534" s="2"/>
      <c r="W534" s="2"/>
      <c r="X534" s="2"/>
      <c r="Y534" s="2"/>
      <c r="Z534" s="2"/>
      <c r="AA534" s="2"/>
      <c r="AB534" s="2"/>
      <c r="AC534" s="2"/>
    </row>
    <row r="535" spans="1:29" ht="20.100000000000001" customHeight="1">
      <c r="A535" s="2" t="s">
        <v>2105</v>
      </c>
      <c r="B535" s="2" t="s">
        <v>2106</v>
      </c>
      <c r="C535" s="2" t="str">
        <f>sheet1[[#This Row],[Nombre]]&amp;sheet1[[#This Row],[Bp Id]]</f>
        <v>Financiamiento EmpresasPRD0072</v>
      </c>
      <c r="D535" s="2" t="str">
        <f>VLOOKUP(sheet1[[#This Row],[Columna1]],sheet13[[Columna1]:[Estado]],4,FALSE)</f>
        <v>Operativo</v>
      </c>
      <c r="E535" s="2"/>
      <c r="F535" s="2" t="s">
        <v>32</v>
      </c>
      <c r="G535" s="2" t="s">
        <v>48</v>
      </c>
      <c r="H535" s="2" t="s">
        <v>59</v>
      </c>
      <c r="I535" s="2" t="s">
        <v>95</v>
      </c>
      <c r="J535" s="2" t="s">
        <v>96</v>
      </c>
      <c r="K535" s="2" t="s">
        <v>1726</v>
      </c>
      <c r="L535" s="2" t="s">
        <v>98</v>
      </c>
      <c r="M535" s="2"/>
      <c r="N535" s="2"/>
      <c r="O535" s="2"/>
      <c r="P535" s="2"/>
      <c r="Q535" s="2"/>
      <c r="R535" s="2"/>
      <c r="S535" s="2"/>
      <c r="T535" s="2"/>
      <c r="U535" s="3"/>
      <c r="V535" s="2"/>
      <c r="W535" s="2"/>
      <c r="X535" s="2"/>
      <c r="Y535" s="2"/>
      <c r="Z535" s="2"/>
      <c r="AA535" s="2"/>
      <c r="AB535" s="2"/>
      <c r="AC535" s="2"/>
    </row>
    <row r="536" spans="1:29" ht="20.100000000000001" customHeight="1">
      <c r="A536" s="2" t="s">
        <v>2107</v>
      </c>
      <c r="B536" s="2" t="s">
        <v>2108</v>
      </c>
      <c r="C536" s="2" t="str">
        <f>sheet1[[#This Row],[Nombre]]&amp;sheet1[[#This Row],[Bp Id]]</f>
        <v>CUADRE RECAUDACIONSUP0026</v>
      </c>
      <c r="D536" s="2" t="str">
        <f>VLOOKUP(sheet1[[#This Row],[Columna1]],sheet13[[Columna1]:[Estado]],4,FALSE)</f>
        <v>Retirado</v>
      </c>
      <c r="E536" s="2"/>
      <c r="F536" s="2" t="s">
        <v>47</v>
      </c>
      <c r="G536" s="2" t="s">
        <v>48</v>
      </c>
      <c r="H536" s="2" t="s">
        <v>34</v>
      </c>
      <c r="I536" s="2" t="s">
        <v>225</v>
      </c>
      <c r="J536" s="2" t="s">
        <v>226</v>
      </c>
      <c r="K536" s="2"/>
      <c r="L536" s="2" t="s">
        <v>2017</v>
      </c>
      <c r="M536" s="2"/>
      <c r="N536" s="2"/>
      <c r="O536" s="2"/>
      <c r="P536" s="2"/>
      <c r="Q536" s="2"/>
      <c r="R536" s="2"/>
      <c r="S536" s="2"/>
      <c r="T536" s="2"/>
      <c r="U536" s="3"/>
      <c r="V536" s="2"/>
      <c r="W536" s="2"/>
      <c r="X536" s="2"/>
      <c r="Y536" s="2"/>
      <c r="Z536" s="2"/>
      <c r="AA536" s="2"/>
      <c r="AB536" s="2"/>
      <c r="AC536" s="2"/>
    </row>
    <row r="537" spans="1:29" ht="20.100000000000001" customHeight="1">
      <c r="A537" s="2" t="s">
        <v>2109</v>
      </c>
      <c r="B537" s="2" t="s">
        <v>2110</v>
      </c>
      <c r="C537" s="2" t="str">
        <f>sheet1[[#This Row],[Nombre]]&amp;sheet1[[#This Row],[Bp Id]]</f>
        <v>CICCHL0011</v>
      </c>
      <c r="D537" s="2" t="str">
        <f>VLOOKUP(sheet1[[#This Row],[Columna1]],sheet13[[Columna1]:[Estado]],4,FALSE)</f>
        <v>Retirado</v>
      </c>
      <c r="E537" s="2"/>
      <c r="F537" s="2" t="s">
        <v>47</v>
      </c>
      <c r="G537" s="2" t="s">
        <v>123</v>
      </c>
      <c r="H537" s="2" t="s">
        <v>34</v>
      </c>
      <c r="I537" s="2" t="s">
        <v>35</v>
      </c>
      <c r="J537" s="2" t="s">
        <v>349</v>
      </c>
      <c r="K537" s="2" t="s">
        <v>2111</v>
      </c>
      <c r="L537" s="2" t="s">
        <v>517</v>
      </c>
      <c r="M537" s="2"/>
      <c r="N537" s="2"/>
      <c r="O537" s="2"/>
      <c r="P537" s="2"/>
      <c r="Q537" s="2"/>
      <c r="R537" s="2"/>
      <c r="S537" s="2"/>
      <c r="T537" s="2"/>
      <c r="U537" s="3"/>
      <c r="V537" s="2"/>
      <c r="W537" s="2"/>
      <c r="X537" s="2"/>
      <c r="Y537" s="2"/>
      <c r="Z537" s="2"/>
      <c r="AA537" s="2"/>
      <c r="AB537" s="2"/>
      <c r="AC537" s="2"/>
    </row>
    <row r="538" spans="1:29" ht="20.100000000000001" customHeight="1">
      <c r="A538" s="2" t="s">
        <v>2112</v>
      </c>
      <c r="B538" s="2" t="s">
        <v>2113</v>
      </c>
      <c r="C538" s="2" t="str">
        <f>sheet1[[#This Row],[Nombre]]&amp;sheet1[[#This Row],[Bp Id]]</f>
        <v>Hub SegurosPRD0067</v>
      </c>
      <c r="D538" s="2" t="str">
        <f>VLOOKUP(sheet1[[#This Row],[Columna1]],sheet13[[Columna1]:[Estado]],4,FALSE)</f>
        <v>Operativo</v>
      </c>
      <c r="E538" s="2"/>
      <c r="F538" s="2" t="s">
        <v>32</v>
      </c>
      <c r="G538" s="2" t="s">
        <v>48</v>
      </c>
      <c r="H538" s="2" t="s">
        <v>59</v>
      </c>
      <c r="I538" s="2" t="s">
        <v>167</v>
      </c>
      <c r="J538" s="2" t="s">
        <v>96</v>
      </c>
      <c r="K538" s="2" t="s">
        <v>2114</v>
      </c>
      <c r="L538" s="2" t="s">
        <v>508</v>
      </c>
      <c r="M538" s="2"/>
      <c r="N538" s="2"/>
      <c r="O538" s="2"/>
      <c r="P538" s="2"/>
      <c r="Q538" s="2"/>
      <c r="R538" s="2"/>
      <c r="S538" s="2"/>
      <c r="T538" s="2"/>
      <c r="U538" s="3"/>
      <c r="V538" s="2"/>
      <c r="W538" s="2"/>
      <c r="X538" s="2"/>
      <c r="Y538" s="2"/>
      <c r="Z538" s="2"/>
      <c r="AA538" s="2"/>
      <c r="AB538" s="2"/>
      <c r="AC538" s="2"/>
    </row>
    <row r="539" spans="1:29" ht="20.100000000000001" customHeight="1">
      <c r="A539" s="2" t="s">
        <v>2115</v>
      </c>
      <c r="B539" s="2" t="s">
        <v>2116</v>
      </c>
      <c r="C539" s="2" t="str">
        <f>sheet1[[#This Row],[Nombre]]&amp;sheet1[[#This Row],[Bp Id]]</f>
        <v>IrusRiskITM0147</v>
      </c>
      <c r="D539" s="2" t="str">
        <f>VLOOKUP(sheet1[[#This Row],[Columna1]],sheet13[[Columna1]:[Estado]],4,FALSE)</f>
        <v>Operativo</v>
      </c>
      <c r="E539" s="2"/>
      <c r="F539" s="2" t="s">
        <v>32</v>
      </c>
      <c r="G539" s="2" t="s">
        <v>48</v>
      </c>
      <c r="H539" s="2" t="s">
        <v>59</v>
      </c>
      <c r="I539" s="2" t="s">
        <v>107</v>
      </c>
      <c r="J539" s="2" t="s">
        <v>1974</v>
      </c>
      <c r="K539" s="2" t="s">
        <v>2117</v>
      </c>
      <c r="L539" s="2" t="s">
        <v>1435</v>
      </c>
      <c r="M539" s="2"/>
      <c r="N539" s="2"/>
      <c r="O539" s="2"/>
      <c r="P539" s="2"/>
      <c r="Q539" s="2"/>
      <c r="R539" s="2"/>
      <c r="S539" s="2"/>
      <c r="T539" s="2"/>
      <c r="U539" s="3"/>
      <c r="V539" s="2"/>
      <c r="W539" s="2"/>
      <c r="X539" s="2"/>
      <c r="Y539" s="2"/>
      <c r="Z539" s="2"/>
      <c r="AA539" s="2"/>
      <c r="AB539" s="2"/>
      <c r="AC539" s="2"/>
    </row>
    <row r="540" spans="1:29" ht="20.100000000000001" customHeight="1">
      <c r="A540" s="2" t="s">
        <v>2118</v>
      </c>
      <c r="B540" s="2" t="s">
        <v>2119</v>
      </c>
      <c r="C540" s="2" t="str">
        <f>sheet1[[#This Row],[Nombre]]&amp;sheet1[[#This Row],[Bp Id]]</f>
        <v>WARiesgosRIS0014</v>
      </c>
      <c r="D540" s="2" t="str">
        <f>VLOOKUP(sheet1[[#This Row],[Columna1]],sheet13[[Columna1]:[Estado]],4,FALSE)</f>
        <v>Retirado</v>
      </c>
      <c r="E540" s="2"/>
      <c r="F540" s="2" t="s">
        <v>47</v>
      </c>
      <c r="G540" s="2" t="s">
        <v>48</v>
      </c>
      <c r="H540" s="2" t="s">
        <v>34</v>
      </c>
      <c r="I540" s="2" t="s">
        <v>320</v>
      </c>
      <c r="J540" s="2" t="s">
        <v>321</v>
      </c>
      <c r="K540" s="2" t="s">
        <v>322</v>
      </c>
      <c r="L540" s="2" t="s">
        <v>595</v>
      </c>
      <c r="M540" s="2"/>
      <c r="N540" s="2"/>
      <c r="O540" s="2"/>
      <c r="P540" s="2"/>
      <c r="Q540" s="2"/>
      <c r="R540" s="2"/>
      <c r="S540" s="2"/>
      <c r="T540" s="2"/>
      <c r="U540" s="3"/>
      <c r="V540" s="2"/>
      <c r="W540" s="2"/>
      <c r="X540" s="2"/>
      <c r="Y540" s="2"/>
      <c r="Z540" s="2"/>
      <c r="AA540" s="2"/>
      <c r="AB540" s="2"/>
      <c r="AC540" s="2"/>
    </row>
    <row r="541" spans="1:29" ht="20.100000000000001" customHeight="1">
      <c r="A541" s="2" t="s">
        <v>2120</v>
      </c>
      <c r="B541" s="2" t="s">
        <v>2121</v>
      </c>
      <c r="C541" s="2" t="str">
        <f>sheet1[[#This Row],[Nombre]]&amp;sheet1[[#This Row],[Bp Id]]</f>
        <v>Educación FinancieraCUS0022</v>
      </c>
      <c r="D541" s="2" t="str">
        <f>VLOOKUP(sheet1[[#This Row],[Columna1]],sheet13[[Columna1]:[Estado]],4,FALSE)</f>
        <v>Operativo</v>
      </c>
      <c r="E541" s="2"/>
      <c r="F541" s="2" t="s">
        <v>32</v>
      </c>
      <c r="G541" s="2" t="s">
        <v>48</v>
      </c>
      <c r="H541" s="2" t="s">
        <v>59</v>
      </c>
      <c r="I541" s="2" t="s">
        <v>87</v>
      </c>
      <c r="J541" s="2" t="s">
        <v>88</v>
      </c>
      <c r="K541" s="2" t="s">
        <v>2122</v>
      </c>
      <c r="L541" s="2" t="s">
        <v>88</v>
      </c>
      <c r="M541" s="2"/>
      <c r="N541" s="2"/>
      <c r="O541" s="2"/>
      <c r="P541" s="2"/>
      <c r="Q541" s="2"/>
      <c r="R541" s="2"/>
      <c r="S541" s="2"/>
      <c r="T541" s="2"/>
      <c r="U541" s="3"/>
      <c r="V541" s="2"/>
      <c r="W541" s="2"/>
      <c r="X541" s="2"/>
      <c r="Y541" s="2"/>
      <c r="Z541" s="2"/>
      <c r="AA541" s="2"/>
      <c r="AB541" s="2"/>
      <c r="AC541" s="2"/>
    </row>
    <row r="542" spans="1:29" ht="20.100000000000001" customHeight="1">
      <c r="A542" s="2" t="s">
        <v>2123</v>
      </c>
      <c r="B542" s="2" t="s">
        <v>2124</v>
      </c>
      <c r="C542" s="2" t="str">
        <f>sheet1[[#This Row],[Nombre]]&amp;sheet1[[#This Row],[Bp Id]]</f>
        <v>CloudGuard WAFSEC0084</v>
      </c>
      <c r="D542" s="2" t="str">
        <f>VLOOKUP(sheet1[[#This Row],[Columna1]],sheet13[[Columna1]:[Estado]],4,FALSE)</f>
        <v>Retirado</v>
      </c>
      <c r="E542" s="2"/>
      <c r="F542" s="2" t="s">
        <v>47</v>
      </c>
      <c r="G542" s="2" t="s">
        <v>48</v>
      </c>
      <c r="H542" s="2" t="s">
        <v>59</v>
      </c>
      <c r="I542" s="2" t="s">
        <v>107</v>
      </c>
      <c r="J542" s="2" t="s">
        <v>176</v>
      </c>
      <c r="K542" s="2" t="s">
        <v>219</v>
      </c>
      <c r="L542" s="2" t="s">
        <v>219</v>
      </c>
      <c r="M542" s="2"/>
      <c r="N542" s="2"/>
      <c r="O542" s="2"/>
      <c r="P542" s="2"/>
      <c r="Q542" s="2"/>
      <c r="R542" s="2"/>
      <c r="S542" s="2"/>
      <c r="T542" s="2"/>
      <c r="U542" s="3"/>
      <c r="V542" s="2"/>
      <c r="W542" s="2"/>
      <c r="X542" s="2"/>
      <c r="Y542" s="2"/>
      <c r="Z542" s="2"/>
      <c r="AA542" s="2"/>
      <c r="AB542" s="2"/>
      <c r="AC542" s="2"/>
    </row>
    <row r="543" spans="1:29" ht="20.100000000000001" customHeight="1">
      <c r="A543" s="2" t="s">
        <v>2125</v>
      </c>
      <c r="B543" s="2" t="s">
        <v>2126</v>
      </c>
      <c r="C543" s="2" t="str">
        <f>sheet1[[#This Row],[Nombre]]&amp;sheet1[[#This Row],[Bp Id]]</f>
        <v>TurboSwiftPRD0044</v>
      </c>
      <c r="D543" s="2" t="str">
        <f>VLOOKUP(sheet1[[#This Row],[Columna1]],sheet13[[Columna1]:[Estado]],4,FALSE)</f>
        <v>Retirado</v>
      </c>
      <c r="E543" s="2"/>
      <c r="F543" s="2" t="s">
        <v>47</v>
      </c>
      <c r="G543" s="2" t="s">
        <v>48</v>
      </c>
      <c r="H543" s="2" t="s">
        <v>34</v>
      </c>
      <c r="I543" s="2" t="s">
        <v>921</v>
      </c>
      <c r="J543" s="2" t="s">
        <v>240</v>
      </c>
      <c r="K543" s="2"/>
      <c r="L543" s="2" t="s">
        <v>634</v>
      </c>
      <c r="M543" s="2"/>
      <c r="N543" s="2"/>
      <c r="O543" s="2"/>
      <c r="P543" s="2"/>
      <c r="Q543" s="2"/>
      <c r="R543" s="2"/>
      <c r="S543" s="2"/>
      <c r="T543" s="2"/>
      <c r="U543" s="3"/>
      <c r="V543" s="2"/>
      <c r="W543" s="2"/>
      <c r="X543" s="2"/>
      <c r="Y543" s="2"/>
      <c r="Z543" s="2"/>
      <c r="AA543" s="2"/>
      <c r="AB543" s="2"/>
      <c r="AC543" s="2"/>
    </row>
    <row r="544" spans="1:29" ht="20.100000000000001" customHeight="1">
      <c r="A544" s="2" t="s">
        <v>2127</v>
      </c>
      <c r="B544" s="2" t="s">
        <v>2128</v>
      </c>
      <c r="C544" s="2" t="str">
        <f>sheet1[[#This Row],[Nombre]]&amp;sheet1[[#This Row],[Bp Id]]</f>
        <v>Crédito empleadoSUP0005</v>
      </c>
      <c r="D544" s="2" t="str">
        <f>VLOOKUP(sheet1[[#This Row],[Columna1]],sheet13[[Columna1]:[Estado]],4,FALSE)</f>
        <v>Retirado</v>
      </c>
      <c r="E544" s="2"/>
      <c r="F544" s="2" t="s">
        <v>47</v>
      </c>
      <c r="G544" s="2" t="s">
        <v>48</v>
      </c>
      <c r="H544" s="2" t="s">
        <v>34</v>
      </c>
      <c r="I544" s="2" t="s">
        <v>225</v>
      </c>
      <c r="J544" s="2" t="s">
        <v>226</v>
      </c>
      <c r="K544" s="2" t="s">
        <v>300</v>
      </c>
      <c r="L544" s="2" t="s">
        <v>169</v>
      </c>
      <c r="M544" s="2"/>
      <c r="N544" s="2"/>
      <c r="O544" s="2"/>
      <c r="P544" s="2"/>
      <c r="Q544" s="2"/>
      <c r="R544" s="2"/>
      <c r="S544" s="2"/>
      <c r="T544" s="2"/>
      <c r="U544" s="3"/>
      <c r="V544" s="2"/>
      <c r="W544" s="2"/>
      <c r="X544" s="2"/>
      <c r="Y544" s="2"/>
      <c r="Z544" s="2"/>
      <c r="AA544" s="2"/>
      <c r="AB544" s="2"/>
      <c r="AC544" s="2"/>
    </row>
    <row r="545" spans="1:29" ht="20.100000000000001" customHeight="1">
      <c r="A545" s="2" t="s">
        <v>2129</v>
      </c>
      <c r="B545" s="2" t="s">
        <v>2130</v>
      </c>
      <c r="C545" s="2" t="str">
        <f>sheet1[[#This Row],[Nombre]]&amp;sheet1[[#This Row],[Bp Id]]</f>
        <v>IBM DatacapTIE0007</v>
      </c>
      <c r="D545" s="2" t="str">
        <f>VLOOKUP(sheet1[[#This Row],[Columna1]],sheet13[[Columna1]:[Estado]],4,FALSE)</f>
        <v>Retirado</v>
      </c>
      <c r="E545" s="2"/>
      <c r="F545" s="2" t="s">
        <v>47</v>
      </c>
      <c r="G545" s="2" t="s">
        <v>48</v>
      </c>
      <c r="H545" s="2" t="s">
        <v>34</v>
      </c>
      <c r="I545" s="2" t="s">
        <v>487</v>
      </c>
      <c r="J545" s="2" t="s">
        <v>488</v>
      </c>
      <c r="K545" s="2"/>
      <c r="L545" s="2" t="s">
        <v>110</v>
      </c>
      <c r="M545" s="2"/>
      <c r="N545" s="2"/>
      <c r="O545" s="2"/>
      <c r="P545" s="2"/>
      <c r="Q545" s="2"/>
      <c r="R545" s="2"/>
      <c r="S545" s="2"/>
      <c r="T545" s="2"/>
      <c r="U545" s="3"/>
      <c r="V545" s="2"/>
      <c r="W545" s="2"/>
      <c r="X545" s="2"/>
      <c r="Y545" s="2"/>
      <c r="Z545" s="2"/>
      <c r="AA545" s="2"/>
      <c r="AB545" s="2"/>
      <c r="AC545" s="2"/>
    </row>
    <row r="546" spans="1:29" ht="20.100000000000001" customHeight="1">
      <c r="A546" s="2" t="s">
        <v>2131</v>
      </c>
      <c r="B546" s="2" t="s">
        <v>2132</v>
      </c>
      <c r="C546" s="2" t="str">
        <f>sheet1[[#This Row],[Nombre]]&amp;sheet1[[#This Row],[Bp Id]]</f>
        <v>SophosSEC0037</v>
      </c>
      <c r="D546" s="2" t="str">
        <f>VLOOKUP(sheet1[[#This Row],[Columna1]],sheet13[[Columna1]:[Estado]],4,FALSE)</f>
        <v>Retirado</v>
      </c>
      <c r="E546" s="2"/>
      <c r="F546" s="2" t="s">
        <v>47</v>
      </c>
      <c r="G546" s="2" t="s">
        <v>48</v>
      </c>
      <c r="H546" s="2" t="s">
        <v>34</v>
      </c>
      <c r="I546" s="2" t="s">
        <v>107</v>
      </c>
      <c r="J546" s="2" t="s">
        <v>272</v>
      </c>
      <c r="K546" s="2" t="s">
        <v>176</v>
      </c>
      <c r="L546" s="2" t="s">
        <v>185</v>
      </c>
      <c r="M546" s="2"/>
      <c r="N546" s="2"/>
      <c r="O546" s="2"/>
      <c r="P546" s="2"/>
      <c r="Q546" s="2"/>
      <c r="R546" s="2"/>
      <c r="S546" s="2"/>
      <c r="T546" s="2"/>
      <c r="U546" s="3"/>
      <c r="V546" s="2"/>
      <c r="W546" s="2"/>
      <c r="X546" s="2"/>
      <c r="Y546" s="2"/>
      <c r="Z546" s="2"/>
      <c r="AA546" s="2"/>
      <c r="AB546" s="2"/>
      <c r="AC546" s="2"/>
    </row>
    <row r="547" spans="1:29" ht="20.100000000000001" customHeight="1">
      <c r="A547" s="2" t="s">
        <v>2133</v>
      </c>
      <c r="B547" s="2" t="s">
        <v>2134</v>
      </c>
      <c r="C547" s="2" t="str">
        <f>sheet1[[#This Row],[Nombre]]&amp;sheet1[[#This Row],[Bp Id]]</f>
        <v>Componentes de AutomatizaciónSEC0082</v>
      </c>
      <c r="D547" s="2" t="str">
        <f>VLOOKUP(sheet1[[#This Row],[Columna1]],sheet13[[Columna1]:[Estado]],4,FALSE)</f>
        <v>Operativo</v>
      </c>
      <c r="E547" s="2"/>
      <c r="F547" s="2" t="s">
        <v>32</v>
      </c>
      <c r="G547" s="2" t="s">
        <v>48</v>
      </c>
      <c r="H547" s="2" t="s">
        <v>34</v>
      </c>
      <c r="I547" s="2" t="s">
        <v>258</v>
      </c>
      <c r="J547" s="2" t="s">
        <v>259</v>
      </c>
      <c r="K547" s="2" t="s">
        <v>260</v>
      </c>
      <c r="L547" s="2" t="s">
        <v>261</v>
      </c>
      <c r="M547" s="2"/>
      <c r="N547" s="2"/>
      <c r="O547" s="2"/>
      <c r="P547" s="2"/>
      <c r="Q547" s="2"/>
      <c r="R547" s="2"/>
      <c r="S547" s="2"/>
      <c r="T547" s="2"/>
      <c r="U547" s="3"/>
      <c r="V547" s="2"/>
      <c r="W547" s="2"/>
      <c r="X547" s="2"/>
      <c r="Y547" s="2"/>
      <c r="Z547" s="2"/>
      <c r="AA547" s="2"/>
      <c r="AB547" s="2"/>
      <c r="AC547" s="2"/>
    </row>
    <row r="548" spans="1:29" ht="20.100000000000001" customHeight="1">
      <c r="A548" s="2" t="s">
        <v>2135</v>
      </c>
      <c r="B548" s="2" t="s">
        <v>2136</v>
      </c>
      <c r="C548" s="2" t="str">
        <f>sheet1[[#This Row],[Nombre]]&amp;sheet1[[#This Row],[Bp Id]]</f>
        <v>OBRITM0043</v>
      </c>
      <c r="D548" s="2" t="str">
        <f>VLOOKUP(sheet1[[#This Row],[Columna1]],sheet13[[Columna1]:[Estado]],4,FALSE)</f>
        <v>Retirado</v>
      </c>
      <c r="E548" s="2"/>
      <c r="F548" s="2" t="s">
        <v>47</v>
      </c>
      <c r="G548" s="2" t="s">
        <v>48</v>
      </c>
      <c r="H548" s="2" t="s">
        <v>34</v>
      </c>
      <c r="I548" s="2" t="s">
        <v>449</v>
      </c>
      <c r="J548" s="2" t="s">
        <v>450</v>
      </c>
      <c r="K548" s="2" t="s">
        <v>450</v>
      </c>
      <c r="L548" s="2" t="s">
        <v>884</v>
      </c>
      <c r="M548" s="2"/>
      <c r="N548" s="2"/>
      <c r="O548" s="2"/>
      <c r="P548" s="2"/>
      <c r="Q548" s="2"/>
      <c r="R548" s="2"/>
      <c r="S548" s="2"/>
      <c r="T548" s="2"/>
      <c r="U548" s="3"/>
      <c r="V548" s="2"/>
      <c r="W548" s="2"/>
      <c r="X548" s="2"/>
      <c r="Y548" s="2"/>
      <c r="Z548" s="2"/>
      <c r="AA548" s="2"/>
      <c r="AB548" s="2"/>
      <c r="AC548" s="2"/>
    </row>
    <row r="549" spans="1:29" ht="20.100000000000001" customHeight="1">
      <c r="A549" s="2" t="s">
        <v>2137</v>
      </c>
      <c r="B549" s="2" t="s">
        <v>2138</v>
      </c>
      <c r="C549" s="2" t="str">
        <f>sheet1[[#This Row],[Nombre]]&amp;sheet1[[#This Row],[Bp Id]]</f>
        <v>Software de Gestión de Vulnerabilidades basado en el riesgoSEC0089</v>
      </c>
      <c r="D549" s="2" t="str">
        <f>VLOOKUP(sheet1[[#This Row],[Columna1]],sheet13[[Columna1]:[Estado]],4,FALSE)</f>
        <v>Retirado</v>
      </c>
      <c r="E549" s="2"/>
      <c r="F549" s="2" t="s">
        <v>47</v>
      </c>
      <c r="G549" s="2" t="s">
        <v>48</v>
      </c>
      <c r="H549" s="2" t="s">
        <v>59</v>
      </c>
      <c r="I549" s="2" t="s">
        <v>107</v>
      </c>
      <c r="J549" s="2" t="s">
        <v>176</v>
      </c>
      <c r="K549" s="2" t="s">
        <v>2139</v>
      </c>
      <c r="L549" s="2" t="s">
        <v>110</v>
      </c>
      <c r="M549" s="2"/>
      <c r="N549" s="2"/>
      <c r="O549" s="2"/>
      <c r="P549" s="2"/>
      <c r="Q549" s="2"/>
      <c r="R549" s="2"/>
      <c r="S549" s="2"/>
      <c r="T549" s="2"/>
      <c r="U549" s="3"/>
      <c r="V549" s="2"/>
      <c r="W549" s="2"/>
      <c r="X549" s="2"/>
      <c r="Y549" s="2"/>
      <c r="Z549" s="2"/>
      <c r="AA549" s="2"/>
      <c r="AB549" s="2"/>
      <c r="AC549" s="2"/>
    </row>
    <row r="550" spans="1:29" ht="20.100000000000001" customHeight="1">
      <c r="A550" s="2" t="s">
        <v>2140</v>
      </c>
      <c r="B550" s="2" t="s">
        <v>2141</v>
      </c>
      <c r="C550" s="2" t="str">
        <f>sheet1[[#This Row],[Nombre]]&amp;sheet1[[#This Row],[Bp Id]]</f>
        <v>HP InfosightITM0083</v>
      </c>
      <c r="D550" s="2" t="str">
        <f>VLOOKUP(sheet1[[#This Row],[Columna1]],sheet13[[Columna1]:[Estado]],4,FALSE)</f>
        <v>Retirado</v>
      </c>
      <c r="E550" s="2"/>
      <c r="F550" s="2" t="s">
        <v>47</v>
      </c>
      <c r="G550" s="2" t="s">
        <v>48</v>
      </c>
      <c r="H550" s="2" t="s">
        <v>34</v>
      </c>
      <c r="I550" s="2" t="s">
        <v>68</v>
      </c>
      <c r="J550" s="2" t="s">
        <v>236</v>
      </c>
      <c r="K550" s="2" t="s">
        <v>82</v>
      </c>
      <c r="L550" s="2" t="s">
        <v>335</v>
      </c>
      <c r="M550" s="2"/>
      <c r="N550" s="2"/>
      <c r="O550" s="2"/>
      <c r="P550" s="2"/>
      <c r="Q550" s="2"/>
      <c r="R550" s="2"/>
      <c r="S550" s="2"/>
      <c r="T550" s="2"/>
      <c r="U550" s="3"/>
      <c r="V550" s="2"/>
      <c r="W550" s="2"/>
      <c r="X550" s="2"/>
      <c r="Y550" s="2"/>
      <c r="Z550" s="2"/>
      <c r="AA550" s="2"/>
      <c r="AB550" s="2"/>
      <c r="AC550" s="2"/>
    </row>
    <row r="551" spans="1:29" ht="20.100000000000001" customHeight="1">
      <c r="A551" s="2" t="s">
        <v>2142</v>
      </c>
      <c r="B551" s="2" t="s">
        <v>2143</v>
      </c>
      <c r="C551" s="2" t="str">
        <f>sheet1[[#This Row],[Nombre]]&amp;sheet1[[#This Row],[Bp Id]]</f>
        <v>COMPONENTE DE GENERADORITM0148</v>
      </c>
      <c r="D551" s="2" t="e">
        <f>VLOOKUP(sheet1[[#This Row],[Columna1]],sheet13[[Columna1]:[Estado]],4,FALSE)</f>
        <v>#N/A</v>
      </c>
      <c r="E551" s="2"/>
      <c r="F551" s="2" t="s">
        <v>32</v>
      </c>
      <c r="G551" s="2" t="s">
        <v>48</v>
      </c>
      <c r="H551" s="2" t="s">
        <v>34</v>
      </c>
      <c r="I551" s="2" t="s">
        <v>68</v>
      </c>
      <c r="J551" s="2" t="s">
        <v>2144</v>
      </c>
      <c r="K551" s="2" t="s">
        <v>2145</v>
      </c>
      <c r="L551" s="2" t="s">
        <v>2146</v>
      </c>
      <c r="M551" s="2"/>
      <c r="N551" s="2"/>
      <c r="O551" s="2"/>
      <c r="P551" s="2"/>
      <c r="Q551" s="2"/>
      <c r="R551" s="2"/>
      <c r="S551" s="2"/>
      <c r="T551" s="2"/>
      <c r="U551" s="3"/>
      <c r="V551" s="2"/>
      <c r="W551" s="2"/>
      <c r="X551" s="2"/>
      <c r="Y551" s="2"/>
      <c r="Z551" s="2"/>
      <c r="AA551" s="2"/>
      <c r="AB551" s="2"/>
      <c r="AC551" s="2"/>
    </row>
    <row r="552" spans="1:29" ht="20.100000000000001" customHeight="1">
      <c r="A552" s="2" t="s">
        <v>2147</v>
      </c>
      <c r="B552" s="2" t="s">
        <v>2148</v>
      </c>
      <c r="C552" s="2" t="str">
        <f>sheet1[[#This Row],[Nombre]]&amp;sheet1[[#This Row],[Bp Id]]</f>
        <v>RPA Blue PrismTIE0012</v>
      </c>
      <c r="D552" s="2" t="str">
        <f>VLOOKUP(sheet1[[#This Row],[Columna1]],sheet13[[Columna1]:[Estado]],4,FALSE)</f>
        <v>Retirado</v>
      </c>
      <c r="E552" s="2"/>
      <c r="F552" s="2" t="s">
        <v>47</v>
      </c>
      <c r="G552" s="2" t="s">
        <v>48</v>
      </c>
      <c r="H552" s="2" t="s">
        <v>34</v>
      </c>
      <c r="I552" s="2" t="s">
        <v>487</v>
      </c>
      <c r="J552" s="2" t="s">
        <v>488</v>
      </c>
      <c r="K552" s="2" t="s">
        <v>228</v>
      </c>
      <c r="L552" s="2" t="s">
        <v>2149</v>
      </c>
      <c r="M552" s="2"/>
      <c r="N552" s="2"/>
      <c r="O552" s="2"/>
      <c r="P552" s="2"/>
      <c r="Q552" s="2"/>
      <c r="R552" s="2"/>
      <c r="S552" s="2"/>
      <c r="T552" s="2"/>
      <c r="U552" s="3"/>
      <c r="V552" s="2"/>
      <c r="W552" s="2"/>
      <c r="X552" s="2"/>
      <c r="Y552" s="2"/>
      <c r="Z552" s="2"/>
      <c r="AA552" s="2"/>
      <c r="AB552" s="2"/>
      <c r="AC552" s="2"/>
    </row>
    <row r="553" spans="1:29" ht="20.100000000000001" customHeight="1">
      <c r="A553" s="2" t="s">
        <v>2150</v>
      </c>
      <c r="B553" s="2" t="s">
        <v>2151</v>
      </c>
      <c r="C553" s="2" t="str">
        <f>sheet1[[#This Row],[Nombre]]&amp;sheet1[[#This Row],[Bp Id]]</f>
        <v>Google CloudITM0022</v>
      </c>
      <c r="D553" s="2" t="str">
        <f>VLOOKUP(sheet1[[#This Row],[Columna1]],sheet13[[Columna1]:[Estado]],4,FALSE)</f>
        <v>No operativo</v>
      </c>
      <c r="E553" s="2"/>
      <c r="F553" s="2" t="s">
        <v>1788</v>
      </c>
      <c r="G553" s="2" t="s">
        <v>123</v>
      </c>
      <c r="H553" s="2" t="s">
        <v>59</v>
      </c>
      <c r="I553" s="2" t="s">
        <v>68</v>
      </c>
      <c r="J553" s="2" t="s">
        <v>236</v>
      </c>
      <c r="K553" s="2"/>
      <c r="L553" s="2" t="s">
        <v>2152</v>
      </c>
      <c r="M553" s="2"/>
      <c r="N553" s="2"/>
      <c r="O553" s="2"/>
      <c r="P553" s="2"/>
      <c r="Q553" s="2"/>
      <c r="R553" s="2"/>
      <c r="S553" s="2"/>
      <c r="T553" s="2"/>
      <c r="U553" s="3"/>
      <c r="V553" s="2"/>
      <c r="W553" s="2"/>
      <c r="X553" s="2"/>
      <c r="Y553" s="2"/>
      <c r="Z553" s="2"/>
      <c r="AA553" s="2"/>
      <c r="AB553" s="2"/>
      <c r="AC553" s="2"/>
    </row>
    <row r="554" spans="1:29" ht="20.100000000000001" customHeight="1">
      <c r="A554" s="2" t="s">
        <v>2153</v>
      </c>
      <c r="B554" s="2" t="s">
        <v>2154</v>
      </c>
      <c r="C554" s="2" t="str">
        <f>sheet1[[#This Row],[Nombre]]&amp;sheet1[[#This Row],[Bp Id]]</f>
        <v>CanjePAY0001</v>
      </c>
      <c r="D554" s="2" t="str">
        <f>VLOOKUP(sheet1[[#This Row],[Columna1]],sheet13[[Columna1]:[Estado]],4,FALSE)</f>
        <v>Retirado</v>
      </c>
      <c r="E554" s="2"/>
      <c r="F554" s="2" t="s">
        <v>47</v>
      </c>
      <c r="G554" s="2" t="s">
        <v>58</v>
      </c>
      <c r="H554" s="2" t="s">
        <v>34</v>
      </c>
      <c r="I554" s="2" t="s">
        <v>1086</v>
      </c>
      <c r="J554" s="2" t="s">
        <v>96</v>
      </c>
      <c r="K554" s="2" t="s">
        <v>564</v>
      </c>
      <c r="L554" s="2" t="s">
        <v>595</v>
      </c>
      <c r="M554" s="2"/>
      <c r="N554" s="2"/>
      <c r="O554" s="2"/>
      <c r="P554" s="2"/>
      <c r="Q554" s="2"/>
      <c r="R554" s="2"/>
      <c r="S554" s="2"/>
      <c r="T554" s="2"/>
      <c r="U554" s="3"/>
      <c r="V554" s="2"/>
      <c r="W554" s="2"/>
      <c r="X554" s="2"/>
      <c r="Y554" s="2"/>
      <c r="Z554" s="2"/>
      <c r="AA554" s="2"/>
      <c r="AB554" s="2"/>
      <c r="AC554" s="2"/>
    </row>
    <row r="555" spans="1:29" ht="20.100000000000001" customHeight="1">
      <c r="A555" s="2" t="s">
        <v>2155</v>
      </c>
      <c r="B555" s="2" t="s">
        <v>2156</v>
      </c>
      <c r="C555" s="2" t="str">
        <f>sheet1[[#This Row],[Nombre]]&amp;sheet1[[#This Row],[Bp Id]]</f>
        <v>Amazon Web ServicesITM0113</v>
      </c>
      <c r="D555" s="2" t="str">
        <f>VLOOKUP(sheet1[[#This Row],[Columna1]],sheet13[[Columna1]:[Estado]],4,FALSE)</f>
        <v>Operativo</v>
      </c>
      <c r="E555" s="2"/>
      <c r="F555" s="2" t="s">
        <v>32</v>
      </c>
      <c r="G555" s="2" t="s">
        <v>123</v>
      </c>
      <c r="H555" s="2" t="s">
        <v>59</v>
      </c>
      <c r="I555" s="2" t="s">
        <v>68</v>
      </c>
      <c r="J555" s="2" t="s">
        <v>69</v>
      </c>
      <c r="K555" s="2" t="s">
        <v>521</v>
      </c>
      <c r="L555" s="2" t="s">
        <v>1971</v>
      </c>
      <c r="M555" s="2"/>
      <c r="N555" s="2"/>
      <c r="O555" s="2"/>
      <c r="P555" s="2"/>
      <c r="Q555" s="2"/>
      <c r="R555" s="2"/>
      <c r="S555" s="2"/>
      <c r="T555" s="2"/>
      <c r="U555" s="3"/>
      <c r="V555" s="2"/>
      <c r="W555" s="2"/>
      <c r="X555" s="2"/>
      <c r="Y555" s="2"/>
      <c r="Z555" s="2"/>
      <c r="AA555" s="2"/>
      <c r="AB555" s="2"/>
      <c r="AC555" s="2"/>
    </row>
    <row r="556" spans="1:29" ht="20.100000000000001" customHeight="1">
      <c r="A556" s="2" t="s">
        <v>2157</v>
      </c>
      <c r="B556" s="2" t="s">
        <v>2158</v>
      </c>
      <c r="C556" s="2" t="str">
        <f>sheet1[[#This Row],[Nombre]]&amp;sheet1[[#This Row],[Bp Id]]</f>
        <v>PIA Agente VirtualDAT0018</v>
      </c>
      <c r="D556" s="2" t="str">
        <f>VLOOKUP(sheet1[[#This Row],[Columna1]],sheet13[[Columna1]:[Estado]],4,FALSE)</f>
        <v>Operativo</v>
      </c>
      <c r="E556" s="2"/>
      <c r="F556" s="2" t="s">
        <v>32</v>
      </c>
      <c r="G556" s="2" t="s">
        <v>48</v>
      </c>
      <c r="H556" s="2" t="s">
        <v>59</v>
      </c>
      <c r="I556" s="2" t="s">
        <v>328</v>
      </c>
      <c r="J556" s="2" t="s">
        <v>2159</v>
      </c>
      <c r="K556" s="2" t="s">
        <v>2160</v>
      </c>
      <c r="L556" s="2" t="s">
        <v>1452</v>
      </c>
      <c r="M556" s="2"/>
      <c r="N556" s="2"/>
      <c r="O556" s="2"/>
      <c r="P556" s="2"/>
      <c r="Q556" s="2"/>
      <c r="R556" s="2"/>
      <c r="S556" s="2"/>
      <c r="T556" s="2"/>
      <c r="U556" s="3"/>
      <c r="V556" s="2"/>
      <c r="W556" s="2"/>
      <c r="X556" s="2"/>
      <c r="Y556" s="2"/>
      <c r="Z556" s="2"/>
      <c r="AA556" s="2"/>
      <c r="AB556" s="2"/>
      <c r="AC556" s="2"/>
    </row>
    <row r="557" spans="1:29" ht="20.100000000000001" customHeight="1">
      <c r="A557" s="2" t="s">
        <v>2161</v>
      </c>
      <c r="B557" s="2"/>
      <c r="C557" s="2" t="str">
        <f>sheet1[[#This Row],[Nombre]]&amp;sheet1[[#This Row],[Bp Id]]</f>
        <v>BITBUCKET</v>
      </c>
      <c r="D557" s="2" t="str">
        <f>VLOOKUP(sheet1[[#This Row],[Columna1]],sheet13[[Columna1]:[Estado]],4,FALSE)</f>
        <v>No operativo</v>
      </c>
      <c r="E557" s="2"/>
      <c r="F557" s="2" t="s">
        <v>1788</v>
      </c>
      <c r="G557" s="2" t="s">
        <v>48</v>
      </c>
      <c r="H557" s="2" t="s">
        <v>34</v>
      </c>
      <c r="I557" s="2" t="s">
        <v>68</v>
      </c>
      <c r="J557" s="2" t="s">
        <v>236</v>
      </c>
      <c r="K557" s="2"/>
      <c r="L557" s="2"/>
      <c r="M557" s="2"/>
      <c r="N557" s="2"/>
      <c r="O557" s="2"/>
      <c r="P557" s="2"/>
      <c r="Q557" s="2"/>
      <c r="R557" s="2"/>
      <c r="S557" s="2"/>
      <c r="T557" s="2"/>
      <c r="U557" s="3"/>
      <c r="V557" s="2"/>
      <c r="W557" s="2"/>
      <c r="X557" s="2"/>
      <c r="Y557" s="2"/>
      <c r="Z557" s="2"/>
      <c r="AA557" s="2"/>
      <c r="AB557" s="2"/>
      <c r="AC557" s="2"/>
    </row>
    <row r="558" spans="1:29" ht="20.100000000000001" customHeight="1">
      <c r="A558" s="2" t="s">
        <v>2162</v>
      </c>
      <c r="B558" s="2"/>
      <c r="C558" s="2" t="str">
        <f>sheet1[[#This Row],[Nombre]]&amp;sheet1[[#This Row],[Bp Id]]</f>
        <v>MaaS</v>
      </c>
      <c r="D558" s="2" t="str">
        <f>VLOOKUP(sheet1[[#This Row],[Columna1]],sheet13[[Columna1]:[Estado]],4,FALSE)</f>
        <v>Retirado</v>
      </c>
      <c r="E558" s="2"/>
      <c r="F558" s="2" t="s">
        <v>47</v>
      </c>
      <c r="G558" s="2" t="s">
        <v>48</v>
      </c>
      <c r="H558" s="2" t="s">
        <v>59</v>
      </c>
      <c r="I558" s="2" t="s">
        <v>107</v>
      </c>
      <c r="J558" s="2" t="s">
        <v>176</v>
      </c>
      <c r="K558" s="2" t="s">
        <v>176</v>
      </c>
      <c r="L558" s="2"/>
      <c r="M558" s="2"/>
      <c r="N558" s="2"/>
      <c r="O558" s="2"/>
      <c r="P558" s="2"/>
      <c r="Q558" s="2"/>
      <c r="R558" s="2"/>
      <c r="S558" s="2"/>
      <c r="T558" s="2"/>
      <c r="U558" s="3"/>
      <c r="V558" s="2"/>
      <c r="W558" s="2"/>
      <c r="X558" s="2"/>
      <c r="Y558" s="2"/>
      <c r="Z558" s="2"/>
      <c r="AA558" s="2"/>
      <c r="AB558" s="2"/>
      <c r="AC558" s="2"/>
    </row>
    <row r="559" spans="1:29" ht="20.100000000000001" customHeight="1">
      <c r="A559" s="2" t="s">
        <v>2163</v>
      </c>
      <c r="B559" s="2"/>
      <c r="C559" s="2" t="str">
        <f>sheet1[[#This Row],[Nombre]]&amp;sheet1[[#This Row],[Bp Id]]</f>
        <v>PGP</v>
      </c>
      <c r="D559" s="2" t="str">
        <f>VLOOKUP(sheet1[[#This Row],[Columna1]],sheet13[[Columna1]:[Estado]],4,FALSE)</f>
        <v>Retirado</v>
      </c>
      <c r="E559" s="2"/>
      <c r="F559" s="2" t="s">
        <v>47</v>
      </c>
      <c r="G559" s="2" t="s">
        <v>48</v>
      </c>
      <c r="H559" s="2" t="s">
        <v>34</v>
      </c>
      <c r="I559" s="2" t="s">
        <v>107</v>
      </c>
      <c r="J559" s="2" t="s">
        <v>176</v>
      </c>
      <c r="K559" s="2"/>
      <c r="L559" s="2"/>
      <c r="M559" s="2"/>
      <c r="N559" s="2"/>
      <c r="O559" s="2"/>
      <c r="P559" s="2"/>
      <c r="Q559" s="2"/>
      <c r="R559" s="2"/>
      <c r="S559" s="2"/>
      <c r="T559" s="2"/>
      <c r="U559" s="3"/>
      <c r="V559" s="2"/>
      <c r="W559" s="2"/>
      <c r="X559" s="2"/>
      <c r="Y559" s="2"/>
      <c r="Z559" s="2"/>
      <c r="AA559" s="2"/>
      <c r="AB559" s="2"/>
      <c r="AC559" s="2"/>
    </row>
    <row r="560" spans="1:29" ht="20.100000000000001" customHeight="1">
      <c r="A560" s="2" t="s">
        <v>2164</v>
      </c>
      <c r="B560" s="2"/>
      <c r="C560" s="2" t="str">
        <f>sheet1[[#This Row],[Nombre]]&amp;sheet1[[#This Row],[Bp Id]]</f>
        <v>Switch Interbancarios</v>
      </c>
      <c r="D560" s="2" t="str">
        <f>VLOOKUP(sheet1[[#This Row],[Columna1]],sheet13[[Columna1]:[Estado]],4,FALSE)</f>
        <v>No operativo</v>
      </c>
      <c r="E560" s="2"/>
      <c r="F560" s="2" t="s">
        <v>1788</v>
      </c>
      <c r="G560" s="2" t="s">
        <v>48</v>
      </c>
      <c r="H560" s="2" t="s">
        <v>34</v>
      </c>
      <c r="I560" s="2" t="s">
        <v>921</v>
      </c>
      <c r="J560" s="2" t="s">
        <v>240</v>
      </c>
      <c r="K560" s="2"/>
      <c r="L560" s="2"/>
      <c r="M560" s="2"/>
      <c r="N560" s="2"/>
      <c r="O560" s="2"/>
      <c r="P560" s="2"/>
      <c r="Q560" s="2"/>
      <c r="R560" s="2"/>
      <c r="S560" s="2"/>
      <c r="T560" s="2"/>
      <c r="U560" s="3"/>
      <c r="V560" s="2"/>
      <c r="W560" s="2"/>
      <c r="X560" s="2"/>
      <c r="Y560" s="2"/>
      <c r="Z560" s="2"/>
      <c r="AA560" s="2"/>
      <c r="AB560" s="2"/>
      <c r="AC560" s="2"/>
    </row>
    <row r="561" spans="1:29" ht="20.100000000000001" customHeight="1">
      <c r="A561" s="2" t="s">
        <v>2165</v>
      </c>
      <c r="B561" s="2"/>
      <c r="C561" s="2" t="str">
        <f>sheet1[[#This Row],[Nombre]]&amp;sheet1[[#This Row],[Bp Id]]</f>
        <v>CXP Manager</v>
      </c>
      <c r="D561" s="2" t="str">
        <f>VLOOKUP(sheet1[[#This Row],[Columna1]],sheet13[[Columna1]:[Estado]],4,FALSE)</f>
        <v>No operativo</v>
      </c>
      <c r="E561" s="2"/>
      <c r="F561" s="2" t="s">
        <v>1788</v>
      </c>
      <c r="G561" s="2" t="s">
        <v>48</v>
      </c>
      <c r="H561" s="2" t="s">
        <v>34</v>
      </c>
      <c r="I561" s="2" t="s">
        <v>35</v>
      </c>
      <c r="J561" s="2" t="s">
        <v>349</v>
      </c>
      <c r="K561" s="2"/>
      <c r="L561" s="2"/>
      <c r="M561" s="2"/>
      <c r="N561" s="2"/>
      <c r="O561" s="2"/>
      <c r="P561" s="2"/>
      <c r="Q561" s="2"/>
      <c r="R561" s="2"/>
      <c r="S561" s="2"/>
      <c r="T561" s="2"/>
      <c r="U561" s="3"/>
      <c r="V561" s="2"/>
      <c r="W561" s="2"/>
      <c r="X561" s="2"/>
      <c r="Y561" s="2"/>
      <c r="Z561" s="2"/>
      <c r="AA561" s="2"/>
      <c r="AB561" s="2"/>
      <c r="AC561" s="2"/>
    </row>
    <row r="562" spans="1:29" ht="20.100000000000001" customHeight="1">
      <c r="A562" s="2" t="s">
        <v>2166</v>
      </c>
      <c r="B562" s="2"/>
      <c r="C562" s="2" t="str">
        <f>sheet1[[#This Row],[Nombre]]&amp;sheet1[[#This Row],[Bp Id]]</f>
        <v>Desarrollo de Competencias</v>
      </c>
      <c r="D562" s="2" t="str">
        <f>VLOOKUP(sheet1[[#This Row],[Columna1]],sheet13[[Columna1]:[Estado]],4,FALSE)</f>
        <v>Retirado</v>
      </c>
      <c r="E562" s="2"/>
      <c r="F562" s="2" t="s">
        <v>47</v>
      </c>
      <c r="G562" s="2" t="s">
        <v>48</v>
      </c>
      <c r="H562" s="2" t="s">
        <v>34</v>
      </c>
      <c r="I562" s="2" t="s">
        <v>225</v>
      </c>
      <c r="J562" s="2" t="s">
        <v>226</v>
      </c>
      <c r="K562" s="2"/>
      <c r="L562" s="2" t="s">
        <v>169</v>
      </c>
      <c r="M562" s="2"/>
      <c r="N562" s="2"/>
      <c r="O562" s="2"/>
      <c r="P562" s="2"/>
      <c r="Q562" s="2"/>
      <c r="R562" s="2"/>
      <c r="S562" s="2"/>
      <c r="T562" s="2"/>
      <c r="U562" s="3"/>
      <c r="V562" s="2"/>
      <c r="W562" s="2"/>
      <c r="X562" s="2"/>
      <c r="Y562" s="2"/>
      <c r="Z562" s="2"/>
      <c r="AA562" s="2"/>
      <c r="AB562" s="2"/>
      <c r="AC562" s="2"/>
    </row>
    <row r="563" spans="1:29" ht="20.100000000000001" customHeight="1">
      <c r="A563" s="2" t="s">
        <v>2167</v>
      </c>
      <c r="B563" s="2"/>
      <c r="C563" s="2" t="str">
        <f>sheet1[[#This Row],[Nombre]]&amp;sheet1[[#This Row],[Bp Id]]</f>
        <v>WebMTS</v>
      </c>
      <c r="D563" s="2" t="str">
        <f>VLOOKUP(sheet1[[#This Row],[Columna1]],sheet13[[Columna1]:[Estado]],4,FALSE)</f>
        <v>Retirado</v>
      </c>
      <c r="E563" s="2"/>
      <c r="F563" s="2" t="s">
        <v>47</v>
      </c>
      <c r="G563" s="2" t="s">
        <v>48</v>
      </c>
      <c r="H563" s="2" t="s">
        <v>34</v>
      </c>
      <c r="I563" s="2" t="s">
        <v>225</v>
      </c>
      <c r="J563" s="2" t="s">
        <v>226</v>
      </c>
      <c r="K563" s="2"/>
      <c r="L563" s="2" t="s">
        <v>1763</v>
      </c>
      <c r="M563" s="2"/>
      <c r="N563" s="2"/>
      <c r="O563" s="2"/>
      <c r="P563" s="2"/>
      <c r="Q563" s="2"/>
      <c r="R563" s="2"/>
      <c r="S563" s="2"/>
      <c r="T563" s="2"/>
      <c r="U563" s="3"/>
      <c r="V563" s="2"/>
      <c r="W563" s="2"/>
      <c r="X563" s="2"/>
      <c r="Y563" s="2"/>
      <c r="Z563" s="2"/>
      <c r="AA563" s="2"/>
      <c r="AB563" s="2"/>
      <c r="AC563" s="2"/>
    </row>
    <row r="564" spans="1:29" ht="20.100000000000001" customHeight="1">
      <c r="A564" s="2" t="s">
        <v>2168</v>
      </c>
      <c r="B564" s="2"/>
      <c r="C564" s="2" t="str">
        <f>sheet1[[#This Row],[Nombre]]&amp;sheet1[[#This Row],[Bp Id]]</f>
        <v>Pipeline</v>
      </c>
      <c r="D564" s="2" t="str">
        <f>VLOOKUP(sheet1[[#This Row],[Columna1]],sheet13[[Columna1]:[Estado]],4,FALSE)</f>
        <v>No operativo</v>
      </c>
      <c r="E564" s="2"/>
      <c r="F564" s="2" t="s">
        <v>1788</v>
      </c>
      <c r="G564" s="2" t="s">
        <v>48</v>
      </c>
      <c r="H564" s="2" t="s">
        <v>34</v>
      </c>
      <c r="I564" s="2" t="s">
        <v>553</v>
      </c>
      <c r="J564" s="2" t="s">
        <v>554</v>
      </c>
      <c r="K564" s="2"/>
      <c r="L564" s="2"/>
      <c r="M564" s="2"/>
      <c r="N564" s="2"/>
      <c r="O564" s="2"/>
      <c r="P564" s="2"/>
      <c r="Q564" s="2"/>
      <c r="R564" s="2"/>
      <c r="S564" s="2"/>
      <c r="T564" s="2"/>
      <c r="U564" s="3"/>
      <c r="V564" s="2"/>
      <c r="W564" s="2"/>
      <c r="X564" s="2"/>
      <c r="Y564" s="2"/>
      <c r="Z564" s="2"/>
      <c r="AA564" s="2"/>
      <c r="AB564" s="2"/>
      <c r="AC564" s="2"/>
    </row>
    <row r="565" spans="1:29" ht="20.100000000000001" customHeight="1">
      <c r="A565" s="2" t="s">
        <v>2169</v>
      </c>
      <c r="B565" s="2"/>
      <c r="C565" s="2" t="str">
        <f>sheet1[[#This Row],[Nombre]]&amp;sheet1[[#This Row],[Bp Id]]</f>
        <v>Rol de Pagos</v>
      </c>
      <c r="D565" s="2" t="str">
        <f>VLOOKUP(sheet1[[#This Row],[Columna1]],sheet13[[Columna1]:[Estado]],4,FALSE)</f>
        <v>Retirado</v>
      </c>
      <c r="E565" s="2"/>
      <c r="F565" s="2" t="s">
        <v>47</v>
      </c>
      <c r="G565" s="2" t="s">
        <v>48</v>
      </c>
      <c r="H565" s="2" t="s">
        <v>34</v>
      </c>
      <c r="I565" s="2" t="s">
        <v>225</v>
      </c>
      <c r="J565" s="2" t="s">
        <v>226</v>
      </c>
      <c r="K565" s="2"/>
      <c r="L565" s="2" t="s">
        <v>169</v>
      </c>
      <c r="M565" s="2"/>
      <c r="N565" s="2"/>
      <c r="O565" s="2"/>
      <c r="P565" s="2"/>
      <c r="Q565" s="2"/>
      <c r="R565" s="2"/>
      <c r="S565" s="2"/>
      <c r="T565" s="2"/>
      <c r="U565" s="3"/>
      <c r="V565" s="2"/>
      <c r="W565" s="2"/>
      <c r="X565" s="2"/>
      <c r="Y565" s="2"/>
      <c r="Z565" s="2"/>
      <c r="AA565" s="2"/>
      <c r="AB565" s="2"/>
      <c r="AC565" s="2"/>
    </row>
    <row r="566" spans="1:29" ht="20.100000000000001" customHeight="1">
      <c r="A566" s="2" t="s">
        <v>2170</v>
      </c>
      <c r="B566" s="2"/>
      <c r="C566" s="2" t="str">
        <f>sheet1[[#This Row],[Nombre]]&amp;sheet1[[#This Row],[Bp Id]]</f>
        <v>Encuestas - RRHH</v>
      </c>
      <c r="D566" s="2" t="str">
        <f>VLOOKUP(sheet1[[#This Row],[Columna1]],sheet13[[Columna1]:[Estado]],4,FALSE)</f>
        <v>Retirado</v>
      </c>
      <c r="E566" s="2"/>
      <c r="F566" s="2" t="s">
        <v>47</v>
      </c>
      <c r="G566" s="2" t="s">
        <v>48</v>
      </c>
      <c r="H566" s="2" t="s">
        <v>34</v>
      </c>
      <c r="I566" s="2" t="s">
        <v>225</v>
      </c>
      <c r="J566" s="2" t="s">
        <v>226</v>
      </c>
      <c r="K566" s="2"/>
      <c r="L566" s="2" t="s">
        <v>169</v>
      </c>
      <c r="M566" s="2"/>
      <c r="N566" s="2"/>
      <c r="O566" s="2"/>
      <c r="P566" s="2"/>
      <c r="Q566" s="2"/>
      <c r="R566" s="2"/>
      <c r="S566" s="2"/>
      <c r="T566" s="2"/>
      <c r="U566" s="3"/>
      <c r="V566" s="2"/>
      <c r="W566" s="2"/>
      <c r="X566" s="2"/>
      <c r="Y566" s="2"/>
      <c r="Z566" s="2"/>
      <c r="AA566" s="2"/>
      <c r="AB566" s="2"/>
      <c r="AC566" s="2"/>
    </row>
    <row r="567" spans="1:29" ht="20.100000000000001" customHeight="1">
      <c r="A567" s="2" t="s">
        <v>2171</v>
      </c>
      <c r="B567" s="2"/>
      <c r="C567" s="2" t="str">
        <f>sheet1[[#This Row],[Nombre]]&amp;sheet1[[#This Row],[Bp Id]]</f>
        <v>Descripción de Funciones</v>
      </c>
      <c r="D567" s="2" t="str">
        <f>VLOOKUP(sheet1[[#This Row],[Columna1]],sheet13[[Columna1]:[Estado]],4,FALSE)</f>
        <v>Retirado</v>
      </c>
      <c r="E567" s="2"/>
      <c r="F567" s="2" t="s">
        <v>47</v>
      </c>
      <c r="G567" s="2" t="s">
        <v>48</v>
      </c>
      <c r="H567" s="2" t="s">
        <v>34</v>
      </c>
      <c r="I567" s="2" t="s">
        <v>225</v>
      </c>
      <c r="J567" s="2" t="s">
        <v>226</v>
      </c>
      <c r="K567" s="2"/>
      <c r="L567" s="2" t="s">
        <v>169</v>
      </c>
      <c r="M567" s="2"/>
      <c r="N567" s="2"/>
      <c r="O567" s="2"/>
      <c r="P567" s="2"/>
      <c r="Q567" s="2"/>
      <c r="R567" s="2"/>
      <c r="S567" s="2"/>
      <c r="T567" s="2"/>
      <c r="U567" s="3"/>
      <c r="V567" s="2"/>
      <c r="W567" s="2"/>
      <c r="X567" s="2"/>
      <c r="Y567" s="2"/>
      <c r="Z567" s="2"/>
      <c r="AA567" s="2"/>
      <c r="AB567" s="2"/>
      <c r="AC567" s="2"/>
    </row>
    <row r="568" spans="1:29" ht="20.100000000000001" customHeight="1">
      <c r="A568" s="2" t="s">
        <v>2172</v>
      </c>
      <c r="B568" s="2"/>
      <c r="C568" s="2" t="str">
        <f>sheet1[[#This Row],[Nombre]]&amp;sheet1[[#This Row],[Bp Id]]</f>
        <v>AYUDA VENTAS</v>
      </c>
      <c r="D568" s="2" t="str">
        <f>VLOOKUP(sheet1[[#This Row],[Columna1]],sheet13[[Columna1]:[Estado]],4,FALSE)</f>
        <v>Retirado</v>
      </c>
      <c r="E568" s="2"/>
      <c r="F568" s="2" t="s">
        <v>47</v>
      </c>
      <c r="G568" s="2" t="s">
        <v>48</v>
      </c>
      <c r="H568" s="2" t="s">
        <v>34</v>
      </c>
      <c r="I568" s="2" t="s">
        <v>35</v>
      </c>
      <c r="J568" s="2" t="s">
        <v>349</v>
      </c>
      <c r="K568" s="2"/>
      <c r="L568" s="2"/>
      <c r="M568" s="2"/>
      <c r="N568" s="2"/>
      <c r="O568" s="2"/>
      <c r="P568" s="2"/>
      <c r="Q568" s="2"/>
      <c r="R568" s="2"/>
      <c r="S568" s="2"/>
      <c r="T568" s="2"/>
      <c r="U568" s="3"/>
      <c r="V568" s="2"/>
      <c r="W568" s="2"/>
      <c r="X568" s="2"/>
      <c r="Y568" s="2"/>
      <c r="Z568" s="2"/>
      <c r="AA568" s="2"/>
      <c r="AB568" s="2"/>
      <c r="AC568" s="2"/>
    </row>
    <row r="569" spans="1:29" ht="20.100000000000001" customHeight="1">
      <c r="A569" s="2" t="s">
        <v>2173</v>
      </c>
      <c r="B569" s="2"/>
      <c r="C569" s="2" t="str">
        <f>sheet1[[#This Row],[Nombre]]&amp;sheet1[[#This Row],[Bp Id]]</f>
        <v>Mesa de Servicios</v>
      </c>
      <c r="D569" s="2" t="str">
        <f>VLOOKUP(sheet1[[#This Row],[Columna1]],sheet13[[Columna1]:[Estado]],4,FALSE)</f>
        <v>No operativo</v>
      </c>
      <c r="E569" s="2"/>
      <c r="F569" s="2" t="s">
        <v>1788</v>
      </c>
      <c r="G569" s="2" t="s">
        <v>48</v>
      </c>
      <c r="H569" s="2" t="s">
        <v>34</v>
      </c>
      <c r="I569" s="2" t="s">
        <v>68</v>
      </c>
      <c r="J569" s="2" t="s">
        <v>236</v>
      </c>
      <c r="K569" s="2"/>
      <c r="L569" s="2"/>
      <c r="M569" s="2"/>
      <c r="N569" s="2"/>
      <c r="O569" s="2"/>
      <c r="P569" s="2"/>
      <c r="Q569" s="2"/>
      <c r="R569" s="2"/>
      <c r="S569" s="2"/>
      <c r="T569" s="2"/>
      <c r="U569" s="3"/>
      <c r="V569" s="2"/>
      <c r="W569" s="2"/>
      <c r="X569" s="2"/>
      <c r="Y569" s="2"/>
      <c r="Z569" s="2"/>
      <c r="AA569" s="2"/>
      <c r="AB569" s="2"/>
      <c r="AC569" s="2"/>
    </row>
    <row r="570" spans="1:29" ht="20.100000000000001" customHeight="1">
      <c r="A570" s="2" t="s">
        <v>2174</v>
      </c>
      <c r="B570" s="2"/>
      <c r="C570" s="2" t="str">
        <f>sheet1[[#This Row],[Nombre]]&amp;sheet1[[#This Row],[Bp Id]]</f>
        <v>Pentaho Data Integration</v>
      </c>
      <c r="D570" s="2" t="str">
        <f>VLOOKUP(sheet1[[#This Row],[Columna1]],sheet13[[Columna1]:[Estado]],4,FALSE)</f>
        <v>Retirado</v>
      </c>
      <c r="E570" s="2"/>
      <c r="F570" s="2" t="s">
        <v>47</v>
      </c>
      <c r="G570" s="2" t="s">
        <v>48</v>
      </c>
      <c r="H570" s="2" t="s">
        <v>34</v>
      </c>
      <c r="I570" s="2" t="s">
        <v>328</v>
      </c>
      <c r="J570" s="2" t="s">
        <v>329</v>
      </c>
      <c r="K570" s="2"/>
      <c r="L570" s="2" t="s">
        <v>331</v>
      </c>
      <c r="M570" s="2"/>
      <c r="N570" s="2"/>
      <c r="O570" s="2"/>
      <c r="P570" s="2"/>
      <c r="Q570" s="2"/>
      <c r="R570" s="2"/>
      <c r="S570" s="2"/>
      <c r="T570" s="2"/>
      <c r="U570" s="3"/>
      <c r="V570" s="2"/>
      <c r="W570" s="2"/>
      <c r="X570" s="2"/>
      <c r="Y570" s="2"/>
      <c r="Z570" s="2"/>
      <c r="AA570" s="2"/>
      <c r="AB570" s="2"/>
      <c r="AC570" s="2"/>
    </row>
    <row r="571" spans="1:29" ht="20.100000000000001" customHeight="1">
      <c r="A571" s="2" t="s">
        <v>2175</v>
      </c>
      <c r="B571" s="2"/>
      <c r="C571" s="2" t="str">
        <f>sheet1[[#This Row],[Nombre]]&amp;sheet1[[#This Row],[Bp Id]]</f>
        <v>AMERAFIN</v>
      </c>
      <c r="D571" s="2" t="str">
        <f>VLOOKUP(sheet1[[#This Row],[Columna1]],sheet13[[Columna1]:[Estado]],4,FALSE)</f>
        <v>Operativo</v>
      </c>
      <c r="E571" s="2"/>
      <c r="F571" s="2" t="s">
        <v>32</v>
      </c>
      <c r="G571" s="2" t="s">
        <v>48</v>
      </c>
      <c r="H571" s="2" t="s">
        <v>34</v>
      </c>
      <c r="I571" s="2" t="s">
        <v>553</v>
      </c>
      <c r="J571" s="2" t="s">
        <v>96</v>
      </c>
      <c r="K571" s="2" t="s">
        <v>1703</v>
      </c>
      <c r="L571" s="2" t="s">
        <v>556</v>
      </c>
      <c r="M571" s="2"/>
      <c r="N571" s="2"/>
      <c r="O571" s="2"/>
      <c r="P571" s="2"/>
      <c r="Q571" s="2"/>
      <c r="R571" s="2"/>
      <c r="S571" s="2"/>
      <c r="T571" s="2"/>
      <c r="U571" s="3"/>
      <c r="V571" s="2"/>
      <c r="W571" s="2"/>
      <c r="X571" s="2"/>
      <c r="Y571" s="2"/>
      <c r="Z571" s="2"/>
      <c r="AA571" s="2"/>
      <c r="AB571" s="2"/>
      <c r="AC571" s="2"/>
    </row>
    <row r="572" spans="1:29" ht="20.100000000000001" customHeight="1">
      <c r="A572" s="2" t="s">
        <v>2176</v>
      </c>
      <c r="B572" s="2"/>
      <c r="C572" s="2" t="str">
        <f>sheet1[[#This Row],[Nombre]]&amp;sheet1[[#This Row],[Bp Id]]</f>
        <v>IBM WebSphere Portal; Web Teller 3.0</v>
      </c>
      <c r="D572" s="2" t="e">
        <f>VLOOKUP(sheet1[[#This Row],[Columna1]],sheet13[[Columna1]:[Estado]],4,FALSE)</f>
        <v>#N/A</v>
      </c>
      <c r="E572" s="2"/>
      <c r="F572" s="2" t="s">
        <v>32</v>
      </c>
      <c r="G572" s="2"/>
      <c r="H572" s="2"/>
      <c r="I572" s="2"/>
      <c r="J572" s="2"/>
      <c r="K572" s="2"/>
      <c r="L572" s="2"/>
      <c r="M572" s="2"/>
      <c r="N572" s="2"/>
      <c r="O572" s="2"/>
      <c r="P572" s="2"/>
      <c r="Q572" s="2"/>
      <c r="R572" s="2"/>
      <c r="S572" s="2"/>
      <c r="T572" s="2"/>
      <c r="U572" s="3"/>
      <c r="V572" s="2"/>
      <c r="W572" s="2"/>
      <c r="X572" s="2"/>
      <c r="Y572" s="2"/>
      <c r="Z572" s="2"/>
      <c r="AA572" s="2"/>
      <c r="AB572" s="2"/>
      <c r="AC572" s="2"/>
    </row>
    <row r="573" spans="1:29" ht="20.100000000000001" customHeight="1">
      <c r="A573" s="2" t="s">
        <v>2177</v>
      </c>
      <c r="B573" s="2"/>
      <c r="C573" s="2" t="str">
        <f>sheet1[[#This Row],[Nombre]]&amp;sheet1[[#This Row],[Bp Id]]</f>
        <v>Elastic (ELK) Stack; Grafana</v>
      </c>
      <c r="D573" s="2" t="e">
        <f>VLOOKUP(sheet1[[#This Row],[Columna1]],sheet13[[Columna1]:[Estado]],4,FALSE)</f>
        <v>#N/A</v>
      </c>
      <c r="E573" s="2"/>
      <c r="F573" s="2" t="s">
        <v>32</v>
      </c>
      <c r="G573" s="2"/>
      <c r="H573" s="2"/>
      <c r="I573" s="2"/>
      <c r="J573" s="2"/>
      <c r="K573" s="2"/>
      <c r="L573" s="2"/>
      <c r="M573" s="2"/>
      <c r="N573" s="2"/>
      <c r="O573" s="2"/>
      <c r="P573" s="2"/>
      <c r="Q573" s="2"/>
      <c r="R573" s="2"/>
      <c r="S573" s="2"/>
      <c r="T573" s="2"/>
      <c r="U573" s="3"/>
      <c r="V573" s="2"/>
      <c r="W573" s="2"/>
      <c r="X573" s="2"/>
      <c r="Y573" s="2"/>
      <c r="Z573" s="2"/>
      <c r="AA573" s="2"/>
      <c r="AB573" s="2"/>
      <c r="AC573" s="2"/>
    </row>
    <row r="574" spans="1:29" ht="20.100000000000001" customHeight="1">
      <c r="A574" s="2" t="s">
        <v>2178</v>
      </c>
      <c r="B574" s="2"/>
      <c r="C574" s="2" t="str">
        <f>sheet1[[#This Row],[Nombre]]&amp;sheet1[[#This Row],[Bp Id]]</f>
        <v>Cheqscan; Web Teller 3.0</v>
      </c>
      <c r="D574" s="2" t="e">
        <f>VLOOKUP(sheet1[[#This Row],[Columna1]],sheet13[[Columna1]:[Estado]],4,FALSE)</f>
        <v>#N/A</v>
      </c>
      <c r="E574" s="2"/>
      <c r="F574" s="2" t="s">
        <v>32</v>
      </c>
      <c r="G574" s="2"/>
      <c r="H574" s="2"/>
      <c r="I574" s="2"/>
      <c r="J574" s="2"/>
      <c r="K574" s="2"/>
      <c r="L574" s="2"/>
      <c r="M574" s="2"/>
      <c r="N574" s="2"/>
      <c r="O574" s="2"/>
      <c r="P574" s="2"/>
      <c r="Q574" s="2"/>
      <c r="R574" s="2"/>
      <c r="S574" s="2"/>
      <c r="T574" s="2"/>
      <c r="U574" s="3"/>
      <c r="V574" s="2"/>
      <c r="W574" s="2"/>
      <c r="X574" s="2"/>
      <c r="Y574" s="2"/>
      <c r="Z574" s="2"/>
      <c r="AA574" s="2"/>
      <c r="AB574" s="2"/>
      <c r="AC574" s="2"/>
    </row>
    <row r="575" spans="1:29" ht="20.100000000000001" customHeight="1">
      <c r="A575" s="2" t="s">
        <v>2179</v>
      </c>
      <c r="B575" s="2"/>
      <c r="C575" s="2" t="str">
        <f>sheet1[[#This Row],[Nombre]]&amp;sheet1[[#This Row],[Bp Id]]</f>
        <v>File server; Home Folder</v>
      </c>
      <c r="D575" s="2" t="e">
        <f>VLOOKUP(sheet1[[#This Row],[Columna1]],sheet13[[Columna1]:[Estado]],4,FALSE)</f>
        <v>#N/A</v>
      </c>
      <c r="E575" s="2"/>
      <c r="F575" s="2" t="s">
        <v>32</v>
      </c>
      <c r="G575" s="2"/>
      <c r="H575" s="2"/>
      <c r="I575" s="2"/>
      <c r="J575" s="2"/>
      <c r="K575" s="2"/>
      <c r="L575" s="2"/>
      <c r="M575" s="2"/>
      <c r="N575" s="2"/>
      <c r="O575" s="2"/>
      <c r="P575" s="2"/>
      <c r="Q575" s="2"/>
      <c r="R575" s="2"/>
      <c r="S575" s="2"/>
      <c r="T575" s="2"/>
      <c r="U575" s="3"/>
      <c r="V575" s="2"/>
      <c r="W575" s="2"/>
      <c r="X575" s="2"/>
      <c r="Y575" s="2"/>
      <c r="Z575" s="2"/>
      <c r="AA575" s="2"/>
      <c r="AB575" s="2"/>
      <c r="AC575" s="2"/>
    </row>
    <row r="576" spans="1:29" ht="20.100000000000001" customHeight="1">
      <c r="A576" s="2" t="s">
        <v>2180</v>
      </c>
      <c r="B576" s="2"/>
      <c r="C576" s="2" t="str">
        <f>sheet1[[#This Row],[Nombre]]&amp;sheet1[[#This Row],[Bp Id]]</f>
        <v>Cuadre Atms; SERVER PUEX</v>
      </c>
      <c r="D576" s="2" t="e">
        <f>VLOOKUP(sheet1[[#This Row],[Columna1]],sheet13[[Columna1]:[Estado]],4,FALSE)</f>
        <v>#N/A</v>
      </c>
      <c r="E576" s="2"/>
      <c r="F576" s="2" t="s">
        <v>32</v>
      </c>
      <c r="G576" s="2"/>
      <c r="H576" s="2"/>
      <c r="I576" s="2"/>
      <c r="J576" s="2"/>
      <c r="K576" s="2"/>
      <c r="L576" s="2"/>
      <c r="M576" s="2"/>
      <c r="N576" s="2"/>
      <c r="O576" s="2"/>
      <c r="P576" s="2"/>
      <c r="Q576" s="2"/>
      <c r="R576" s="2"/>
      <c r="S576" s="2"/>
      <c r="T576" s="2"/>
      <c r="U576" s="3"/>
      <c r="V576" s="2"/>
      <c r="W576" s="2"/>
      <c r="X576" s="2"/>
      <c r="Y576" s="2"/>
      <c r="Z576" s="2"/>
      <c r="AA576" s="2"/>
      <c r="AB576" s="2"/>
      <c r="AC576" s="2"/>
    </row>
    <row r="577" spans="1:29" ht="20.100000000000001" customHeight="1">
      <c r="A577" s="2" t="s">
        <v>2181</v>
      </c>
      <c r="B577" s="2"/>
      <c r="C577" s="2" t="str">
        <f>sheet1[[#This Row],[Nombre]]&amp;sheet1[[#This Row],[Bp Id]]</f>
        <v>LatamPass</v>
      </c>
      <c r="D577" s="2" t="str">
        <f>VLOOKUP(sheet1[[#This Row],[Columna1]],sheet13[[Columna1]:[Estado]],4,FALSE)</f>
        <v>Retirado</v>
      </c>
      <c r="E577" s="2"/>
      <c r="F577" s="2" t="s">
        <v>47</v>
      </c>
      <c r="G577" s="2" t="s">
        <v>48</v>
      </c>
      <c r="H577" s="2" t="s">
        <v>140</v>
      </c>
      <c r="I577" s="2" t="s">
        <v>134</v>
      </c>
      <c r="J577" s="2" t="s">
        <v>88</v>
      </c>
      <c r="K577" s="2"/>
      <c r="L577" s="2"/>
      <c r="M577" s="2"/>
      <c r="N577" s="2"/>
      <c r="O577" s="2"/>
      <c r="P577" s="2"/>
      <c r="Q577" s="2"/>
      <c r="R577" s="2"/>
      <c r="S577" s="2"/>
      <c r="T577" s="2"/>
      <c r="U577" s="3"/>
      <c r="V577" s="2"/>
      <c r="W577" s="2"/>
      <c r="X577" s="2"/>
      <c r="Y577" s="2"/>
      <c r="Z577" s="2"/>
      <c r="AA577" s="2"/>
      <c r="AB577" s="2"/>
      <c r="AC577" s="2"/>
    </row>
    <row r="578" spans="1:29" ht="20.100000000000001" customHeight="1">
      <c r="A578" s="2" t="s">
        <v>2182</v>
      </c>
      <c r="B578" s="2"/>
      <c r="C578" s="2" t="str">
        <f>sheet1[[#This Row],[Nombre]]&amp;sheet1[[#This Row],[Bp Id]]</f>
        <v>Microsoft Skype for Business</v>
      </c>
      <c r="D578" s="2" t="str">
        <f>VLOOKUP(sheet1[[#This Row],[Columna1]],sheet13[[Columna1]:[Estado]],4,FALSE)</f>
        <v>No operativo</v>
      </c>
      <c r="E578" s="2"/>
      <c r="F578" s="2" t="s">
        <v>1788</v>
      </c>
      <c r="G578" s="2" t="s">
        <v>48</v>
      </c>
      <c r="H578" s="2" t="s">
        <v>34</v>
      </c>
      <c r="I578" s="2" t="s">
        <v>68</v>
      </c>
      <c r="J578" s="2" t="s">
        <v>236</v>
      </c>
      <c r="K578" s="2"/>
      <c r="L578" s="2"/>
      <c r="M578" s="2"/>
      <c r="N578" s="2"/>
      <c r="O578" s="2"/>
      <c r="P578" s="2"/>
      <c r="Q578" s="2"/>
      <c r="R578" s="2"/>
      <c r="S578" s="2"/>
      <c r="T578" s="2"/>
      <c r="U578" s="3"/>
      <c r="V578" s="2"/>
      <c r="W578" s="2"/>
      <c r="X578" s="2"/>
      <c r="Y578" s="2"/>
      <c r="Z578" s="2"/>
      <c r="AA578" s="2"/>
      <c r="AB578" s="2"/>
      <c r="AC578" s="2"/>
    </row>
    <row r="579" spans="1:29" ht="20.100000000000001" customHeight="1">
      <c r="A579" s="2" t="s">
        <v>2183</v>
      </c>
      <c r="B579" s="2"/>
      <c r="C579" s="2" t="str">
        <f>sheet1[[#This Row],[Nombre]]&amp;sheet1[[#This Row],[Bp Id]]</f>
        <v>Pichincha Celular</v>
      </c>
      <c r="D579" s="2" t="str">
        <f>VLOOKUP(sheet1[[#This Row],[Columna1]],sheet13[[Columna1]:[Estado]],4,FALSE)</f>
        <v>No operativo</v>
      </c>
      <c r="E579" s="2"/>
      <c r="F579" s="2" t="s">
        <v>1788</v>
      </c>
      <c r="G579" s="2" t="s">
        <v>48</v>
      </c>
      <c r="H579" s="2" t="s">
        <v>34</v>
      </c>
      <c r="I579" s="2" t="s">
        <v>35</v>
      </c>
      <c r="J579" s="2" t="s">
        <v>349</v>
      </c>
      <c r="K579" s="2"/>
      <c r="L579" s="2"/>
      <c r="M579" s="2"/>
      <c r="N579" s="2"/>
      <c r="O579" s="2"/>
      <c r="P579" s="2"/>
      <c r="Q579" s="2"/>
      <c r="R579" s="2"/>
      <c r="S579" s="2"/>
      <c r="T579" s="2"/>
      <c r="U579" s="3"/>
      <c r="V579" s="2"/>
      <c r="W579" s="2"/>
      <c r="X579" s="2"/>
      <c r="Y579" s="2"/>
      <c r="Z579" s="2"/>
      <c r="AA579" s="2"/>
      <c r="AB579" s="2"/>
      <c r="AC579" s="2"/>
    </row>
    <row r="580" spans="1:29" ht="20.100000000000001" customHeight="1">
      <c r="A580" s="2" t="s">
        <v>2184</v>
      </c>
      <c r="B580" s="2"/>
      <c r="C580" s="2" t="str">
        <f>sheet1[[#This Row],[Nombre]]&amp;sheet1[[#This Row],[Bp Id]]</f>
        <v>Marketing Digital</v>
      </c>
      <c r="D580" s="2" t="str">
        <f>VLOOKUP(sheet1[[#This Row],[Columna1]],sheet13[[Columna1]:[Estado]],4,FALSE)</f>
        <v>Retirado</v>
      </c>
      <c r="E580" s="2"/>
      <c r="F580" s="2" t="s">
        <v>47</v>
      </c>
      <c r="G580" s="2" t="s">
        <v>48</v>
      </c>
      <c r="H580" s="2" t="s">
        <v>34</v>
      </c>
      <c r="I580" s="2" t="s">
        <v>134</v>
      </c>
      <c r="J580" s="2" t="s">
        <v>88</v>
      </c>
      <c r="K580" s="2"/>
      <c r="L580" s="2"/>
      <c r="M580" s="2"/>
      <c r="N580" s="2"/>
      <c r="O580" s="2"/>
      <c r="P580" s="2"/>
      <c r="Q580" s="2"/>
      <c r="R580" s="2"/>
      <c r="S580" s="2"/>
      <c r="T580" s="2"/>
      <c r="U580" s="3"/>
      <c r="V580" s="2"/>
      <c r="W580" s="2"/>
      <c r="X580" s="2"/>
      <c r="Y580" s="2"/>
      <c r="Z580" s="2"/>
      <c r="AA580" s="2"/>
      <c r="AB580" s="2"/>
      <c r="AC580" s="2"/>
    </row>
    <row r="581" spans="1:29" ht="20.100000000000001" customHeight="1">
      <c r="A581" s="2" t="s">
        <v>2185</v>
      </c>
      <c r="B581" s="2" t="s">
        <v>2186</v>
      </c>
      <c r="C581" s="2" t="str">
        <f>sheet1[[#This Row],[Nombre]]&amp;sheet1[[#This Row],[Bp Id]]</f>
        <v>Identity BPITM0152</v>
      </c>
      <c r="D581" s="2" t="e">
        <f>VLOOKUP(sheet1[[#This Row],[Columna1]],sheet13[[Columna1]:[Estado]],4,FALSE)</f>
        <v>#N/A</v>
      </c>
      <c r="E581" s="2"/>
      <c r="F581" s="2" t="s">
        <v>32</v>
      </c>
      <c r="G581" s="2" t="s">
        <v>33</v>
      </c>
      <c r="H581" s="2" t="s">
        <v>59</v>
      </c>
      <c r="I581" s="2" t="s">
        <v>258</v>
      </c>
      <c r="J581" s="2" t="s">
        <v>259</v>
      </c>
      <c r="K581" s="2" t="s">
        <v>261</v>
      </c>
      <c r="L581" s="2" t="s">
        <v>261</v>
      </c>
      <c r="M581" s="2"/>
      <c r="N581" s="2"/>
      <c r="O581" s="2"/>
      <c r="P581" s="2"/>
      <c r="Q581" s="2"/>
      <c r="R581" s="2"/>
      <c r="S581" s="2"/>
      <c r="T581" s="2"/>
      <c r="U581" s="3"/>
      <c r="V581" s="2"/>
      <c r="W581" s="2"/>
      <c r="X581" s="2"/>
      <c r="Y581" s="2"/>
      <c r="Z581" s="2"/>
      <c r="AA581" s="2"/>
      <c r="AB581" s="2"/>
      <c r="AC581" s="2"/>
    </row>
    <row r="582" spans="1:29" ht="20.100000000000001" customHeight="1">
      <c r="A582" s="2" t="s">
        <v>2187</v>
      </c>
      <c r="B582" s="2" t="s">
        <v>2188</v>
      </c>
      <c r="C582" s="2" t="str">
        <f>sheet1[[#This Row],[Nombre]]&amp;sheet1[[#This Row],[Bp Id]]</f>
        <v>WindsurfITM0134</v>
      </c>
      <c r="D582" s="2" t="str">
        <f>VLOOKUP(sheet1[[#This Row],[Columna1]],sheet13[[Columna1]:[Estado]],4,FALSE)</f>
        <v>Operativo</v>
      </c>
      <c r="E582" s="2"/>
      <c r="F582" s="2" t="s">
        <v>32</v>
      </c>
      <c r="G582" s="2" t="s">
        <v>48</v>
      </c>
      <c r="H582" s="2" t="s">
        <v>59</v>
      </c>
      <c r="I582" s="2" t="s">
        <v>198</v>
      </c>
      <c r="J582" s="2" t="s">
        <v>240</v>
      </c>
      <c r="K582" s="2" t="s">
        <v>433</v>
      </c>
      <c r="L582" s="2" t="s">
        <v>901</v>
      </c>
      <c r="M582" s="2"/>
      <c r="N582" s="2"/>
      <c r="O582" s="2"/>
      <c r="P582" s="2"/>
      <c r="Q582" s="2"/>
      <c r="R582" s="2"/>
      <c r="S582" s="2"/>
      <c r="T582" s="2"/>
      <c r="U582" s="3"/>
      <c r="V582" s="2"/>
      <c r="W582" s="2"/>
      <c r="X582" s="2"/>
      <c r="Y582" s="2"/>
      <c r="Z582" s="2"/>
      <c r="AA582" s="2"/>
      <c r="AB582" s="2"/>
      <c r="AC582" s="2"/>
    </row>
    <row r="583" spans="1:29" ht="20.100000000000001" customHeight="1">
      <c r="A583" s="2" t="s">
        <v>2189</v>
      </c>
      <c r="B583" s="2" t="s">
        <v>2190</v>
      </c>
      <c r="C583" s="2" t="str">
        <f>sheet1[[#This Row],[Nombre]]&amp;sheet1[[#This Row],[Bp Id]]</f>
        <v>HyperionSUP0028</v>
      </c>
      <c r="D583" s="2" t="str">
        <f>VLOOKUP(sheet1[[#This Row],[Columna1]],sheet13[[Columna1]:[Estado]],4,FALSE)</f>
        <v>Retirado</v>
      </c>
      <c r="E583" s="2"/>
      <c r="F583" s="2" t="s">
        <v>47</v>
      </c>
      <c r="G583" s="2" t="s">
        <v>123</v>
      </c>
      <c r="H583" s="2" t="s">
        <v>34</v>
      </c>
      <c r="I583" s="2" t="s">
        <v>225</v>
      </c>
      <c r="J583" s="2" t="s">
        <v>226</v>
      </c>
      <c r="K583" s="2" t="s">
        <v>277</v>
      </c>
      <c r="L583" s="2" t="s">
        <v>1763</v>
      </c>
      <c r="M583" s="2"/>
      <c r="N583" s="2"/>
      <c r="O583" s="2"/>
      <c r="P583" s="2"/>
      <c r="Q583" s="2"/>
      <c r="R583" s="2"/>
      <c r="S583" s="2"/>
      <c r="T583" s="2"/>
      <c r="U583" s="3"/>
      <c r="V583" s="2"/>
      <c r="W583" s="2"/>
      <c r="X583" s="2"/>
      <c r="Y583" s="2"/>
      <c r="Z583" s="2"/>
      <c r="AA583" s="2"/>
      <c r="AB583" s="2"/>
      <c r="AC583" s="2"/>
    </row>
    <row r="584" spans="1:29" ht="20.100000000000001" customHeight="1">
      <c r="A584" s="2" t="s">
        <v>2191</v>
      </c>
      <c r="B584" s="2" t="s">
        <v>2192</v>
      </c>
      <c r="C584" s="2" t="str">
        <f>sheet1[[#This Row],[Nombre]]&amp;sheet1[[#This Row],[Bp Id]]</f>
        <v>Elastic Container RegistryITM0136</v>
      </c>
      <c r="D584" s="2" t="str">
        <f>VLOOKUP(sheet1[[#This Row],[Columna1]],sheet13[[Columna1]:[Estado]],4,FALSE)</f>
        <v>Operativo</v>
      </c>
      <c r="E584" s="2"/>
      <c r="F584" s="2" t="s">
        <v>32</v>
      </c>
      <c r="G584" s="2" t="s">
        <v>48</v>
      </c>
      <c r="H584" s="2" t="s">
        <v>59</v>
      </c>
      <c r="I584" s="2" t="s">
        <v>198</v>
      </c>
      <c r="J584" s="2" t="s">
        <v>199</v>
      </c>
      <c r="K584" s="2" t="s">
        <v>521</v>
      </c>
      <c r="L584" s="2" t="s">
        <v>241</v>
      </c>
      <c r="M584" s="2"/>
      <c r="N584" s="2"/>
      <c r="O584" s="2"/>
      <c r="P584" s="2"/>
      <c r="Q584" s="2"/>
      <c r="R584" s="2"/>
      <c r="S584" s="2"/>
      <c r="T584" s="2"/>
      <c r="U584" s="3"/>
      <c r="V584" s="2"/>
      <c r="W584" s="2"/>
      <c r="X584" s="2"/>
      <c r="Y584" s="2"/>
      <c r="Z584" s="2"/>
      <c r="AA584" s="2"/>
      <c r="AB584" s="2"/>
      <c r="AC584" s="2"/>
    </row>
    <row r="585" spans="1:29" ht="20.100000000000001" customHeight="1">
      <c r="A585" s="2" t="s">
        <v>2193</v>
      </c>
      <c r="B585" s="2" t="s">
        <v>2194</v>
      </c>
      <c r="C585" s="2" t="str">
        <f>sheet1[[#This Row],[Nombre]]&amp;sheet1[[#This Row],[Bp Id]]</f>
        <v>Portal autogestión UACSUP0068</v>
      </c>
      <c r="D585" s="2" t="str">
        <f>VLOOKUP(sheet1[[#This Row],[Columna1]],sheet13[[Columna1]:[Estado]],4,FALSE)</f>
        <v>Operativo</v>
      </c>
      <c r="E585" s="2"/>
      <c r="F585" s="2" t="s">
        <v>32</v>
      </c>
      <c r="G585" s="2" t="s">
        <v>48</v>
      </c>
      <c r="H585" s="2" t="s">
        <v>34</v>
      </c>
      <c r="I585" s="2" t="s">
        <v>225</v>
      </c>
      <c r="J585" s="2" t="s">
        <v>226</v>
      </c>
      <c r="K585" s="2" t="s">
        <v>1779</v>
      </c>
      <c r="L585" s="2" t="s">
        <v>228</v>
      </c>
      <c r="M585" s="2"/>
      <c r="N585" s="2"/>
      <c r="O585" s="2"/>
      <c r="P585" s="2"/>
      <c r="Q585" s="2"/>
      <c r="R585" s="2"/>
      <c r="S585" s="2"/>
      <c r="T585" s="2"/>
      <c r="U585" s="3"/>
      <c r="V585" s="2"/>
      <c r="W585" s="2"/>
      <c r="X585" s="2"/>
      <c r="Y585" s="2"/>
      <c r="Z585" s="2"/>
      <c r="AA585" s="2"/>
      <c r="AB585" s="2"/>
      <c r="AC585" s="2"/>
    </row>
    <row r="586" spans="1:29" ht="20.100000000000001" customHeight="1">
      <c r="A586" s="2" t="s">
        <v>2195</v>
      </c>
      <c r="B586" s="2" t="s">
        <v>2196</v>
      </c>
      <c r="C586" s="2" t="str">
        <f>sheet1[[#This Row],[Nombre]]&amp;sheet1[[#This Row],[Bp Id]]</f>
        <v>BloombergITM0129</v>
      </c>
      <c r="D586" s="2" t="str">
        <f>VLOOKUP(sheet1[[#This Row],[Columna1]],sheet13[[Columna1]:[Estado]],4,FALSE)</f>
        <v>Operativo</v>
      </c>
      <c r="E586" s="2"/>
      <c r="F586" s="2" t="s">
        <v>32</v>
      </c>
      <c r="G586" s="2" t="s">
        <v>48</v>
      </c>
      <c r="H586" s="2" t="s">
        <v>140</v>
      </c>
      <c r="I586" s="2" t="s">
        <v>225</v>
      </c>
      <c r="J586" s="2" t="s">
        <v>226</v>
      </c>
      <c r="K586" s="2" t="s">
        <v>617</v>
      </c>
      <c r="L586" s="2" t="s">
        <v>304</v>
      </c>
      <c r="M586" s="2"/>
      <c r="N586" s="2"/>
      <c r="O586" s="2"/>
      <c r="P586" s="2"/>
      <c r="Q586" s="2"/>
      <c r="R586" s="2"/>
      <c r="S586" s="2"/>
      <c r="T586" s="2"/>
      <c r="U586" s="3"/>
      <c r="V586" s="2"/>
      <c r="W586" s="2"/>
      <c r="X586" s="2"/>
      <c r="Y586" s="2"/>
      <c r="Z586" s="2"/>
      <c r="AA586" s="2"/>
      <c r="AB586" s="2"/>
      <c r="AC586" s="2"/>
    </row>
    <row r="587" spans="1:29" ht="20.100000000000001" customHeight="1">
      <c r="A587" s="2" t="s">
        <v>2197</v>
      </c>
      <c r="B587" s="2" t="s">
        <v>2198</v>
      </c>
      <c r="C587" s="2" t="str">
        <f>sheet1[[#This Row],[Nombre]]&amp;sheet1[[#This Row],[Bp Id]]</f>
        <v>Editor SwiftPRD0038</v>
      </c>
      <c r="D587" s="2" t="str">
        <f>VLOOKUP(sheet1[[#This Row],[Columna1]],sheet13[[Columna1]:[Estado]],4,FALSE)</f>
        <v>Retirado</v>
      </c>
      <c r="E587" s="2"/>
      <c r="F587" s="2" t="s">
        <v>47</v>
      </c>
      <c r="G587" s="2" t="s">
        <v>48</v>
      </c>
      <c r="H587" s="2" t="s">
        <v>34</v>
      </c>
      <c r="I587" s="2" t="s">
        <v>921</v>
      </c>
      <c r="J587" s="2" t="s">
        <v>240</v>
      </c>
      <c r="K587" s="2" t="s">
        <v>1346</v>
      </c>
      <c r="L587" s="2" t="s">
        <v>634</v>
      </c>
      <c r="M587" s="2"/>
      <c r="N587" s="2"/>
      <c r="O587" s="2"/>
      <c r="P587" s="2"/>
      <c r="Q587" s="2"/>
      <c r="R587" s="2"/>
      <c r="S587" s="2"/>
      <c r="T587" s="2"/>
      <c r="U587" s="3"/>
      <c r="V587" s="2"/>
      <c r="W587" s="2"/>
      <c r="X587" s="2"/>
      <c r="Y587" s="2"/>
      <c r="Z587" s="2"/>
      <c r="AA587" s="2"/>
      <c r="AB587" s="2"/>
      <c r="AC587" s="2"/>
    </row>
    <row r="588" spans="1:29" ht="20.100000000000001" customHeight="1">
      <c r="A588" s="2" t="s">
        <v>2199</v>
      </c>
      <c r="B588" s="2" t="s">
        <v>2200</v>
      </c>
      <c r="C588" s="2" t="str">
        <f>sheet1[[#This Row],[Nombre]]&amp;sheet1[[#This Row],[Bp Id]]</f>
        <v>Reportes BanktradePRD0027</v>
      </c>
      <c r="D588" s="2" t="str">
        <f>VLOOKUP(sheet1[[#This Row],[Columna1]],sheet13[[Columna1]:[Estado]],4,FALSE)</f>
        <v>Retirado</v>
      </c>
      <c r="E588" s="2"/>
      <c r="F588" s="2" t="s">
        <v>47</v>
      </c>
      <c r="G588" s="2" t="s">
        <v>76</v>
      </c>
      <c r="H588" s="2" t="s">
        <v>34</v>
      </c>
      <c r="I588" s="2" t="s">
        <v>553</v>
      </c>
      <c r="J588" s="2" t="s">
        <v>554</v>
      </c>
      <c r="K588" s="2"/>
      <c r="L588" s="2" t="s">
        <v>2201</v>
      </c>
      <c r="M588" s="2"/>
      <c r="N588" s="2"/>
      <c r="O588" s="2"/>
      <c r="P588" s="2"/>
      <c r="Q588" s="2"/>
      <c r="R588" s="2"/>
      <c r="S588" s="2"/>
      <c r="T588" s="2"/>
      <c r="U588" s="3"/>
      <c r="V588" s="2"/>
      <c r="W588" s="2"/>
      <c r="X588" s="2"/>
      <c r="Y588" s="2"/>
      <c r="Z588" s="2"/>
      <c r="AA588" s="2"/>
      <c r="AB588" s="2"/>
      <c r="AC588" s="2"/>
    </row>
    <row r="589" spans="1:29" ht="20.100000000000001" customHeight="1">
      <c r="A589" s="2" t="s">
        <v>2202</v>
      </c>
      <c r="B589" s="2" t="s">
        <v>2203</v>
      </c>
      <c r="C589" s="2" t="str">
        <f>sheet1[[#This Row],[Nombre]]&amp;sheet1[[#This Row],[Bp Id]]</f>
        <v>WebATMCHL0031</v>
      </c>
      <c r="D589" s="2" t="str">
        <f>VLOOKUP(sheet1[[#This Row],[Columna1]],sheet13[[Columna1]:[Estado]],4,FALSE)</f>
        <v>Retirado</v>
      </c>
      <c r="E589" s="2"/>
      <c r="F589" s="2" t="s">
        <v>47</v>
      </c>
      <c r="G589" s="2" t="s">
        <v>48</v>
      </c>
      <c r="H589" s="2" t="s">
        <v>34</v>
      </c>
      <c r="I589" s="2" t="s">
        <v>35</v>
      </c>
      <c r="J589" s="2" t="s">
        <v>349</v>
      </c>
      <c r="K589" s="2" t="s">
        <v>234</v>
      </c>
      <c r="L589" s="2" t="s">
        <v>1326</v>
      </c>
      <c r="M589" s="2"/>
      <c r="N589" s="2"/>
      <c r="O589" s="2"/>
      <c r="P589" s="2"/>
      <c r="Q589" s="2"/>
      <c r="R589" s="2"/>
      <c r="S589" s="2"/>
      <c r="T589" s="2"/>
      <c r="U589" s="3"/>
      <c r="V589" s="2"/>
      <c r="W589" s="2"/>
      <c r="X589" s="2"/>
      <c r="Y589" s="2"/>
      <c r="Z589" s="2"/>
      <c r="AA589" s="2"/>
      <c r="AB589" s="2"/>
      <c r="AC589" s="2"/>
    </row>
    <row r="590" spans="1:29" ht="20.100000000000001" customHeight="1">
      <c r="A590" s="2" t="s">
        <v>2204</v>
      </c>
      <c r="B590" s="2" t="s">
        <v>2205</v>
      </c>
      <c r="C590" s="2" t="str">
        <f>sheet1[[#This Row],[Nombre]]&amp;sheet1[[#This Row],[Bp Id]]</f>
        <v>NNMIITM0042</v>
      </c>
      <c r="D590" s="2" t="str">
        <f>VLOOKUP(sheet1[[#This Row],[Columna1]],sheet13[[Columna1]:[Estado]],4,FALSE)</f>
        <v>Retirado</v>
      </c>
      <c r="E590" s="2"/>
      <c r="F590" s="2" t="s">
        <v>47</v>
      </c>
      <c r="G590" s="2" t="s">
        <v>58</v>
      </c>
      <c r="H590" s="2" t="s">
        <v>34</v>
      </c>
      <c r="I590" s="2" t="s">
        <v>68</v>
      </c>
      <c r="J590" s="2" t="s">
        <v>236</v>
      </c>
      <c r="K590" s="2" t="s">
        <v>516</v>
      </c>
      <c r="L590" s="2" t="s">
        <v>2206</v>
      </c>
      <c r="M590" s="2"/>
      <c r="N590" s="2"/>
      <c r="O590" s="2"/>
      <c r="P590" s="2"/>
      <c r="Q590" s="2"/>
      <c r="R590" s="2"/>
      <c r="S590" s="2"/>
      <c r="T590" s="2"/>
      <c r="U590" s="3"/>
      <c r="V590" s="2"/>
      <c r="W590" s="2"/>
      <c r="X590" s="2"/>
      <c r="Y590" s="2"/>
      <c r="Z590" s="2"/>
      <c r="AA590" s="2"/>
      <c r="AB590" s="2"/>
      <c r="AC590" s="2"/>
    </row>
    <row r="591" spans="1:29" ht="20.100000000000001" customHeight="1">
      <c r="A591" s="2" t="s">
        <v>2207</v>
      </c>
      <c r="B591" s="2" t="s">
        <v>2208</v>
      </c>
      <c r="C591" s="2" t="str">
        <f>sheet1[[#This Row],[Nombre]]&amp;sheet1[[#This Row],[Bp Id]]</f>
        <v>Administración de Bienes y ServiciosSUP0002</v>
      </c>
      <c r="D591" s="2" t="str">
        <f>VLOOKUP(sheet1[[#This Row],[Columna1]],sheet13[[Columna1]:[Estado]],4,FALSE)</f>
        <v>Retirado</v>
      </c>
      <c r="E591" s="2"/>
      <c r="F591" s="2" t="s">
        <v>47</v>
      </c>
      <c r="G591" s="2" t="s">
        <v>48</v>
      </c>
      <c r="H591" s="2" t="s">
        <v>34</v>
      </c>
      <c r="I591" s="2" t="s">
        <v>225</v>
      </c>
      <c r="J591" s="2" t="s">
        <v>226</v>
      </c>
      <c r="K591" s="2"/>
      <c r="L591" s="2"/>
      <c r="M591" s="2"/>
      <c r="N591" s="2"/>
      <c r="O591" s="2"/>
      <c r="P591" s="2"/>
      <c r="Q591" s="2"/>
      <c r="R591" s="2"/>
      <c r="S591" s="2"/>
      <c r="T591" s="2"/>
      <c r="U591" s="3"/>
      <c r="V591" s="2"/>
      <c r="W591" s="2"/>
      <c r="X591" s="2"/>
      <c r="Y591" s="2"/>
      <c r="Z591" s="2"/>
      <c r="AA591" s="2"/>
      <c r="AB591" s="2"/>
      <c r="AC591" s="2"/>
    </row>
    <row r="592" spans="1:29" ht="20.100000000000001" customHeight="1">
      <c r="A592" s="2" t="s">
        <v>2209</v>
      </c>
      <c r="B592" s="2" t="s">
        <v>2210</v>
      </c>
      <c r="C592" s="2" t="str">
        <f>sheet1[[#This Row],[Nombre]]&amp;sheet1[[#This Row],[Bp Id]]</f>
        <v>Administración de CustodiaSUP0003</v>
      </c>
      <c r="D592" s="2" t="str">
        <f>VLOOKUP(sheet1[[#This Row],[Columna1]],sheet13[[Columna1]:[Estado]],4,FALSE)</f>
        <v>Retirado</v>
      </c>
      <c r="E592" s="2"/>
      <c r="F592" s="2" t="s">
        <v>47</v>
      </c>
      <c r="G592" s="2" t="s">
        <v>48</v>
      </c>
      <c r="H592" s="2" t="s">
        <v>34</v>
      </c>
      <c r="I592" s="2" t="s">
        <v>225</v>
      </c>
      <c r="J592" s="2" t="s">
        <v>226</v>
      </c>
      <c r="K592" s="2"/>
      <c r="L592" s="2" t="s">
        <v>1763</v>
      </c>
      <c r="M592" s="2"/>
      <c r="N592" s="2"/>
      <c r="O592" s="2"/>
      <c r="P592" s="2"/>
      <c r="Q592" s="2"/>
      <c r="R592" s="2"/>
      <c r="S592" s="2"/>
      <c r="T592" s="2"/>
      <c r="U592" s="3"/>
      <c r="V592" s="2"/>
      <c r="W592" s="2"/>
      <c r="X592" s="2"/>
      <c r="Y592" s="2"/>
      <c r="Z592" s="2"/>
      <c r="AA592" s="2"/>
      <c r="AB592" s="2"/>
      <c r="AC592" s="2"/>
    </row>
    <row r="593" spans="1:29" ht="20.100000000000001" customHeight="1">
      <c r="A593" s="2" t="s">
        <v>2211</v>
      </c>
      <c r="B593" s="2" t="s">
        <v>2212</v>
      </c>
      <c r="C593" s="2" t="str">
        <f>sheet1[[#This Row],[Nombre]]&amp;sheet1[[#This Row],[Bp Id]]</f>
        <v>Solución de Gestión de Certificados DigitalesSEC0097</v>
      </c>
      <c r="D593" s="2" t="str">
        <f>VLOOKUP(sheet1[[#This Row],[Columna1]],sheet13[[Columna1]:[Estado]],4,FALSE)</f>
        <v>Operativo</v>
      </c>
      <c r="E593" s="2"/>
      <c r="F593" s="2" t="s">
        <v>32</v>
      </c>
      <c r="G593" s="2" t="s">
        <v>48</v>
      </c>
      <c r="H593" s="2" t="s">
        <v>59</v>
      </c>
      <c r="I593" s="2" t="s">
        <v>107</v>
      </c>
      <c r="J593" s="2" t="s">
        <v>185</v>
      </c>
      <c r="K593" s="2" t="s">
        <v>176</v>
      </c>
      <c r="L593" s="2" t="s">
        <v>214</v>
      </c>
      <c r="M593" s="2"/>
      <c r="N593" s="2"/>
      <c r="O593" s="2"/>
      <c r="P593" s="2"/>
      <c r="Q593" s="2"/>
      <c r="R593" s="2"/>
      <c r="S593" s="2"/>
      <c r="T593" s="2"/>
      <c r="U593" s="3"/>
      <c r="V593" s="2"/>
      <c r="W593" s="2"/>
      <c r="X593" s="2"/>
      <c r="Y593" s="2"/>
      <c r="Z593" s="2"/>
      <c r="AA593" s="2"/>
      <c r="AB593" s="2"/>
      <c r="AC593" s="2"/>
    </row>
    <row r="594" spans="1:29" ht="20.100000000000001" customHeight="1">
      <c r="A594" s="2" t="s">
        <v>2213</v>
      </c>
      <c r="B594" s="2" t="s">
        <v>2214</v>
      </c>
      <c r="C594" s="2" t="str">
        <f>sheet1[[#This Row],[Nombre]]&amp;sheet1[[#This Row],[Bp Id]]</f>
        <v>AutoGestionWebPRD0045</v>
      </c>
      <c r="D594" s="2" t="str">
        <f>VLOOKUP(sheet1[[#This Row],[Columna1]],sheet13[[Columna1]:[Estado]],4,FALSE)</f>
        <v>Retirado</v>
      </c>
      <c r="E594" s="2"/>
      <c r="F594" s="2" t="s">
        <v>47</v>
      </c>
      <c r="G594" s="2" t="s">
        <v>48</v>
      </c>
      <c r="H594" s="2" t="s">
        <v>34</v>
      </c>
      <c r="I594" s="2" t="s">
        <v>1086</v>
      </c>
      <c r="J594" s="2" t="s">
        <v>96</v>
      </c>
      <c r="K594" s="2"/>
      <c r="L594" s="2" t="s">
        <v>98</v>
      </c>
      <c r="M594" s="2"/>
      <c r="N594" s="2"/>
      <c r="O594" s="2"/>
      <c r="P594" s="2"/>
      <c r="Q594" s="2"/>
      <c r="R594" s="2"/>
      <c r="S594" s="2"/>
      <c r="T594" s="2"/>
      <c r="U594" s="3"/>
      <c r="V594" s="2"/>
      <c r="W594" s="2"/>
      <c r="X594" s="2"/>
      <c r="Y594" s="2"/>
      <c r="Z594" s="2"/>
      <c r="AA594" s="2"/>
      <c r="AB594" s="2"/>
      <c r="AC594" s="2"/>
    </row>
    <row r="595" spans="1:29" ht="20.100000000000001" customHeight="1">
      <c r="A595" s="2" t="s">
        <v>2215</v>
      </c>
      <c r="B595" s="2" t="s">
        <v>2216</v>
      </c>
      <c r="C595" s="2" t="str">
        <f>sheet1[[#This Row],[Nombre]]&amp;sheet1[[#This Row],[Bp Id]]</f>
        <v>Almacenamiento NetApp - TieBreakerITM0108</v>
      </c>
      <c r="D595" s="2" t="str">
        <f>VLOOKUP(sheet1[[#This Row],[Columna1]],sheet13[[Columna1]:[Estado]],4,FALSE)</f>
        <v>Operativo</v>
      </c>
      <c r="E595" s="2"/>
      <c r="F595" s="2" t="s">
        <v>32</v>
      </c>
      <c r="G595" s="2" t="s">
        <v>48</v>
      </c>
      <c r="H595" s="2" t="s">
        <v>34</v>
      </c>
      <c r="I595" s="2" t="s">
        <v>68</v>
      </c>
      <c r="J595" s="2" t="s">
        <v>69</v>
      </c>
      <c r="K595" s="2" t="s">
        <v>70</v>
      </c>
      <c r="L595" s="2" t="s">
        <v>1929</v>
      </c>
      <c r="M595" s="2"/>
      <c r="N595" s="2"/>
      <c r="O595" s="2"/>
      <c r="P595" s="2"/>
      <c r="Q595" s="2"/>
      <c r="R595" s="2"/>
      <c r="S595" s="2"/>
      <c r="T595" s="2"/>
      <c r="U595" s="3"/>
      <c r="V595" s="2"/>
      <c r="W595" s="2"/>
      <c r="X595" s="2"/>
      <c r="Y595" s="2"/>
      <c r="Z595" s="2"/>
      <c r="AA595" s="2"/>
      <c r="AB595" s="2"/>
      <c r="AC595" s="2"/>
    </row>
    <row r="596" spans="1:29" ht="20.100000000000001" customHeight="1">
      <c r="A596" s="2" t="s">
        <v>2217</v>
      </c>
      <c r="B596" s="2" t="s">
        <v>2218</v>
      </c>
      <c r="C596" s="2" t="str">
        <f>sheet1[[#This Row],[Nombre]]&amp;sheet1[[#This Row],[Bp Id]]</f>
        <v>FoglightITM0020</v>
      </c>
      <c r="D596" s="2" t="str">
        <f>VLOOKUP(sheet1[[#This Row],[Columna1]],sheet13[[Columna1]:[Estado]],4,FALSE)</f>
        <v>Retirado</v>
      </c>
      <c r="E596" s="2"/>
      <c r="F596" s="2" t="s">
        <v>47</v>
      </c>
      <c r="G596" s="2" t="s">
        <v>48</v>
      </c>
      <c r="H596" s="2" t="s">
        <v>34</v>
      </c>
      <c r="I596" s="2" t="s">
        <v>68</v>
      </c>
      <c r="J596" s="2" t="s">
        <v>236</v>
      </c>
      <c r="K596" s="2"/>
      <c r="L596" s="2" t="s">
        <v>2219</v>
      </c>
      <c r="M596" s="2"/>
      <c r="N596" s="2"/>
      <c r="O596" s="2"/>
      <c r="P596" s="2"/>
      <c r="Q596" s="2"/>
      <c r="R596" s="2"/>
      <c r="S596" s="2"/>
      <c r="T596" s="2"/>
      <c r="U596" s="3"/>
      <c r="V596" s="2"/>
      <c r="W596" s="2"/>
      <c r="X596" s="2"/>
      <c r="Y596" s="2"/>
      <c r="Z596" s="2"/>
      <c r="AA596" s="2"/>
      <c r="AB596" s="2"/>
      <c r="AC596" s="2"/>
    </row>
    <row r="597" spans="1:29" ht="20.100000000000001" customHeight="1">
      <c r="A597" s="2" t="s">
        <v>2220</v>
      </c>
      <c r="B597" s="2" t="s">
        <v>2221</v>
      </c>
      <c r="C597" s="2" t="str">
        <f>sheet1[[#This Row],[Nombre]]&amp;sheet1[[#This Row],[Bp Id]]</f>
        <v>IBM RTCITM0033</v>
      </c>
      <c r="D597" s="2" t="str">
        <f>VLOOKUP(sheet1[[#This Row],[Columna1]],sheet13[[Columna1]:[Estado]],4,FALSE)</f>
        <v>Retirado</v>
      </c>
      <c r="E597" s="2"/>
      <c r="F597" s="2" t="s">
        <v>47</v>
      </c>
      <c r="G597" s="2" t="s">
        <v>48</v>
      </c>
      <c r="H597" s="2" t="s">
        <v>34</v>
      </c>
      <c r="I597" s="2" t="s">
        <v>198</v>
      </c>
      <c r="J597" s="2" t="s">
        <v>199</v>
      </c>
      <c r="K597" s="2" t="s">
        <v>199</v>
      </c>
      <c r="L597" s="2" t="s">
        <v>199</v>
      </c>
      <c r="M597" s="2"/>
      <c r="N597" s="2"/>
      <c r="O597" s="2"/>
      <c r="P597" s="2"/>
      <c r="Q597" s="2"/>
      <c r="R597" s="2"/>
      <c r="S597" s="2"/>
      <c r="T597" s="2"/>
      <c r="U597" s="3"/>
      <c r="V597" s="2"/>
      <c r="W597" s="2"/>
      <c r="X597" s="2"/>
      <c r="Y597" s="2"/>
      <c r="Z597" s="2"/>
      <c r="AA597" s="2"/>
      <c r="AB597" s="2"/>
      <c r="AC597" s="2"/>
    </row>
    <row r="598" spans="1:29" ht="20.100000000000001" customHeight="1">
      <c r="A598" s="2" t="s">
        <v>2222</v>
      </c>
      <c r="B598" s="2" t="s">
        <v>2223</v>
      </c>
      <c r="C598" s="2" t="str">
        <f>sheet1[[#This Row],[Nombre]]&amp;sheet1[[#This Row],[Bp Id]]</f>
        <v>BanktradePRD0004</v>
      </c>
      <c r="D598" s="2" t="str">
        <f>VLOOKUP(sheet1[[#This Row],[Columna1]],sheet13[[Columna1]:[Estado]],4,FALSE)</f>
        <v>Retirado</v>
      </c>
      <c r="E598" s="2"/>
      <c r="F598" s="2" t="s">
        <v>47</v>
      </c>
      <c r="G598" s="2" t="s">
        <v>76</v>
      </c>
      <c r="H598" s="2" t="s">
        <v>34</v>
      </c>
      <c r="I598" s="2" t="s">
        <v>553</v>
      </c>
      <c r="J598" s="2" t="s">
        <v>554</v>
      </c>
      <c r="K598" s="2"/>
      <c r="L598" s="2" t="s">
        <v>2201</v>
      </c>
      <c r="M598" s="2"/>
      <c r="N598" s="2"/>
      <c r="O598" s="2"/>
      <c r="P598" s="2"/>
      <c r="Q598" s="2"/>
      <c r="R598" s="2"/>
      <c r="S598" s="2"/>
      <c r="T598" s="2"/>
      <c r="U598" s="3"/>
      <c r="V598" s="2"/>
      <c r="W598" s="2"/>
      <c r="X598" s="2"/>
      <c r="Y598" s="2"/>
      <c r="Z598" s="2"/>
      <c r="AA598" s="2"/>
      <c r="AB598" s="2"/>
      <c r="AC598" s="2"/>
    </row>
    <row r="599" spans="1:29" ht="20.100000000000001" customHeight="1">
      <c r="A599" s="2" t="s">
        <v>2224</v>
      </c>
      <c r="B599" s="2" t="s">
        <v>2225</v>
      </c>
      <c r="C599" s="2" t="str">
        <f>sheet1[[#This Row],[Nombre]]&amp;sheet1[[#This Row],[Bp Id]]</f>
        <v>Componentes IdentidadesSEC0095</v>
      </c>
      <c r="D599" s="2" t="str">
        <f>VLOOKUP(sheet1[[#This Row],[Columna1]],sheet13[[Columna1]:[Estado]],4,FALSE)</f>
        <v>Operativo</v>
      </c>
      <c r="E599" s="2"/>
      <c r="F599" s="2" t="s">
        <v>32</v>
      </c>
      <c r="G599" s="2" t="s">
        <v>48</v>
      </c>
      <c r="H599" s="2" t="s">
        <v>34</v>
      </c>
      <c r="I599" s="2" t="s">
        <v>107</v>
      </c>
      <c r="J599" s="2" t="s">
        <v>916</v>
      </c>
      <c r="K599" s="2" t="s">
        <v>916</v>
      </c>
      <c r="L599" s="2" t="s">
        <v>2226</v>
      </c>
      <c r="M599" s="2"/>
      <c r="N599" s="2"/>
      <c r="O599" s="2"/>
      <c r="P599" s="2"/>
      <c r="Q599" s="2"/>
      <c r="R599" s="2"/>
      <c r="S599" s="2"/>
      <c r="T599" s="2"/>
      <c r="U599" s="3"/>
      <c r="V599" s="2"/>
      <c r="W599" s="2"/>
      <c r="X599" s="2"/>
      <c r="Y599" s="2"/>
      <c r="Z599" s="2"/>
      <c r="AA599" s="2"/>
      <c r="AB599" s="2"/>
      <c r="AC599" s="2"/>
    </row>
    <row r="600" spans="1:29" ht="20.100000000000001" customHeight="1">
      <c r="A600" s="2" t="s">
        <v>2227</v>
      </c>
      <c r="B600" s="2" t="s">
        <v>2228</v>
      </c>
      <c r="C600" s="2" t="str">
        <f>sheet1[[#This Row],[Nombre]]&amp;sheet1[[#This Row],[Bp Id]]</f>
        <v>VMware Aria OperationsITM0082</v>
      </c>
      <c r="D600" s="2" t="str">
        <f>VLOOKUP(sheet1[[#This Row],[Columna1]],sheet13[[Columna1]:[Estado]],4,FALSE)</f>
        <v>Operativo</v>
      </c>
      <c r="E600" s="2"/>
      <c r="F600" s="2" t="s">
        <v>32</v>
      </c>
      <c r="G600" s="2" t="s">
        <v>48</v>
      </c>
      <c r="H600" s="2" t="s">
        <v>34</v>
      </c>
      <c r="I600" s="2" t="s">
        <v>68</v>
      </c>
      <c r="J600" s="2" t="s">
        <v>69</v>
      </c>
      <c r="K600" s="2" t="s">
        <v>82</v>
      </c>
      <c r="L600" s="2" t="s">
        <v>1715</v>
      </c>
      <c r="M600" s="2"/>
      <c r="N600" s="2"/>
      <c r="O600" s="2"/>
      <c r="P600" s="2"/>
      <c r="Q600" s="2"/>
      <c r="R600" s="2"/>
      <c r="S600" s="2"/>
      <c r="T600" s="2"/>
      <c r="U600" s="3"/>
      <c r="V600" s="2"/>
      <c r="W600" s="2"/>
      <c r="X600" s="2"/>
      <c r="Y600" s="2"/>
      <c r="Z600" s="2"/>
      <c r="AA600" s="2"/>
      <c r="AB600" s="2"/>
      <c r="AC600" s="2"/>
    </row>
    <row r="601" spans="1:29" ht="20.100000000000001" customHeight="1">
      <c r="A601" s="2" t="s">
        <v>2229</v>
      </c>
      <c r="B601" s="2" t="s">
        <v>2230</v>
      </c>
      <c r="C601" s="2" t="str">
        <f>sheet1[[#This Row],[Nombre]]&amp;sheet1[[#This Row],[Bp Id]]</f>
        <v>TwilioCUS0019</v>
      </c>
      <c r="D601" s="2" t="str">
        <f>VLOOKUP(sheet1[[#This Row],[Columna1]],sheet13[[Columna1]:[Estado]],4,FALSE)</f>
        <v>Operativo</v>
      </c>
      <c r="E601" s="2"/>
      <c r="F601" s="2" t="s">
        <v>32</v>
      </c>
      <c r="G601" s="2" t="s">
        <v>48</v>
      </c>
      <c r="H601" s="2" t="s">
        <v>59</v>
      </c>
      <c r="I601" s="2" t="s">
        <v>35</v>
      </c>
      <c r="J601" s="2" t="s">
        <v>36</v>
      </c>
      <c r="K601" s="2" t="s">
        <v>844</v>
      </c>
      <c r="L601" s="2" t="s">
        <v>36</v>
      </c>
      <c r="M601" s="2"/>
      <c r="N601" s="2"/>
      <c r="O601" s="2"/>
      <c r="P601" s="2"/>
      <c r="Q601" s="2"/>
      <c r="R601" s="2"/>
      <c r="S601" s="2"/>
      <c r="T601" s="2"/>
      <c r="U601" s="3"/>
      <c r="V601" s="2"/>
      <c r="W601" s="2"/>
      <c r="X601" s="2"/>
      <c r="Y601" s="2"/>
      <c r="Z601" s="2"/>
      <c r="AA601" s="2"/>
      <c r="AB601" s="2"/>
      <c r="AC601" s="2"/>
    </row>
    <row r="602" spans="1:29" ht="20.100000000000001" customHeight="1">
      <c r="A602" s="2" t="s">
        <v>2231</v>
      </c>
      <c r="B602" s="2" t="s">
        <v>2232</v>
      </c>
      <c r="C602" s="2" t="str">
        <f>sheet1[[#This Row],[Nombre]]&amp;sheet1[[#This Row],[Bp Id]]</f>
        <v>Componentes CiberdefensaSEC0091</v>
      </c>
      <c r="D602" s="2" t="str">
        <f>VLOOKUP(sheet1[[#This Row],[Columna1]],sheet13[[Columna1]:[Estado]],4,FALSE)</f>
        <v>Operativo</v>
      </c>
      <c r="E602" s="2"/>
      <c r="F602" s="2" t="s">
        <v>32</v>
      </c>
      <c r="G602" s="2" t="s">
        <v>48</v>
      </c>
      <c r="H602" s="2" t="s">
        <v>34</v>
      </c>
      <c r="I602" s="2" t="s">
        <v>107</v>
      </c>
      <c r="J602" s="2" t="s">
        <v>1022</v>
      </c>
      <c r="K602" s="2" t="s">
        <v>803</v>
      </c>
      <c r="L602" s="2" t="s">
        <v>1022</v>
      </c>
      <c r="M602" s="2"/>
      <c r="N602" s="2"/>
      <c r="O602" s="2"/>
      <c r="P602" s="2"/>
      <c r="Q602" s="2"/>
      <c r="R602" s="2"/>
      <c r="S602" s="2"/>
      <c r="T602" s="2"/>
      <c r="U602" s="3"/>
      <c r="V602" s="2"/>
      <c r="W602" s="2"/>
      <c r="X602" s="2"/>
      <c r="Y602" s="2"/>
      <c r="Z602" s="2"/>
      <c r="AA602" s="2"/>
      <c r="AB602" s="2"/>
      <c r="AC602" s="2"/>
    </row>
    <row r="603" spans="1:29" ht="20.100000000000001" customHeight="1">
      <c r="A603" s="2" t="s">
        <v>2233</v>
      </c>
      <c r="B603" s="2" t="s">
        <v>2234</v>
      </c>
      <c r="C603" s="2" t="str">
        <f>sheet1[[#This Row],[Nombre]]&amp;sheet1[[#This Row],[Bp Id]]</f>
        <v>Engineering MetricsITM0132</v>
      </c>
      <c r="D603" s="2" t="str">
        <f>VLOOKUP(sheet1[[#This Row],[Columna1]],sheet13[[Columna1]:[Estado]],4,FALSE)</f>
        <v>Operativo</v>
      </c>
      <c r="E603" s="2"/>
      <c r="F603" s="2" t="s">
        <v>32</v>
      </c>
      <c r="G603" s="2" t="s">
        <v>48</v>
      </c>
      <c r="H603" s="2" t="s">
        <v>59</v>
      </c>
      <c r="I603" s="2" t="s">
        <v>198</v>
      </c>
      <c r="J603" s="2" t="s">
        <v>2235</v>
      </c>
      <c r="K603" s="2" t="s">
        <v>433</v>
      </c>
      <c r="L603" s="2" t="s">
        <v>2236</v>
      </c>
      <c r="M603" s="2"/>
      <c r="N603" s="2"/>
      <c r="O603" s="2"/>
      <c r="P603" s="2"/>
      <c r="Q603" s="2"/>
      <c r="R603" s="2"/>
      <c r="S603" s="2"/>
      <c r="T603" s="2"/>
      <c r="U603" s="3"/>
      <c r="V603" s="2"/>
      <c r="W603" s="2"/>
      <c r="X603" s="2"/>
      <c r="Y603" s="2"/>
      <c r="Z603" s="2"/>
      <c r="AA603" s="2"/>
      <c r="AB603" s="2"/>
      <c r="AC603" s="2"/>
    </row>
    <row r="604" spans="1:29" ht="20.100000000000001" customHeight="1">
      <c r="A604" s="2" t="s">
        <v>2237</v>
      </c>
      <c r="B604" s="2" t="s">
        <v>2234</v>
      </c>
      <c r="C604" s="2" t="str">
        <f>sheet1[[#This Row],[Nombre]]&amp;sheet1[[#This Row],[Bp Id]]</f>
        <v>CPMITM0132</v>
      </c>
      <c r="D604" s="2" t="str">
        <f>VLOOKUP(sheet1[[#This Row],[Columna1]],sheet13[[Columna1]:[Estado]],4,FALSE)</f>
        <v>Operativo</v>
      </c>
      <c r="E604" s="2"/>
      <c r="F604" s="2" t="s">
        <v>32</v>
      </c>
      <c r="G604" s="2" t="s">
        <v>48</v>
      </c>
      <c r="H604" s="2" t="s">
        <v>140</v>
      </c>
      <c r="I604" s="2" t="s">
        <v>487</v>
      </c>
      <c r="J604" s="2" t="s">
        <v>666</v>
      </c>
      <c r="K604" s="2" t="s">
        <v>2238</v>
      </c>
      <c r="L604" s="2" t="s">
        <v>509</v>
      </c>
      <c r="M604" s="2"/>
      <c r="N604" s="2"/>
      <c r="O604" s="2"/>
      <c r="P604" s="2"/>
      <c r="Q604" s="2"/>
      <c r="R604" s="2"/>
      <c r="S604" s="2"/>
      <c r="T604" s="2"/>
      <c r="U604" s="3"/>
      <c r="V604" s="2"/>
      <c r="W604" s="2"/>
      <c r="X604" s="2"/>
      <c r="Y604" s="2"/>
      <c r="Z604" s="2"/>
      <c r="AA604" s="2"/>
      <c r="AB604" s="2"/>
      <c r="AC604" s="2"/>
    </row>
    <row r="605" spans="1:29" ht="20.100000000000001" customHeight="1">
      <c r="A605" s="2" t="s">
        <v>2239</v>
      </c>
      <c r="B605" s="2" t="s">
        <v>2240</v>
      </c>
      <c r="C605" s="2" t="str">
        <f>sheet1[[#This Row],[Nombre]]&amp;sheet1[[#This Row],[Bp Id]]</f>
        <v>Banred Switch BASE24 EPSCHL0006</v>
      </c>
      <c r="D605" s="2" t="str">
        <f>VLOOKUP(sheet1[[#This Row],[Columna1]],sheet13[[Columna1]:[Estado]],4,FALSE)</f>
        <v>Retirado</v>
      </c>
      <c r="E605" s="2"/>
      <c r="F605" s="2" t="s">
        <v>47</v>
      </c>
      <c r="G605" s="2" t="s">
        <v>48</v>
      </c>
      <c r="H605" s="2" t="s">
        <v>140</v>
      </c>
      <c r="I605" s="2" t="s">
        <v>35</v>
      </c>
      <c r="J605" s="2" t="s">
        <v>349</v>
      </c>
      <c r="K605" s="2"/>
      <c r="L605" s="2" t="s">
        <v>2241</v>
      </c>
      <c r="M605" s="2"/>
      <c r="N605" s="2"/>
      <c r="O605" s="2"/>
      <c r="P605" s="2"/>
      <c r="Q605" s="2"/>
      <c r="R605" s="2"/>
      <c r="S605" s="2"/>
      <c r="T605" s="2"/>
      <c r="U605" s="3"/>
      <c r="V605" s="2"/>
      <c r="W605" s="2"/>
      <c r="X605" s="2"/>
      <c r="Y605" s="2"/>
      <c r="Z605" s="2"/>
      <c r="AA605" s="2"/>
      <c r="AB605" s="2"/>
      <c r="AC605" s="2"/>
    </row>
    <row r="606" spans="1:29" ht="20.100000000000001" customHeight="1">
      <c r="A606" s="2" t="s">
        <v>2242</v>
      </c>
      <c r="B606" s="2" t="s">
        <v>2243</v>
      </c>
      <c r="C606" s="2" t="str">
        <f>sheet1[[#This Row],[Nombre]]&amp;sheet1[[#This Row],[Bp Id]]</f>
        <v>On RutPRD0071</v>
      </c>
      <c r="D606" s="2" t="str">
        <f>VLOOKUP(sheet1[[#This Row],[Columna1]],sheet13[[Columna1]:[Estado]],4,FALSE)</f>
        <v>Operativo</v>
      </c>
      <c r="E606" s="2"/>
      <c r="F606" s="2" t="s">
        <v>32</v>
      </c>
      <c r="G606" s="2" t="s">
        <v>48</v>
      </c>
      <c r="H606" s="2" t="s">
        <v>59</v>
      </c>
      <c r="I606" s="2" t="s">
        <v>95</v>
      </c>
      <c r="J606" s="2" t="s">
        <v>96</v>
      </c>
      <c r="K606" s="2" t="s">
        <v>1703</v>
      </c>
      <c r="L606" s="2" t="s">
        <v>2244</v>
      </c>
      <c r="M606" s="2"/>
      <c r="N606" s="2"/>
      <c r="O606" s="2"/>
      <c r="P606" s="2"/>
      <c r="Q606" s="2"/>
      <c r="R606" s="2"/>
      <c r="S606" s="2"/>
      <c r="T606" s="2"/>
      <c r="U606" s="3"/>
      <c r="V606" s="2"/>
      <c r="W606" s="2"/>
      <c r="X606" s="2"/>
      <c r="Y606" s="2"/>
      <c r="Z606" s="2"/>
      <c r="AA606" s="2"/>
      <c r="AB606" s="2"/>
      <c r="AC606" s="2"/>
    </row>
    <row r="607" spans="1:29" ht="20.100000000000001" customHeight="1">
      <c r="A607" s="2" t="s">
        <v>2245</v>
      </c>
      <c r="B607" s="2" t="s">
        <v>2246</v>
      </c>
      <c r="C607" s="2" t="str">
        <f>sheet1[[#This Row],[Nombre]]&amp;sheet1[[#This Row],[Bp Id]]</f>
        <v>Componentes de infraestructura - UnixITM0088</v>
      </c>
      <c r="D607" s="2" t="str">
        <f>VLOOKUP(sheet1[[#This Row],[Columna1]],sheet13[[Columna1]:[Estado]],4,FALSE)</f>
        <v>Operativo</v>
      </c>
      <c r="E607" s="2"/>
      <c r="F607" s="2" t="s">
        <v>32</v>
      </c>
      <c r="G607" s="2" t="s">
        <v>48</v>
      </c>
      <c r="H607" s="2" t="s">
        <v>34</v>
      </c>
      <c r="I607" s="2" t="s">
        <v>68</v>
      </c>
      <c r="J607" s="2" t="s">
        <v>69</v>
      </c>
      <c r="K607" s="2" t="s">
        <v>82</v>
      </c>
      <c r="L607" s="2" t="s">
        <v>2247</v>
      </c>
      <c r="M607" s="2"/>
      <c r="N607" s="2"/>
      <c r="O607" s="2"/>
      <c r="P607" s="2"/>
      <c r="Q607" s="2"/>
      <c r="R607" s="2"/>
      <c r="S607" s="2"/>
      <c r="T607" s="2"/>
      <c r="U607" s="3"/>
      <c r="V607" s="2"/>
      <c r="W607" s="2"/>
      <c r="X607" s="2"/>
      <c r="Y607" s="2"/>
      <c r="Z607" s="2"/>
      <c r="AA607" s="2"/>
      <c r="AB607" s="2"/>
      <c r="AC607" s="2"/>
    </row>
    <row r="608" spans="1:29" ht="20.100000000000001" customHeight="1">
      <c r="A608" s="2" t="s">
        <v>2248</v>
      </c>
      <c r="B608" s="2" t="s">
        <v>2249</v>
      </c>
      <c r="C608" s="2" t="str">
        <f>sheet1[[#This Row],[Nombre]]&amp;sheet1[[#This Row],[Bp Id]]</f>
        <v>Microsoft Collector AssessmentITM0078</v>
      </c>
      <c r="D608" s="2" t="str">
        <f>VLOOKUP(sheet1[[#This Row],[Columna1]],sheet13[[Columna1]:[Estado]],4,FALSE)</f>
        <v>Operativo</v>
      </c>
      <c r="E608" s="2"/>
      <c r="F608" s="2" t="s">
        <v>32</v>
      </c>
      <c r="G608" s="2" t="s">
        <v>48</v>
      </c>
      <c r="H608" s="2" t="s">
        <v>34</v>
      </c>
      <c r="I608" s="2" t="s">
        <v>68</v>
      </c>
      <c r="J608" s="2" t="s">
        <v>69</v>
      </c>
      <c r="K608" s="2" t="s">
        <v>82</v>
      </c>
      <c r="L608" s="2" t="s">
        <v>335</v>
      </c>
      <c r="M608" s="2"/>
      <c r="N608" s="2"/>
      <c r="O608" s="2"/>
      <c r="P608" s="2"/>
      <c r="Q608" s="2"/>
      <c r="R608" s="2"/>
      <c r="S608" s="2"/>
      <c r="T608" s="2"/>
      <c r="U608" s="3"/>
      <c r="V608" s="2"/>
      <c r="W608" s="2"/>
      <c r="X608" s="2"/>
      <c r="Y608" s="2"/>
      <c r="Z608" s="2"/>
      <c r="AA608" s="2"/>
      <c r="AB608" s="2"/>
      <c r="AC608" s="2"/>
    </row>
    <row r="609" spans="1:29" ht="20.100000000000001" customHeight="1">
      <c r="A609" s="2" t="s">
        <v>2250</v>
      </c>
      <c r="B609" s="2" t="s">
        <v>2251</v>
      </c>
      <c r="C609" s="2" t="str">
        <f>sheet1[[#This Row],[Nombre]]&amp;sheet1[[#This Row],[Bp Id]]</f>
        <v>Google Kubernetes EngineITM0143</v>
      </c>
      <c r="D609" s="2" t="str">
        <f>VLOOKUP(sheet1[[#This Row],[Columna1]],sheet13[[Columna1]:[Estado]],4,FALSE)</f>
        <v>Operativo</v>
      </c>
      <c r="E609" s="2"/>
      <c r="F609" s="2" t="s">
        <v>32</v>
      </c>
      <c r="G609" s="2" t="s">
        <v>123</v>
      </c>
      <c r="H609" s="2" t="s">
        <v>59</v>
      </c>
      <c r="I609" s="2" t="s">
        <v>198</v>
      </c>
      <c r="J609" s="2" t="s">
        <v>199</v>
      </c>
      <c r="K609" s="2" t="s">
        <v>199</v>
      </c>
      <c r="L609" s="2" t="s">
        <v>242</v>
      </c>
      <c r="M609" s="2"/>
      <c r="N609" s="2"/>
      <c r="O609" s="2"/>
      <c r="P609" s="2"/>
      <c r="Q609" s="2"/>
      <c r="R609" s="2"/>
      <c r="S609" s="2"/>
      <c r="T609" s="2"/>
      <c r="U609" s="3"/>
      <c r="V609" s="2"/>
      <c r="W609" s="2"/>
      <c r="X609" s="2"/>
      <c r="Y609" s="2"/>
      <c r="Z609" s="2"/>
      <c r="AA609" s="2"/>
      <c r="AB609" s="2"/>
      <c r="AC609" s="2"/>
    </row>
    <row r="610" spans="1:29" ht="20.100000000000001" customHeight="1">
      <c r="A610" s="2" t="s">
        <v>2252</v>
      </c>
      <c r="B610" s="2" t="s">
        <v>2253</v>
      </c>
      <c r="C610" s="2" t="str">
        <f>sheet1[[#This Row],[Nombre]]&amp;sheet1[[#This Row],[Bp Id]]</f>
        <v>Refinanciamiento crédito en líneaPRD0049</v>
      </c>
      <c r="D610" s="2" t="str">
        <f>VLOOKUP(sheet1[[#This Row],[Columna1]],sheet13[[Columna1]:[Estado]],4,FALSE)</f>
        <v>Retirado</v>
      </c>
      <c r="E610" s="2"/>
      <c r="F610" s="2" t="s">
        <v>47</v>
      </c>
      <c r="G610" s="2" t="s">
        <v>48</v>
      </c>
      <c r="H610" s="2" t="s">
        <v>59</v>
      </c>
      <c r="I610" s="2" t="s">
        <v>1086</v>
      </c>
      <c r="J610" s="2" t="s">
        <v>96</v>
      </c>
      <c r="K610" s="2"/>
      <c r="L610" s="2" t="s">
        <v>98</v>
      </c>
      <c r="M610" s="2"/>
      <c r="N610" s="2"/>
      <c r="O610" s="2"/>
      <c r="P610" s="2"/>
      <c r="Q610" s="2"/>
      <c r="R610" s="2"/>
      <c r="S610" s="2"/>
      <c r="T610" s="2"/>
      <c r="U610" s="3"/>
      <c r="V610" s="2"/>
      <c r="W610" s="2"/>
      <c r="X610" s="2"/>
      <c r="Y610" s="2"/>
      <c r="Z610" s="2"/>
      <c r="AA610" s="2"/>
      <c r="AB610" s="2"/>
      <c r="AC610" s="2"/>
    </row>
    <row r="611" spans="1:29" ht="20.100000000000001" customHeight="1">
      <c r="A611" s="2" t="s">
        <v>2254</v>
      </c>
      <c r="B611" s="2" t="s">
        <v>2255</v>
      </c>
      <c r="C611" s="2" t="str">
        <f>sheet1[[#This Row],[Nombre]]&amp;sheet1[[#This Row],[Bp Id]]</f>
        <v>Switch-SwCellPRD0031</v>
      </c>
      <c r="D611" s="2" t="str">
        <f>VLOOKUP(sheet1[[#This Row],[Columna1]],sheet13[[Columna1]:[Estado]],4,FALSE)</f>
        <v>No operativo</v>
      </c>
      <c r="E611" s="2"/>
      <c r="F611" s="2" t="s">
        <v>1788</v>
      </c>
      <c r="G611" s="2" t="s">
        <v>48</v>
      </c>
      <c r="H611" s="2" t="s">
        <v>34</v>
      </c>
      <c r="I611" s="2" t="s">
        <v>553</v>
      </c>
      <c r="J611" s="2" t="s">
        <v>554</v>
      </c>
      <c r="K611" s="2"/>
      <c r="L611" s="2" t="s">
        <v>556</v>
      </c>
      <c r="M611" s="2"/>
      <c r="N611" s="2"/>
      <c r="O611" s="2"/>
      <c r="P611" s="2"/>
      <c r="Q611" s="2"/>
      <c r="R611" s="2"/>
      <c r="S611" s="2"/>
      <c r="T611" s="2"/>
      <c r="U611" s="3"/>
      <c r="V611" s="2"/>
      <c r="W611" s="2"/>
      <c r="X611" s="2"/>
      <c r="Y611" s="2"/>
      <c r="Z611" s="2"/>
      <c r="AA611" s="2"/>
      <c r="AB611" s="2"/>
      <c r="AC611" s="2"/>
    </row>
    <row r="612" spans="1:29" ht="20.100000000000001" customHeight="1">
      <c r="A612" s="2" t="s">
        <v>2256</v>
      </c>
      <c r="B612" s="2" t="s">
        <v>2257</v>
      </c>
      <c r="C612" s="2" t="str">
        <f>sheet1[[#This Row],[Nombre]]&amp;sheet1[[#This Row],[Bp Id]]</f>
        <v>IBM WatsonDAT0004</v>
      </c>
      <c r="D612" s="2" t="str">
        <f>VLOOKUP(sheet1[[#This Row],[Columna1]],sheet13[[Columna1]:[Estado]],4,FALSE)</f>
        <v>Retirado</v>
      </c>
      <c r="E612" s="2"/>
      <c r="F612" s="2" t="s">
        <v>47</v>
      </c>
      <c r="G612" s="2" t="s">
        <v>48</v>
      </c>
      <c r="H612" s="2" t="s">
        <v>59</v>
      </c>
      <c r="I612" s="2" t="s">
        <v>328</v>
      </c>
      <c r="J612" s="2" t="s">
        <v>329</v>
      </c>
      <c r="K612" s="2" t="s">
        <v>575</v>
      </c>
      <c r="L612" s="2" t="s">
        <v>2258</v>
      </c>
      <c r="M612" s="2"/>
      <c r="N612" s="2"/>
      <c r="O612" s="2"/>
      <c r="P612" s="2"/>
      <c r="Q612" s="2"/>
      <c r="R612" s="2"/>
      <c r="S612" s="2"/>
      <c r="T612" s="2"/>
      <c r="U612" s="3"/>
      <c r="V612" s="2"/>
      <c r="W612" s="2"/>
      <c r="X612" s="2"/>
      <c r="Y612" s="2"/>
      <c r="Z612" s="2"/>
      <c r="AA612" s="2"/>
      <c r="AB612" s="2"/>
      <c r="AC612" s="2"/>
    </row>
    <row r="613" spans="1:29" ht="20.100000000000001" customHeight="1">
      <c r="A613" s="2" t="s">
        <v>2259</v>
      </c>
      <c r="B613" s="2" t="s">
        <v>2260</v>
      </c>
      <c r="C613" s="2" t="str">
        <f>sheet1[[#This Row],[Nombre]]&amp;sheet1[[#This Row],[Bp Id]]</f>
        <v>Active Directory CashSEC0045</v>
      </c>
      <c r="D613" s="2" t="str">
        <f>VLOOKUP(sheet1[[#This Row],[Columna1]],sheet13[[Columna1]:[Estado]],4,FALSE)</f>
        <v>Retirado</v>
      </c>
      <c r="E613" s="2"/>
      <c r="F613" s="2" t="s">
        <v>47</v>
      </c>
      <c r="G613" s="2" t="s">
        <v>123</v>
      </c>
      <c r="H613" s="2" t="s">
        <v>34</v>
      </c>
      <c r="I613" s="2" t="s">
        <v>553</v>
      </c>
      <c r="J613" s="2" t="s">
        <v>62</v>
      </c>
      <c r="K613" s="2" t="s">
        <v>721</v>
      </c>
      <c r="L613" s="2" t="s">
        <v>722</v>
      </c>
      <c r="M613" s="2"/>
      <c r="N613" s="2"/>
      <c r="O613" s="2"/>
      <c r="P613" s="2"/>
      <c r="Q613" s="2"/>
      <c r="R613" s="2"/>
      <c r="S613" s="2"/>
      <c r="T613" s="2"/>
      <c r="U613" s="3"/>
      <c r="V613" s="2"/>
      <c r="W613" s="2"/>
      <c r="X613" s="2"/>
      <c r="Y613" s="2"/>
      <c r="Z613" s="2"/>
      <c r="AA613" s="2"/>
      <c r="AB613" s="2"/>
      <c r="AC613" s="2"/>
    </row>
    <row r="614" spans="1:29" ht="20.100000000000001" customHeight="1">
      <c r="A614" s="2" t="s">
        <v>2261</v>
      </c>
      <c r="B614" s="2" t="s">
        <v>2262</v>
      </c>
      <c r="C614" s="2" t="str">
        <f>sheet1[[#This Row],[Nombre]]&amp;sheet1[[#This Row],[Bp Id]]</f>
        <v>EUC CloudITM0115</v>
      </c>
      <c r="D614" s="2" t="str">
        <f>VLOOKUP(sheet1[[#This Row],[Columna1]],sheet13[[Columna1]:[Estado]],4,FALSE)</f>
        <v>Operativo</v>
      </c>
      <c r="E614" s="2"/>
      <c r="F614" s="2" t="s">
        <v>32</v>
      </c>
      <c r="G614" s="2" t="s">
        <v>48</v>
      </c>
      <c r="H614" s="2" t="s">
        <v>59</v>
      </c>
      <c r="I614" s="2" t="s">
        <v>232</v>
      </c>
      <c r="J614" s="2" t="s">
        <v>234</v>
      </c>
      <c r="K614" s="2" t="s">
        <v>1163</v>
      </c>
      <c r="L614" s="2" t="s">
        <v>1163</v>
      </c>
      <c r="M614" s="2"/>
      <c r="N614" s="2"/>
      <c r="O614" s="2"/>
      <c r="P614" s="2"/>
      <c r="Q614" s="2"/>
      <c r="R614" s="2"/>
      <c r="S614" s="2"/>
      <c r="T614" s="2"/>
      <c r="U614" s="3"/>
      <c r="V614" s="2"/>
      <c r="W614" s="2"/>
      <c r="X614" s="2"/>
      <c r="Y614" s="2"/>
      <c r="Z614" s="2"/>
      <c r="AA614" s="2"/>
      <c r="AB614" s="2"/>
      <c r="AC614" s="2"/>
    </row>
    <row r="615" spans="1:29" ht="20.100000000000001" customHeight="1">
      <c r="A615" s="2" t="s">
        <v>2263</v>
      </c>
      <c r="B615" s="2" t="s">
        <v>2264</v>
      </c>
      <c r="C615" s="2" t="str">
        <f>sheet1[[#This Row],[Nombre]]&amp;sheet1[[#This Row],[Bp Id]]</f>
        <v>SingularCUS0025</v>
      </c>
      <c r="D615" s="2" t="str">
        <f>VLOOKUP(sheet1[[#This Row],[Columna1]],sheet13[[Columna1]:[Estado]],4,FALSE)</f>
        <v>Operativo</v>
      </c>
      <c r="E615" s="2"/>
      <c r="F615" s="2" t="s">
        <v>32</v>
      </c>
      <c r="G615" s="2" t="s">
        <v>48</v>
      </c>
      <c r="H615" s="2" t="s">
        <v>59</v>
      </c>
      <c r="I615" s="2" t="s">
        <v>87</v>
      </c>
      <c r="J615" s="2" t="s">
        <v>88</v>
      </c>
      <c r="K615" s="2" t="s">
        <v>2265</v>
      </c>
      <c r="L615" s="2" t="s">
        <v>88</v>
      </c>
      <c r="M615" s="2"/>
      <c r="N615" s="2"/>
      <c r="O615" s="2"/>
      <c r="P615" s="2"/>
      <c r="Q615" s="2"/>
      <c r="R615" s="2"/>
      <c r="S615" s="2"/>
      <c r="T615" s="2"/>
      <c r="U615" s="3"/>
      <c r="V615" s="2"/>
      <c r="W615" s="2"/>
      <c r="X615" s="2"/>
      <c r="Y615" s="2"/>
      <c r="Z615" s="2"/>
      <c r="AA615" s="2"/>
      <c r="AB615" s="2"/>
      <c r="AC615" s="2"/>
    </row>
    <row r="616" spans="1:29" ht="20.100000000000001" customHeight="1">
      <c r="A616" s="2" t="s">
        <v>2266</v>
      </c>
      <c r="B616" s="2" t="s">
        <v>2267</v>
      </c>
      <c r="C616" s="2" t="str">
        <f>sheet1[[#This Row],[Nombre]]&amp;sheet1[[#This Row],[Bp Id]]</f>
        <v>MonitorFilesTIE0009</v>
      </c>
      <c r="D616" s="2" t="str">
        <f>VLOOKUP(sheet1[[#This Row],[Columna1]],sheet13[[Columna1]:[Estado]],4,FALSE)</f>
        <v>Retirado</v>
      </c>
      <c r="E616" s="2"/>
      <c r="F616" s="2" t="s">
        <v>47</v>
      </c>
      <c r="G616" s="2" t="s">
        <v>48</v>
      </c>
      <c r="H616" s="2" t="s">
        <v>34</v>
      </c>
      <c r="I616" s="2" t="s">
        <v>487</v>
      </c>
      <c r="J616" s="2" t="s">
        <v>488</v>
      </c>
      <c r="K616" s="2"/>
      <c r="L616" s="2" t="s">
        <v>2268</v>
      </c>
      <c r="M616" s="2"/>
      <c r="N616" s="2"/>
      <c r="O616" s="2"/>
      <c r="P616" s="2"/>
      <c r="Q616" s="2"/>
      <c r="R616" s="2"/>
      <c r="S616" s="2"/>
      <c r="T616" s="2"/>
      <c r="U616" s="3"/>
      <c r="V616" s="2"/>
      <c r="W616" s="2"/>
      <c r="X616" s="2"/>
      <c r="Y616" s="2"/>
      <c r="Z616" s="2"/>
      <c r="AA616" s="2"/>
      <c r="AB616" s="2"/>
      <c r="AC616" s="2"/>
    </row>
    <row r="617" spans="1:29" ht="20.100000000000001" customHeight="1">
      <c r="A617" s="2" t="s">
        <v>2269</v>
      </c>
      <c r="B617" s="2" t="s">
        <v>2270</v>
      </c>
      <c r="C617" s="2" t="str">
        <f>sheet1[[#This Row],[Nombre]]&amp;sheet1[[#This Row],[Bp Id]]</f>
        <v>Oracle Far SyncITM0092</v>
      </c>
      <c r="D617" s="2" t="str">
        <f>VLOOKUP(sheet1[[#This Row],[Columna1]],sheet13[[Columna1]:[Estado]],4,FALSE)</f>
        <v>Operativo</v>
      </c>
      <c r="E617" s="2"/>
      <c r="F617" s="2" t="s">
        <v>32</v>
      </c>
      <c r="G617" s="2" t="s">
        <v>48</v>
      </c>
      <c r="H617" s="2" t="s">
        <v>34</v>
      </c>
      <c r="I617" s="2" t="s">
        <v>68</v>
      </c>
      <c r="J617" s="2" t="s">
        <v>69</v>
      </c>
      <c r="K617" s="2" t="s">
        <v>70</v>
      </c>
      <c r="L617" s="2" t="s">
        <v>71</v>
      </c>
      <c r="M617" s="2"/>
      <c r="N617" s="2"/>
      <c r="O617" s="2"/>
      <c r="P617" s="2"/>
      <c r="Q617" s="2"/>
      <c r="R617" s="2"/>
      <c r="S617" s="2"/>
      <c r="T617" s="2"/>
      <c r="U617" s="3"/>
      <c r="V617" s="2"/>
      <c r="W617" s="2"/>
      <c r="X617" s="2"/>
      <c r="Y617" s="2"/>
      <c r="Z617" s="2"/>
      <c r="AA617" s="2"/>
      <c r="AB617" s="2"/>
      <c r="AC617" s="2"/>
    </row>
    <row r="618" spans="1:29" ht="20.100000000000001" customHeight="1">
      <c r="A618" s="2" t="s">
        <v>2271</v>
      </c>
      <c r="B618" s="2" t="s">
        <v>2272</v>
      </c>
      <c r="C618" s="2" t="str">
        <f>sheet1[[#This Row],[Nombre]]&amp;sheet1[[#This Row],[Bp Id]]</f>
        <v>DLOSEC0016</v>
      </c>
      <c r="D618" s="2" t="str">
        <f>VLOOKUP(sheet1[[#This Row],[Columna1]],sheet13[[Columna1]:[Estado]],4,FALSE)</f>
        <v>Retirado</v>
      </c>
      <c r="E618" s="2"/>
      <c r="F618" s="2" t="s">
        <v>47</v>
      </c>
      <c r="G618" s="2" t="s">
        <v>48</v>
      </c>
      <c r="H618" s="2" t="s">
        <v>34</v>
      </c>
      <c r="I618" s="2" t="s">
        <v>107</v>
      </c>
      <c r="J618" s="2" t="s">
        <v>272</v>
      </c>
      <c r="K618" s="2" t="s">
        <v>176</v>
      </c>
      <c r="L618" s="2" t="s">
        <v>175</v>
      </c>
      <c r="M618" s="2"/>
      <c r="N618" s="2"/>
      <c r="O618" s="2"/>
      <c r="P618" s="2"/>
      <c r="Q618" s="2"/>
      <c r="R618" s="2"/>
      <c r="S618" s="2"/>
      <c r="T618" s="2"/>
      <c r="U618" s="3"/>
      <c r="V618" s="2"/>
      <c r="W618" s="2"/>
      <c r="X618" s="2"/>
      <c r="Y618" s="2"/>
      <c r="Z618" s="2"/>
      <c r="AA618" s="2"/>
      <c r="AB618" s="2"/>
      <c r="AC618" s="2"/>
    </row>
    <row r="619" spans="1:29" ht="20.100000000000001" customHeight="1">
      <c r="A619" s="2" t="s">
        <v>2273</v>
      </c>
      <c r="B619" s="2" t="s">
        <v>2274</v>
      </c>
      <c r="C619" s="2" t="str">
        <f>sheet1[[#This Row],[Nombre]]&amp;sheet1[[#This Row],[Bp Id]]</f>
        <v>Cloudforms (Red Hat CloudForms)ITM0006</v>
      </c>
      <c r="D619" s="2" t="str">
        <f>VLOOKUP(sheet1[[#This Row],[Columna1]],sheet13[[Columna1]:[Estado]],4,FALSE)</f>
        <v>Retirado</v>
      </c>
      <c r="E619" s="2"/>
      <c r="F619" s="2" t="s">
        <v>47</v>
      </c>
      <c r="G619" s="2" t="s">
        <v>48</v>
      </c>
      <c r="H619" s="2" t="s">
        <v>59</v>
      </c>
      <c r="I619" s="2" t="s">
        <v>449</v>
      </c>
      <c r="J619" s="2" t="s">
        <v>450</v>
      </c>
      <c r="K619" s="2" t="s">
        <v>450</v>
      </c>
      <c r="L619" s="2" t="s">
        <v>450</v>
      </c>
      <c r="M619" s="2"/>
      <c r="N619" s="2"/>
      <c r="O619" s="2"/>
      <c r="P619" s="2"/>
      <c r="Q619" s="2"/>
      <c r="R619" s="2"/>
      <c r="S619" s="2"/>
      <c r="T619" s="2"/>
      <c r="U619" s="3"/>
      <c r="V619" s="2"/>
      <c r="W619" s="2"/>
      <c r="X619" s="2"/>
      <c r="Y619" s="2"/>
      <c r="Z619" s="2"/>
      <c r="AA619" s="2"/>
      <c r="AB619" s="2"/>
      <c r="AC619" s="2"/>
    </row>
    <row r="620" spans="1:29" ht="20.100000000000001" customHeight="1">
      <c r="A620" s="2" t="s">
        <v>2275</v>
      </c>
      <c r="B620" s="2" t="s">
        <v>2276</v>
      </c>
      <c r="C620" s="2" t="str">
        <f>sheet1[[#This Row],[Nombre]]&amp;sheet1[[#This Row],[Bp Id]]</f>
        <v>Cotización de CreditoPRD0064</v>
      </c>
      <c r="D620" s="2" t="str">
        <f>VLOOKUP(sheet1[[#This Row],[Columna1]],sheet13[[Columna1]:[Estado]],4,FALSE)</f>
        <v>Retirado</v>
      </c>
      <c r="E620" s="2"/>
      <c r="F620" s="2" t="s">
        <v>47</v>
      </c>
      <c r="G620" s="2" t="s">
        <v>48</v>
      </c>
      <c r="H620" s="2"/>
      <c r="I620" s="2" t="s">
        <v>1086</v>
      </c>
      <c r="J620" s="2" t="s">
        <v>96</v>
      </c>
      <c r="K620" s="2" t="s">
        <v>2277</v>
      </c>
      <c r="L620" s="2" t="s">
        <v>96</v>
      </c>
      <c r="M620" s="2"/>
      <c r="N620" s="2"/>
      <c r="O620" s="2"/>
      <c r="P620" s="2"/>
      <c r="Q620" s="2"/>
      <c r="R620" s="2"/>
      <c r="S620" s="2"/>
      <c r="T620" s="2"/>
      <c r="U620" s="3"/>
      <c r="V620" s="2"/>
      <c r="W620" s="2"/>
      <c r="X620" s="2"/>
      <c r="Y620" s="2"/>
      <c r="Z620" s="2"/>
      <c r="AA620" s="2"/>
      <c r="AB620" s="2"/>
      <c r="AC620" s="2"/>
    </row>
    <row r="621" spans="1:29" ht="20.100000000000001" customHeight="1">
      <c r="A621" s="2" t="s">
        <v>2278</v>
      </c>
      <c r="B621" s="2" t="s">
        <v>2279</v>
      </c>
      <c r="C621" s="2" t="str">
        <f>sheet1[[#This Row],[Nombre]]&amp;sheet1[[#This Row],[Bp Id]]</f>
        <v>VeeamITM0061</v>
      </c>
      <c r="D621" s="2" t="str">
        <f>VLOOKUP(sheet1[[#This Row],[Columna1]],sheet13[[Columna1]:[Estado]],4,FALSE)</f>
        <v>Retirado</v>
      </c>
      <c r="E621" s="2"/>
      <c r="F621" s="2" t="s">
        <v>47</v>
      </c>
      <c r="G621" s="2" t="s">
        <v>48</v>
      </c>
      <c r="H621" s="2" t="s">
        <v>34</v>
      </c>
      <c r="I621" s="2" t="s">
        <v>68</v>
      </c>
      <c r="J621" s="2" t="s">
        <v>236</v>
      </c>
      <c r="K621" s="2"/>
      <c r="L621" s="2" t="s">
        <v>82</v>
      </c>
      <c r="M621" s="2"/>
      <c r="N621" s="2"/>
      <c r="O621" s="2"/>
      <c r="P621" s="2"/>
      <c r="Q621" s="2"/>
      <c r="R621" s="2"/>
      <c r="S621" s="2"/>
      <c r="T621" s="2"/>
      <c r="U621" s="3"/>
      <c r="V621" s="2"/>
      <c r="W621" s="2"/>
      <c r="X621" s="2"/>
      <c r="Y621" s="2"/>
      <c r="Z621" s="2"/>
      <c r="AA621" s="2"/>
      <c r="AB621" s="2"/>
      <c r="AC621" s="2"/>
    </row>
    <row r="622" spans="1:29" ht="20.100000000000001" customHeight="1">
      <c r="A622" s="2" t="s">
        <v>2280</v>
      </c>
      <c r="B622" s="2" t="s">
        <v>2281</v>
      </c>
      <c r="C622" s="2" t="str">
        <f>sheet1[[#This Row],[Nombre]]&amp;sheet1[[#This Row],[Bp Id]]</f>
        <v>Componentes de Infraestructura - WintelITM0098</v>
      </c>
      <c r="D622" s="2" t="str">
        <f>VLOOKUP(sheet1[[#This Row],[Columna1]],sheet13[[Columna1]:[Estado]],4,FALSE)</f>
        <v>Operativo</v>
      </c>
      <c r="E622" s="2"/>
      <c r="F622" s="2" t="s">
        <v>32</v>
      </c>
      <c r="G622" s="2" t="s">
        <v>48</v>
      </c>
      <c r="H622" s="2" t="s">
        <v>34</v>
      </c>
      <c r="I622" s="2" t="s">
        <v>68</v>
      </c>
      <c r="J622" s="2" t="s">
        <v>69</v>
      </c>
      <c r="K622" s="2" t="s">
        <v>82</v>
      </c>
      <c r="L622" s="2" t="s">
        <v>898</v>
      </c>
      <c r="M622" s="2"/>
      <c r="N622" s="2"/>
      <c r="O622" s="2"/>
      <c r="P622" s="2"/>
      <c r="Q622" s="2"/>
      <c r="R622" s="2"/>
      <c r="S622" s="2"/>
      <c r="T622" s="2"/>
      <c r="U622" s="3"/>
      <c r="V622" s="2"/>
      <c r="W622" s="2"/>
      <c r="X622" s="2"/>
      <c r="Y622" s="2"/>
      <c r="Z622" s="2"/>
      <c r="AA622" s="2"/>
      <c r="AB622" s="2"/>
      <c r="AC622" s="2"/>
    </row>
    <row r="623" spans="1:29" ht="20.100000000000001" customHeight="1">
      <c r="A623" s="2" t="s">
        <v>2282</v>
      </c>
      <c r="B623" s="2" t="s">
        <v>2283</v>
      </c>
      <c r="C623" s="2" t="str">
        <f>sheet1[[#This Row],[Nombre]]&amp;sheet1[[#This Row],[Bp Id]]</f>
        <v>CAPA_COMUNINT0017</v>
      </c>
      <c r="D623" s="2" t="str">
        <f>VLOOKUP(sheet1[[#This Row],[Columna1]],sheet13[[Columna1]:[Estado]],4,FALSE)</f>
        <v>Operativo</v>
      </c>
      <c r="E623" s="2"/>
      <c r="F623" s="2" t="s">
        <v>32</v>
      </c>
      <c r="G623" s="2" t="s">
        <v>123</v>
      </c>
      <c r="H623" s="2" t="s">
        <v>59</v>
      </c>
      <c r="I623" s="2" t="s">
        <v>921</v>
      </c>
      <c r="J623" s="2" t="s">
        <v>50</v>
      </c>
      <c r="K623" s="2" t="s">
        <v>51</v>
      </c>
      <c r="L623" s="2" t="s">
        <v>2284</v>
      </c>
      <c r="M623" s="2"/>
      <c r="N623" s="2"/>
      <c r="O623" s="2"/>
      <c r="P623" s="2"/>
      <c r="Q623" s="2"/>
      <c r="R623" s="2"/>
      <c r="S623" s="2"/>
      <c r="T623" s="2"/>
      <c r="U623" s="3"/>
      <c r="V623" s="2"/>
      <c r="W623" s="2"/>
      <c r="X623" s="2"/>
      <c r="Y623" s="2"/>
      <c r="Z623" s="2"/>
      <c r="AA623" s="2"/>
      <c r="AB623" s="2"/>
      <c r="AC623" s="2"/>
    </row>
    <row r="624" spans="1:29" ht="20.100000000000001" customHeight="1">
      <c r="A624" s="2" t="s">
        <v>2285</v>
      </c>
      <c r="B624" s="2" t="s">
        <v>2286</v>
      </c>
      <c r="C624" s="2" t="str">
        <f>sheet1[[#This Row],[Nombre]]&amp;sheet1[[#This Row],[Bp Id]]</f>
        <v>Unidad Inteligencia FinancieraGOB0003</v>
      </c>
      <c r="D624" s="2" t="str">
        <f>VLOOKUP(sheet1[[#This Row],[Columna1]],sheet13[[Columna1]:[Estado]],4,FALSE)</f>
        <v>Retirado</v>
      </c>
      <c r="E624" s="2"/>
      <c r="F624" s="2" t="s">
        <v>47</v>
      </c>
      <c r="G624" s="2" t="s">
        <v>48</v>
      </c>
      <c r="H624" s="2" t="s">
        <v>34</v>
      </c>
      <c r="I624" s="2" t="s">
        <v>328</v>
      </c>
      <c r="J624" s="2" t="s">
        <v>329</v>
      </c>
      <c r="K624" s="2" t="s">
        <v>646</v>
      </c>
      <c r="L624" s="2" t="s">
        <v>775</v>
      </c>
      <c r="M624" s="2"/>
      <c r="N624" s="2"/>
      <c r="O624" s="2"/>
      <c r="P624" s="2"/>
      <c r="Q624" s="2"/>
      <c r="R624" s="2"/>
      <c r="S624" s="2"/>
      <c r="T624" s="2"/>
      <c r="U624" s="3"/>
      <c r="V624" s="2"/>
      <c r="W624" s="2"/>
      <c r="X624" s="2"/>
      <c r="Y624" s="2"/>
      <c r="Z624" s="2"/>
      <c r="AA624" s="2"/>
      <c r="AB624" s="2"/>
      <c r="AC624" s="2"/>
    </row>
    <row r="625" spans="1:29" ht="20.100000000000001" customHeight="1">
      <c r="A625" s="2" t="s">
        <v>2287</v>
      </c>
      <c r="B625" s="2" t="s">
        <v>2288</v>
      </c>
      <c r="C625" s="2" t="str">
        <f>sheet1[[#This Row],[Nombre]]&amp;sheet1[[#This Row],[Bp Id]]</f>
        <v>MidotSUP0072</v>
      </c>
      <c r="D625" s="2" t="str">
        <f>VLOOKUP(sheet1[[#This Row],[Columna1]],sheet13[[Columna1]:[Estado]],4,FALSE)</f>
        <v>Operativo</v>
      </c>
      <c r="E625" s="2"/>
      <c r="F625" s="2" t="s">
        <v>32</v>
      </c>
      <c r="G625" s="2" t="s">
        <v>48</v>
      </c>
      <c r="H625" s="2" t="s">
        <v>59</v>
      </c>
      <c r="I625" s="2" t="s">
        <v>225</v>
      </c>
      <c r="J625" s="2" t="s">
        <v>226</v>
      </c>
      <c r="K625" s="2" t="s">
        <v>300</v>
      </c>
      <c r="L625" s="2" t="s">
        <v>304</v>
      </c>
      <c r="M625" s="2"/>
      <c r="N625" s="2"/>
      <c r="O625" s="2"/>
      <c r="P625" s="2"/>
      <c r="Q625" s="2"/>
      <c r="R625" s="2"/>
      <c r="S625" s="2"/>
      <c r="T625" s="2"/>
      <c r="U625" s="3"/>
      <c r="V625" s="2"/>
      <c r="W625" s="2"/>
      <c r="X625" s="2"/>
      <c r="Y625" s="2"/>
      <c r="Z625" s="2"/>
      <c r="AA625" s="2"/>
      <c r="AB625" s="2"/>
      <c r="AC625" s="2"/>
    </row>
    <row r="626" spans="1:29" ht="20.100000000000001" customHeight="1">
      <c r="A626" s="2" t="s">
        <v>2289</v>
      </c>
      <c r="B626" s="2" t="s">
        <v>2290</v>
      </c>
      <c r="C626" s="2" t="str">
        <f>sheet1[[#This Row],[Nombre]]&amp;sheet1[[#This Row],[Bp Id]]</f>
        <v>BOTON DE CREDITOPRD0009</v>
      </c>
      <c r="D626" s="2" t="str">
        <f>VLOOKUP(sheet1[[#This Row],[Columna1]],sheet13[[Columna1]:[Estado]],4,FALSE)</f>
        <v>No operativo</v>
      </c>
      <c r="E626" s="2"/>
      <c r="F626" s="2" t="s">
        <v>1788</v>
      </c>
      <c r="G626" s="2" t="s">
        <v>58</v>
      </c>
      <c r="H626" s="2" t="s">
        <v>34</v>
      </c>
      <c r="I626" s="2" t="s">
        <v>553</v>
      </c>
      <c r="J626" s="2" t="s">
        <v>554</v>
      </c>
      <c r="K626" s="2"/>
      <c r="L626" s="2" t="s">
        <v>556</v>
      </c>
      <c r="M626" s="2"/>
      <c r="N626" s="2"/>
      <c r="O626" s="2"/>
      <c r="P626" s="2"/>
      <c r="Q626" s="2"/>
      <c r="R626" s="2"/>
      <c r="S626" s="2"/>
      <c r="T626" s="2"/>
      <c r="U626" s="3"/>
      <c r="V626" s="2"/>
      <c r="W626" s="2"/>
      <c r="X626" s="2"/>
      <c r="Y626" s="2"/>
      <c r="Z626" s="2"/>
      <c r="AA626" s="2"/>
      <c r="AB626" s="2"/>
      <c r="AC626" s="2"/>
    </row>
    <row r="627" spans="1:29" ht="20.100000000000001" customHeight="1">
      <c r="A627" s="2" t="s">
        <v>2291</v>
      </c>
      <c r="B627" s="2" t="s">
        <v>2292</v>
      </c>
      <c r="C627" s="2" t="str">
        <f>sheet1[[#This Row],[Nombre]]&amp;sheet1[[#This Row],[Bp Id]]</f>
        <v>RSA Authentication ManagerSEC0046</v>
      </c>
      <c r="D627" s="2" t="str">
        <f>VLOOKUP(sheet1[[#This Row],[Columna1]],sheet13[[Columna1]:[Estado]],4,FALSE)</f>
        <v>Retirado</v>
      </c>
      <c r="E627" s="2"/>
      <c r="F627" s="2" t="s">
        <v>47</v>
      </c>
      <c r="G627" s="2" t="s">
        <v>123</v>
      </c>
      <c r="H627" s="2" t="s">
        <v>34</v>
      </c>
      <c r="I627" s="2" t="s">
        <v>553</v>
      </c>
      <c r="J627" s="2" t="s">
        <v>554</v>
      </c>
      <c r="K627" s="2" t="s">
        <v>2293</v>
      </c>
      <c r="L627" s="2" t="s">
        <v>722</v>
      </c>
      <c r="M627" s="2"/>
      <c r="N627" s="2"/>
      <c r="O627" s="2"/>
      <c r="P627" s="2"/>
      <c r="Q627" s="2"/>
      <c r="R627" s="2"/>
      <c r="S627" s="2"/>
      <c r="T627" s="2"/>
      <c r="U627" s="3"/>
      <c r="V627" s="2"/>
      <c r="W627" s="2"/>
      <c r="X627" s="2"/>
      <c r="Y627" s="2"/>
      <c r="Z627" s="2"/>
      <c r="AA627" s="2"/>
      <c r="AB627" s="2"/>
      <c r="AC627" s="2"/>
    </row>
    <row r="628" spans="1:29" ht="20.100000000000001" customHeight="1">
      <c r="A628" s="2" t="s">
        <v>2294</v>
      </c>
      <c r="B628" s="2" t="s">
        <v>2295</v>
      </c>
      <c r="C628" s="2" t="str">
        <f>sheet1[[#This Row],[Nombre]]&amp;sheet1[[#This Row],[Bp Id]]</f>
        <v>WaveSUP0016</v>
      </c>
      <c r="D628" s="2" t="str">
        <f>VLOOKUP(sheet1[[#This Row],[Columna1]],sheet13[[Columna1]:[Estado]],4,FALSE)</f>
        <v>Retirado</v>
      </c>
      <c r="E628" s="2"/>
      <c r="F628" s="2" t="s">
        <v>47</v>
      </c>
      <c r="G628" s="2" t="s">
        <v>48</v>
      </c>
      <c r="H628" s="2" t="s">
        <v>59</v>
      </c>
      <c r="I628" s="2" t="s">
        <v>225</v>
      </c>
      <c r="J628" s="2" t="s">
        <v>226</v>
      </c>
      <c r="K628" s="2"/>
      <c r="L628" s="2"/>
      <c r="M628" s="2"/>
      <c r="N628" s="2"/>
      <c r="O628" s="2"/>
      <c r="P628" s="2"/>
      <c r="Q628" s="2"/>
      <c r="R628" s="2"/>
      <c r="S628" s="2"/>
      <c r="T628" s="2"/>
      <c r="U628" s="3"/>
      <c r="V628" s="2"/>
      <c r="W628" s="2"/>
      <c r="X628" s="2"/>
      <c r="Y628" s="2"/>
      <c r="Z628" s="2"/>
      <c r="AA628" s="2"/>
      <c r="AB628" s="2"/>
      <c r="AC628" s="2"/>
    </row>
    <row r="629" spans="1:29" ht="20.100000000000001" customHeight="1">
      <c r="A629" s="2" t="s">
        <v>2296</v>
      </c>
      <c r="B629" s="2" t="s">
        <v>2297</v>
      </c>
      <c r="C629" s="2" t="str">
        <f>sheet1[[#This Row],[Nombre]]&amp;sheet1[[#This Row],[Bp Id]]</f>
        <v>SonarCloudITM0122</v>
      </c>
      <c r="D629" s="2" t="str">
        <f>VLOOKUP(sheet1[[#This Row],[Columna1]],sheet13[[Columna1]:[Estado]],4,FALSE)</f>
        <v>Operativo</v>
      </c>
      <c r="E629" s="2"/>
      <c r="F629" s="2" t="s">
        <v>32</v>
      </c>
      <c r="G629" s="2" t="s">
        <v>48</v>
      </c>
      <c r="H629" s="2" t="s">
        <v>59</v>
      </c>
      <c r="I629" s="2" t="s">
        <v>198</v>
      </c>
      <c r="J629" s="2" t="s">
        <v>2298</v>
      </c>
      <c r="K629" s="2" t="s">
        <v>950</v>
      </c>
      <c r="L629" s="2" t="s">
        <v>90</v>
      </c>
      <c r="M629" s="2"/>
      <c r="N629" s="2"/>
      <c r="O629" s="2"/>
      <c r="P629" s="2"/>
      <c r="Q629" s="2"/>
      <c r="R629" s="2"/>
      <c r="S629" s="2"/>
      <c r="T629" s="2"/>
      <c r="U629" s="3"/>
      <c r="V629" s="2"/>
      <c r="W629" s="2"/>
      <c r="X629" s="2"/>
      <c r="Y629" s="2"/>
      <c r="Z629" s="2"/>
      <c r="AA629" s="2"/>
      <c r="AB629" s="2"/>
      <c r="AC629" s="2"/>
    </row>
    <row r="630" spans="1:29" ht="20.100000000000001" customHeight="1">
      <c r="A630" s="2" t="s">
        <v>2299</v>
      </c>
      <c r="B630" s="2" t="s">
        <v>2300</v>
      </c>
      <c r="C630" s="2" t="str">
        <f>sheet1[[#This Row],[Nombre]]&amp;sheet1[[#This Row],[Bp Id]]</f>
        <v>CuadreMoneyGramSUP0027</v>
      </c>
      <c r="D630" s="2" t="str">
        <f>VLOOKUP(sheet1[[#This Row],[Columna1]],sheet13[[Columna1]:[Estado]],4,FALSE)</f>
        <v>Retirado</v>
      </c>
      <c r="E630" s="2"/>
      <c r="F630" s="2" t="s">
        <v>47</v>
      </c>
      <c r="G630" s="2" t="s">
        <v>48</v>
      </c>
      <c r="H630" s="2" t="s">
        <v>140</v>
      </c>
      <c r="I630" s="2" t="s">
        <v>449</v>
      </c>
      <c r="J630" s="2" t="s">
        <v>450</v>
      </c>
      <c r="K630" s="2" t="s">
        <v>450</v>
      </c>
      <c r="L630" s="2" t="s">
        <v>1637</v>
      </c>
      <c r="M630" s="2"/>
      <c r="N630" s="2"/>
      <c r="O630" s="2"/>
      <c r="P630" s="2"/>
      <c r="Q630" s="2"/>
      <c r="R630" s="2"/>
      <c r="S630" s="2"/>
      <c r="T630" s="2"/>
      <c r="U630" s="3"/>
      <c r="V630" s="2"/>
      <c r="W630" s="2"/>
      <c r="X630" s="2"/>
      <c r="Y630" s="2"/>
      <c r="Z630" s="2"/>
      <c r="AA630" s="2"/>
      <c r="AB630" s="2"/>
      <c r="AC630" s="2"/>
    </row>
    <row r="631" spans="1:29" ht="20.100000000000001" customHeight="1">
      <c r="A631" s="2" t="s">
        <v>2301</v>
      </c>
      <c r="B631" s="2" t="s">
        <v>2302</v>
      </c>
      <c r="C631" s="2" t="str">
        <f>sheet1[[#This Row],[Nombre]]&amp;sheet1[[#This Row],[Bp Id]]</f>
        <v>Medición Riesgo OperativoRIS0007</v>
      </c>
      <c r="D631" s="2" t="str">
        <f>VLOOKUP(sheet1[[#This Row],[Columna1]],sheet13[[Columna1]:[Estado]],4,FALSE)</f>
        <v>Retirado</v>
      </c>
      <c r="E631" s="2"/>
      <c r="F631" s="2" t="s">
        <v>47</v>
      </c>
      <c r="G631" s="2" t="s">
        <v>48</v>
      </c>
      <c r="H631" s="2" t="s">
        <v>34</v>
      </c>
      <c r="I631" s="2" t="s">
        <v>320</v>
      </c>
      <c r="J631" s="2" t="s">
        <v>321</v>
      </c>
      <c r="K631" s="2" t="s">
        <v>1231</v>
      </c>
      <c r="L631" s="2" t="s">
        <v>1851</v>
      </c>
      <c r="M631" s="2"/>
      <c r="N631" s="2"/>
      <c r="O631" s="2"/>
      <c r="P631" s="2"/>
      <c r="Q631" s="2"/>
      <c r="R631" s="2"/>
      <c r="S631" s="2"/>
      <c r="T631" s="2"/>
      <c r="U631" s="3"/>
      <c r="V631" s="2"/>
      <c r="W631" s="2"/>
      <c r="X631" s="2"/>
      <c r="Y631" s="2"/>
      <c r="Z631" s="2"/>
      <c r="AA631" s="2"/>
      <c r="AB631" s="2"/>
      <c r="AC631" s="2"/>
    </row>
    <row r="632" spans="1:29" ht="20.100000000000001" customHeight="1">
      <c r="A632" s="2" t="s">
        <v>2303</v>
      </c>
      <c r="B632" s="2" t="s">
        <v>2304</v>
      </c>
      <c r="C632" s="2" t="str">
        <f>sheet1[[#This Row],[Nombre]]&amp;sheet1[[#This Row],[Bp Id]]</f>
        <v>SNM_BPCHL0026</v>
      </c>
      <c r="D632" s="2" t="str">
        <f>VLOOKUP(sheet1[[#This Row],[Columna1]],sheet13[[Columna1]:[Estado]],4,FALSE)</f>
        <v>Retirado</v>
      </c>
      <c r="E632" s="2"/>
      <c r="F632" s="2" t="s">
        <v>47</v>
      </c>
      <c r="G632" s="2" t="s">
        <v>123</v>
      </c>
      <c r="H632" s="2" t="s">
        <v>34</v>
      </c>
      <c r="I632" s="2" t="s">
        <v>35</v>
      </c>
      <c r="J632" s="2" t="s">
        <v>349</v>
      </c>
      <c r="K632" s="2" t="s">
        <v>1374</v>
      </c>
      <c r="L632" s="2" t="s">
        <v>1596</v>
      </c>
      <c r="M632" s="2"/>
      <c r="N632" s="2"/>
      <c r="O632" s="2"/>
      <c r="P632" s="2"/>
      <c r="Q632" s="2"/>
      <c r="R632" s="2"/>
      <c r="S632" s="2"/>
      <c r="T632" s="2"/>
      <c r="U632" s="3"/>
      <c r="V632" s="2"/>
      <c r="W632" s="2"/>
      <c r="X632" s="2"/>
      <c r="Y632" s="2"/>
      <c r="Z632" s="2"/>
      <c r="AA632" s="2"/>
      <c r="AB632" s="2"/>
      <c r="AC632" s="2"/>
    </row>
    <row r="633" spans="1:29" ht="20.100000000000001" customHeight="1">
      <c r="A633" s="2" t="s">
        <v>2305</v>
      </c>
      <c r="B633" s="2" t="s">
        <v>2306</v>
      </c>
      <c r="C633" s="2" t="str">
        <f>sheet1[[#This Row],[Nombre]]&amp;sheet1[[#This Row],[Bp Id]]</f>
        <v>Azure Kubernetes Services Tribu Medios de PagoITM0127</v>
      </c>
      <c r="D633" s="2" t="str">
        <f>VLOOKUP(sheet1[[#This Row],[Columna1]],sheet13[[Columna1]:[Estado]],4,FALSE)</f>
        <v>Retirado</v>
      </c>
      <c r="E633" s="2"/>
      <c r="F633" s="2" t="s">
        <v>47</v>
      </c>
      <c r="G633" s="2" t="s">
        <v>48</v>
      </c>
      <c r="H633" s="2" t="s">
        <v>59</v>
      </c>
      <c r="I633" s="2" t="s">
        <v>921</v>
      </c>
      <c r="J633" s="2" t="s">
        <v>199</v>
      </c>
      <c r="K633" s="2" t="s">
        <v>521</v>
      </c>
      <c r="L633" s="2" t="s">
        <v>242</v>
      </c>
      <c r="M633" s="2"/>
      <c r="N633" s="2"/>
      <c r="O633" s="2"/>
      <c r="P633" s="2"/>
      <c r="Q633" s="2"/>
      <c r="R633" s="2"/>
      <c r="S633" s="2"/>
      <c r="T633" s="2"/>
      <c r="U633" s="3"/>
      <c r="V633" s="2"/>
      <c r="W633" s="2"/>
      <c r="X633" s="2"/>
      <c r="Y633" s="2"/>
      <c r="Z633" s="2"/>
      <c r="AA633" s="2"/>
      <c r="AB633" s="2"/>
      <c r="AC633" s="2"/>
    </row>
    <row r="634" spans="1:29" ht="20.100000000000001" customHeight="1">
      <c r="A634" s="2" t="s">
        <v>2307</v>
      </c>
      <c r="B634" s="2" t="s">
        <v>2308</v>
      </c>
      <c r="C634" s="2" t="str">
        <f>sheet1[[#This Row],[Nombre]]&amp;sheet1[[#This Row],[Bp Id]]</f>
        <v>AdyctoITM0109</v>
      </c>
      <c r="D634" s="2" t="str">
        <f>VLOOKUP(sheet1[[#This Row],[Columna1]],sheet13[[Columna1]:[Estado]],4,FALSE)</f>
        <v>Operativo</v>
      </c>
      <c r="E634" s="2"/>
      <c r="F634" s="2" t="s">
        <v>32</v>
      </c>
      <c r="G634" s="2" t="s">
        <v>48</v>
      </c>
      <c r="H634" s="2" t="s">
        <v>59</v>
      </c>
      <c r="I634" s="2" t="s">
        <v>198</v>
      </c>
      <c r="J634" s="2" t="s">
        <v>240</v>
      </c>
      <c r="K634" s="2" t="s">
        <v>1288</v>
      </c>
      <c r="L634" s="2" t="s">
        <v>433</v>
      </c>
      <c r="M634" s="2"/>
      <c r="N634" s="2"/>
      <c r="O634" s="2"/>
      <c r="P634" s="2"/>
      <c r="Q634" s="2"/>
      <c r="R634" s="2"/>
      <c r="S634" s="2"/>
      <c r="T634" s="2"/>
      <c r="U634" s="3"/>
      <c r="V634" s="2"/>
      <c r="W634" s="2"/>
      <c r="X634" s="2"/>
      <c r="Y634" s="2"/>
      <c r="Z634" s="2"/>
      <c r="AA634" s="2"/>
      <c r="AB634" s="2"/>
      <c r="AC634" s="2"/>
    </row>
    <row r="635" spans="1:29" ht="20.100000000000001" customHeight="1">
      <c r="A635" s="2" t="s">
        <v>2309</v>
      </c>
      <c r="B635" s="2" t="s">
        <v>2310</v>
      </c>
      <c r="C635" s="2" t="str">
        <f>sheet1[[#This Row],[Nombre]]&amp;sheet1[[#This Row],[Bp Id]]</f>
        <v>Anaconda EnterpriseDAT0001</v>
      </c>
      <c r="D635" s="2" t="str">
        <f>VLOOKUP(sheet1[[#This Row],[Columna1]],sheet13[[Columna1]:[Estado]],4,FALSE)</f>
        <v>Retirado</v>
      </c>
      <c r="E635" s="2"/>
      <c r="F635" s="2" t="s">
        <v>47</v>
      </c>
      <c r="G635" s="2" t="s">
        <v>48</v>
      </c>
      <c r="H635" s="2" t="s">
        <v>34</v>
      </c>
      <c r="I635" s="2" t="s">
        <v>328</v>
      </c>
      <c r="J635" s="2" t="s">
        <v>329</v>
      </c>
      <c r="K635" s="2" t="s">
        <v>575</v>
      </c>
      <c r="L635" s="2" t="s">
        <v>2258</v>
      </c>
      <c r="M635" s="2"/>
      <c r="N635" s="2"/>
      <c r="O635" s="2"/>
      <c r="P635" s="2"/>
      <c r="Q635" s="2"/>
      <c r="R635" s="2"/>
      <c r="S635" s="2"/>
      <c r="T635" s="2"/>
      <c r="U635" s="3"/>
      <c r="V635" s="2"/>
      <c r="W635" s="2"/>
      <c r="X635" s="2"/>
      <c r="Y635" s="2"/>
      <c r="Z635" s="2"/>
      <c r="AA635" s="2"/>
      <c r="AB635" s="2"/>
      <c r="AC635" s="2"/>
    </row>
    <row r="636" spans="1:29" ht="20.100000000000001" customHeight="1">
      <c r="A636" s="2" t="s">
        <v>2311</v>
      </c>
      <c r="B636" s="2" t="s">
        <v>2312</v>
      </c>
      <c r="C636" s="2" t="str">
        <f>sheet1[[#This Row],[Nombre]]&amp;sheet1[[#This Row],[Bp Id]]</f>
        <v>Business Whatsapp Pymes PichinchaCHL0008</v>
      </c>
      <c r="D636" s="2" t="str">
        <f>VLOOKUP(sheet1[[#This Row],[Columna1]],sheet13[[Columna1]:[Estado]],4,FALSE)</f>
        <v>Retirado</v>
      </c>
      <c r="E636" s="2"/>
      <c r="F636" s="2" t="s">
        <v>47</v>
      </c>
      <c r="G636" s="2" t="s">
        <v>48</v>
      </c>
      <c r="H636" s="2" t="s">
        <v>59</v>
      </c>
      <c r="I636" s="2" t="s">
        <v>35</v>
      </c>
      <c r="J636" s="2" t="s">
        <v>349</v>
      </c>
      <c r="K636" s="2" t="s">
        <v>2111</v>
      </c>
      <c r="L636" s="2" t="s">
        <v>2313</v>
      </c>
      <c r="M636" s="2"/>
      <c r="N636" s="2"/>
      <c r="O636" s="2"/>
      <c r="P636" s="2"/>
      <c r="Q636" s="2"/>
      <c r="R636" s="2"/>
      <c r="S636" s="2"/>
      <c r="T636" s="2"/>
      <c r="U636" s="3"/>
      <c r="V636" s="2"/>
      <c r="W636" s="2"/>
      <c r="X636" s="2"/>
      <c r="Y636" s="2"/>
      <c r="Z636" s="2"/>
      <c r="AA636" s="2"/>
      <c r="AB636" s="2"/>
      <c r="AC636" s="2"/>
    </row>
    <row r="637" spans="1:29" ht="20.100000000000001" customHeight="1">
      <c r="A637" s="2" t="s">
        <v>2314</v>
      </c>
      <c r="B637" s="2" t="s">
        <v>2315</v>
      </c>
      <c r="C637" s="2" t="str">
        <f>sheet1[[#This Row],[Nombre]]&amp;sheet1[[#This Row],[Bp Id]]</f>
        <v>Indicadores InstitucionalesSUP0020</v>
      </c>
      <c r="D637" s="2" t="str">
        <f>VLOOKUP(sheet1[[#This Row],[Columna1]],sheet13[[Columna1]:[Estado]],4,FALSE)</f>
        <v>Retirado</v>
      </c>
      <c r="E637" s="2"/>
      <c r="F637" s="2" t="s">
        <v>47</v>
      </c>
      <c r="G637" s="2" t="s">
        <v>48</v>
      </c>
      <c r="H637" s="2" t="s">
        <v>34</v>
      </c>
      <c r="I637" s="2" t="s">
        <v>225</v>
      </c>
      <c r="J637" s="2" t="s">
        <v>226</v>
      </c>
      <c r="K637" s="2"/>
      <c r="L637" s="2"/>
      <c r="M637" s="2"/>
      <c r="N637" s="2"/>
      <c r="O637" s="2"/>
      <c r="P637" s="2"/>
      <c r="Q637" s="2"/>
      <c r="R637" s="2"/>
      <c r="S637" s="2"/>
      <c r="T637" s="2"/>
      <c r="U637" s="3"/>
      <c r="V637" s="2"/>
      <c r="W637" s="2"/>
      <c r="X637" s="2"/>
      <c r="Y637" s="2"/>
      <c r="Z637" s="2"/>
      <c r="AA637" s="2"/>
      <c r="AB637" s="2"/>
      <c r="AC637" s="2"/>
    </row>
    <row r="638" spans="1:29" ht="20.100000000000001" customHeight="1">
      <c r="A638" s="2" t="s">
        <v>2316</v>
      </c>
      <c r="B638" s="2" t="s">
        <v>2317</v>
      </c>
      <c r="C638" s="2" t="str">
        <f>sheet1[[#This Row],[Nombre]]&amp;sheet1[[#This Row],[Bp Id]]</f>
        <v>Reportes regulatorios y normativosITM0151</v>
      </c>
      <c r="D638" s="2" t="e">
        <f>VLOOKUP(sheet1[[#This Row],[Columna1]],sheet13[[Columna1]:[Estado]],4,FALSE)</f>
        <v>#N/A</v>
      </c>
      <c r="E638" s="2"/>
      <c r="F638" s="2" t="s">
        <v>32</v>
      </c>
      <c r="G638" s="2" t="s">
        <v>48</v>
      </c>
      <c r="H638" s="2" t="s">
        <v>34</v>
      </c>
      <c r="I638" s="2" t="s">
        <v>225</v>
      </c>
      <c r="J638" s="2" t="s">
        <v>226</v>
      </c>
      <c r="K638" s="2" t="s">
        <v>687</v>
      </c>
      <c r="L638" s="2" t="s">
        <v>228</v>
      </c>
      <c r="M638" s="2"/>
      <c r="N638" s="2"/>
      <c r="O638" s="2"/>
      <c r="P638" s="2"/>
      <c r="Q638" s="2"/>
      <c r="R638" s="2"/>
      <c r="S638" s="2"/>
      <c r="T638" s="2"/>
      <c r="U638" s="3"/>
      <c r="V638" s="2"/>
      <c r="W638" s="2"/>
      <c r="X638" s="2"/>
      <c r="Y638" s="2"/>
      <c r="Z638" s="2"/>
      <c r="AA638" s="2"/>
      <c r="AB638" s="2"/>
      <c r="AC638" s="2"/>
    </row>
    <row r="639" spans="1:29" ht="20.100000000000001" customHeight="1">
      <c r="A639" s="2" t="s">
        <v>2318</v>
      </c>
      <c r="B639" s="2" t="s">
        <v>2319</v>
      </c>
      <c r="C639" s="2" t="str">
        <f>sheet1[[#This Row],[Nombre]]&amp;sheet1[[#This Row],[Bp Id]]</f>
        <v>LogiFormTIE0020</v>
      </c>
      <c r="D639" s="2" t="str">
        <f>VLOOKUP(sheet1[[#This Row],[Columna1]],sheet13[[Columna1]:[Estado]],4,FALSE)</f>
        <v>Retirado</v>
      </c>
      <c r="E639" s="2"/>
      <c r="F639" s="2" t="s">
        <v>47</v>
      </c>
      <c r="G639" s="2" t="s">
        <v>48</v>
      </c>
      <c r="H639" s="2" t="s">
        <v>34</v>
      </c>
      <c r="I639" s="2" t="s">
        <v>553</v>
      </c>
      <c r="J639" s="2" t="s">
        <v>554</v>
      </c>
      <c r="K639" s="2"/>
      <c r="L639" s="2" t="s">
        <v>110</v>
      </c>
      <c r="M639" s="2"/>
      <c r="N639" s="2"/>
      <c r="O639" s="2"/>
      <c r="P639" s="2"/>
      <c r="Q639" s="2"/>
      <c r="R639" s="2"/>
      <c r="S639" s="2"/>
      <c r="T639" s="2"/>
      <c r="U639" s="3"/>
      <c r="V639" s="2"/>
      <c r="W639" s="2"/>
      <c r="X639" s="2"/>
      <c r="Y639" s="2"/>
      <c r="Z639" s="2"/>
      <c r="AA639" s="2"/>
      <c r="AB639" s="2"/>
      <c r="AC639" s="2"/>
    </row>
    <row r="640" spans="1:29" ht="20.100000000000001" customHeight="1">
      <c r="A640" s="2" t="s">
        <v>2320</v>
      </c>
      <c r="B640" s="2" t="s">
        <v>2321</v>
      </c>
      <c r="C640" s="2" t="str">
        <f>sheet1[[#This Row],[Nombre]]&amp;sheet1[[#This Row],[Bp Id]]</f>
        <v>Autogestión de desembolsoPRD0003</v>
      </c>
      <c r="D640" s="2" t="str">
        <f>VLOOKUP(sheet1[[#This Row],[Columna1]],sheet13[[Columna1]:[Estado]],4,FALSE)</f>
        <v>Retirado</v>
      </c>
      <c r="E640" s="2"/>
      <c r="F640" s="2" t="s">
        <v>47</v>
      </c>
      <c r="G640" s="2" t="s">
        <v>48</v>
      </c>
      <c r="H640" s="2" t="s">
        <v>59</v>
      </c>
      <c r="I640" s="2" t="s">
        <v>553</v>
      </c>
      <c r="J640" s="2" t="s">
        <v>554</v>
      </c>
      <c r="K640" s="2"/>
      <c r="L640" s="2"/>
      <c r="M640" s="2"/>
      <c r="N640" s="2"/>
      <c r="O640" s="2"/>
      <c r="P640" s="2"/>
      <c r="Q640" s="2"/>
      <c r="R640" s="2"/>
      <c r="S640" s="2"/>
      <c r="T640" s="2"/>
      <c r="U640" s="3"/>
      <c r="V640" s="2"/>
      <c r="W640" s="2"/>
      <c r="X640" s="2"/>
      <c r="Y640" s="2"/>
      <c r="Z640" s="2"/>
      <c r="AA640" s="2"/>
      <c r="AB640" s="2"/>
      <c r="AC640" s="2"/>
    </row>
    <row r="641" spans="1:29" ht="20.100000000000001" customHeight="1">
      <c r="A641" s="2" t="s">
        <v>2322</v>
      </c>
      <c r="B641" s="2" t="s">
        <v>2323</v>
      </c>
      <c r="C641" s="2" t="str">
        <f>sheet1[[#This Row],[Nombre]]&amp;sheet1[[#This Row],[Bp Id]]</f>
        <v>KudertSUP0071</v>
      </c>
      <c r="D641" s="2" t="str">
        <f>VLOOKUP(sheet1[[#This Row],[Columna1]],sheet13[[Columna1]:[Estado]],4,FALSE)</f>
        <v>Operativo</v>
      </c>
      <c r="E641" s="2"/>
      <c r="F641" s="2" t="s">
        <v>32</v>
      </c>
      <c r="G641" s="2" t="s">
        <v>48</v>
      </c>
      <c r="H641" s="2" t="s">
        <v>59</v>
      </c>
      <c r="I641" s="2" t="s">
        <v>225</v>
      </c>
      <c r="J641" s="2" t="s">
        <v>226</v>
      </c>
      <c r="K641" s="2" t="s">
        <v>300</v>
      </c>
      <c r="L641" s="2" t="s">
        <v>304</v>
      </c>
      <c r="M641" s="2"/>
      <c r="N641" s="2"/>
      <c r="O641" s="2"/>
      <c r="P641" s="2"/>
      <c r="Q641" s="2"/>
      <c r="R641" s="2"/>
      <c r="S641" s="2"/>
      <c r="T641" s="2"/>
      <c r="U641" s="3"/>
      <c r="V641" s="2"/>
      <c r="W641" s="2"/>
      <c r="X641" s="2"/>
      <c r="Y641" s="2"/>
      <c r="Z641" s="2"/>
      <c r="AA641" s="2"/>
      <c r="AB641" s="2"/>
      <c r="AC641" s="2"/>
    </row>
    <row r="642" spans="1:29" ht="20.100000000000001" customHeight="1">
      <c r="A642" s="2" t="s">
        <v>2324</v>
      </c>
      <c r="B642" s="2" t="s">
        <v>2325</v>
      </c>
      <c r="C642" s="2" t="str">
        <f>sheet1[[#This Row],[Nombre]]&amp;sheet1[[#This Row],[Bp Id]]</f>
        <v>FTPITM0021</v>
      </c>
      <c r="D642" s="2" t="str">
        <f>VLOOKUP(sheet1[[#This Row],[Columna1]],sheet13[[Columna1]:[Estado]],4,FALSE)</f>
        <v>Retirado</v>
      </c>
      <c r="E642" s="2"/>
      <c r="F642" s="2" t="s">
        <v>47</v>
      </c>
      <c r="G642" s="2" t="s">
        <v>76</v>
      </c>
      <c r="H642" s="2" t="s">
        <v>34</v>
      </c>
      <c r="I642" s="2" t="s">
        <v>68</v>
      </c>
      <c r="J642" s="2" t="s">
        <v>236</v>
      </c>
      <c r="K642" s="2"/>
      <c r="L642" s="2" t="s">
        <v>672</v>
      </c>
      <c r="M642" s="2"/>
      <c r="N642" s="2"/>
      <c r="O642" s="2"/>
      <c r="P642" s="2"/>
      <c r="Q642" s="2"/>
      <c r="R642" s="2"/>
      <c r="S642" s="2"/>
      <c r="T642" s="2"/>
      <c r="U642" s="3"/>
      <c r="V642" s="2"/>
      <c r="W642" s="2"/>
      <c r="X642" s="2"/>
      <c r="Y642" s="2"/>
      <c r="Z642" s="2"/>
      <c r="AA642" s="2"/>
      <c r="AB642" s="2"/>
      <c r="AC642" s="2"/>
    </row>
    <row r="643" spans="1:29" ht="20.100000000000001" customHeight="1">
      <c r="A643" s="2" t="s">
        <v>2326</v>
      </c>
      <c r="B643" s="2" t="s">
        <v>2327</v>
      </c>
      <c r="C643" s="2" t="str">
        <f>sheet1[[#This Row],[Nombre]]&amp;sheet1[[#This Row],[Bp Id]]</f>
        <v>Azure Kubernetes ServicesITM0125</v>
      </c>
      <c r="D643" s="2" t="str">
        <f>VLOOKUP(sheet1[[#This Row],[Columna1]],sheet13[[Columna1]:[Estado]],4,FALSE)</f>
        <v>Operativo</v>
      </c>
      <c r="E643" s="2"/>
      <c r="F643" s="2" t="s">
        <v>32</v>
      </c>
      <c r="G643" s="2" t="s">
        <v>123</v>
      </c>
      <c r="H643" s="2" t="s">
        <v>59</v>
      </c>
      <c r="I643" s="2" t="s">
        <v>198</v>
      </c>
      <c r="J643" s="2" t="s">
        <v>199</v>
      </c>
      <c r="K643" s="2" t="s">
        <v>521</v>
      </c>
      <c r="L643" s="2" t="s">
        <v>242</v>
      </c>
      <c r="M643" s="2"/>
      <c r="N643" s="2"/>
      <c r="O643" s="2"/>
      <c r="P643" s="2"/>
      <c r="Q643" s="2"/>
      <c r="R643" s="2"/>
      <c r="S643" s="2"/>
      <c r="T643" s="2"/>
      <c r="U643" s="3"/>
      <c r="V643" s="2"/>
      <c r="W643" s="2"/>
      <c r="X643" s="2"/>
      <c r="Y643" s="2"/>
      <c r="Z643" s="2"/>
      <c r="AA643" s="2"/>
      <c r="AB643" s="2"/>
      <c r="AC643" s="2"/>
    </row>
    <row r="644" spans="1:29" ht="20.100000000000001" customHeight="1">
      <c r="A644" s="2" t="s">
        <v>2328</v>
      </c>
      <c r="B644" s="2" t="s">
        <v>2329</v>
      </c>
      <c r="C644" s="2" t="str">
        <f>sheet1[[#This Row],[Nombre]]&amp;sheet1[[#This Row],[Bp Id]]</f>
        <v>Gestión de Capacidad TIITM0112</v>
      </c>
      <c r="D644" s="2" t="str">
        <f>VLOOKUP(sheet1[[#This Row],[Columna1]],sheet13[[Columna1]:[Estado]],4,FALSE)</f>
        <v>Operativo</v>
      </c>
      <c r="E644" s="2"/>
      <c r="F644" s="2" t="s">
        <v>32</v>
      </c>
      <c r="G644" s="2" t="s">
        <v>48</v>
      </c>
      <c r="H644" s="2" t="s">
        <v>34</v>
      </c>
      <c r="I644" s="2" t="s">
        <v>68</v>
      </c>
      <c r="J644" s="2" t="s">
        <v>69</v>
      </c>
      <c r="K644" s="2" t="s">
        <v>69</v>
      </c>
      <c r="L644" s="2" t="s">
        <v>2063</v>
      </c>
      <c r="M644" s="2"/>
      <c r="N644" s="2"/>
      <c r="O644" s="2"/>
      <c r="P644" s="2"/>
      <c r="Q644" s="2"/>
      <c r="R644" s="2"/>
      <c r="S644" s="2"/>
      <c r="T644" s="2"/>
      <c r="U644" s="3"/>
      <c r="V644" s="2"/>
      <c r="W644" s="2"/>
      <c r="X644" s="2"/>
      <c r="Y644" s="2"/>
      <c r="Z644" s="2"/>
      <c r="AA644" s="2"/>
      <c r="AB644" s="2"/>
      <c r="AC644" s="2"/>
    </row>
    <row r="645" spans="1:29" ht="20.100000000000001" customHeight="1">
      <c r="A645" s="2" t="s">
        <v>2330</v>
      </c>
      <c r="B645" s="2" t="s">
        <v>2331</v>
      </c>
      <c r="C645" s="2" t="str">
        <f>sheet1[[#This Row],[Nombre]]&amp;sheet1[[#This Row],[Bp Id]]</f>
        <v>ATM Agent ProcessorITM0135</v>
      </c>
      <c r="D645" s="2" t="str">
        <f>VLOOKUP(sheet1[[#This Row],[Columna1]],sheet13[[Columna1]:[Estado]],4,FALSE)</f>
        <v>Operativo</v>
      </c>
      <c r="E645" s="2"/>
      <c r="F645" s="2" t="s">
        <v>32</v>
      </c>
      <c r="G645" s="2" t="s">
        <v>48</v>
      </c>
      <c r="H645" s="2" t="s">
        <v>59</v>
      </c>
      <c r="I645" s="2" t="s">
        <v>35</v>
      </c>
      <c r="J645" s="2" t="s">
        <v>36</v>
      </c>
      <c r="K645" s="2" t="s">
        <v>381</v>
      </c>
      <c r="L645" s="2" t="s">
        <v>2332</v>
      </c>
      <c r="M645" s="2"/>
      <c r="N645" s="2"/>
      <c r="O645" s="2"/>
      <c r="P645" s="2"/>
      <c r="Q645" s="2"/>
      <c r="R645" s="2"/>
      <c r="S645" s="2"/>
      <c r="T645" s="2"/>
      <c r="U645" s="3"/>
      <c r="V645" s="2"/>
      <c r="W645" s="2"/>
      <c r="X645" s="2"/>
      <c r="Y645" s="2"/>
      <c r="Z645" s="2"/>
      <c r="AA645" s="2"/>
      <c r="AB645" s="2"/>
      <c r="AC645" s="2"/>
    </row>
    <row r="646" spans="1:29" ht="20.100000000000001" customHeight="1">
      <c r="A646" s="2" t="s">
        <v>2333</v>
      </c>
      <c r="B646" s="2" t="s">
        <v>2334</v>
      </c>
      <c r="C646" s="2" t="str">
        <f>sheet1[[#This Row],[Nombre]]&amp;sheet1[[#This Row],[Bp Id]]</f>
        <v>HPE AlletraITM0123</v>
      </c>
      <c r="D646" s="2" t="str">
        <f>VLOOKUP(sheet1[[#This Row],[Columna1]],sheet13[[Columna1]:[Estado]],4,FALSE)</f>
        <v>Operativo</v>
      </c>
      <c r="E646" s="2"/>
      <c r="F646" s="2" t="s">
        <v>32</v>
      </c>
      <c r="G646" s="2" t="s">
        <v>48</v>
      </c>
      <c r="H646" s="2" t="s">
        <v>34</v>
      </c>
      <c r="I646" s="2" t="s">
        <v>68</v>
      </c>
      <c r="J646" s="2" t="s">
        <v>69</v>
      </c>
      <c r="K646" s="2" t="s">
        <v>70</v>
      </c>
      <c r="L646" s="2" t="s">
        <v>1929</v>
      </c>
      <c r="M646" s="2"/>
      <c r="N646" s="2"/>
      <c r="O646" s="2"/>
      <c r="P646" s="2"/>
      <c r="Q646" s="2"/>
      <c r="R646" s="2"/>
      <c r="S646" s="2"/>
      <c r="T646" s="2"/>
      <c r="U646" s="3"/>
      <c r="V646" s="2"/>
      <c r="W646" s="2"/>
      <c r="X646" s="2"/>
      <c r="Y646" s="2"/>
      <c r="Z646" s="2"/>
      <c r="AA646" s="2"/>
      <c r="AB646" s="2"/>
      <c r="AC646" s="2"/>
    </row>
    <row r="647" spans="1:29" ht="20.100000000000001" customHeight="1">
      <c r="A647" s="2" t="s">
        <v>2335</v>
      </c>
      <c r="B647" s="2" t="s">
        <v>2334</v>
      </c>
      <c r="C647" s="2" t="str">
        <f>sheet1[[#This Row],[Nombre]]&amp;sheet1[[#This Row],[Bp Id]]</f>
        <v>GravityITM0123</v>
      </c>
      <c r="D647" s="2" t="str">
        <f>VLOOKUP(sheet1[[#This Row],[Columna1]],sheet13[[Columna1]:[Estado]],4,FALSE)</f>
        <v>Operativo</v>
      </c>
      <c r="E647" s="2"/>
      <c r="F647" s="2" t="s">
        <v>32</v>
      </c>
      <c r="G647" s="2" t="s">
        <v>48</v>
      </c>
      <c r="H647" s="2" t="s">
        <v>59</v>
      </c>
      <c r="I647" s="2" t="s">
        <v>198</v>
      </c>
      <c r="J647" s="2" t="s">
        <v>2235</v>
      </c>
      <c r="K647" s="2" t="s">
        <v>433</v>
      </c>
      <c r="L647" s="2" t="s">
        <v>2236</v>
      </c>
      <c r="M647" s="2"/>
      <c r="N647" s="2"/>
      <c r="O647" s="2"/>
      <c r="P647" s="2"/>
      <c r="Q647" s="2"/>
      <c r="R647" s="2"/>
      <c r="S647" s="2"/>
      <c r="T647" s="2"/>
      <c r="U647" s="3"/>
      <c r="V647" s="2"/>
      <c r="W647" s="2"/>
      <c r="X647" s="2"/>
      <c r="Y647" s="2"/>
      <c r="Z647" s="2"/>
      <c r="AA647" s="2"/>
      <c r="AB647" s="2"/>
      <c r="AC647" s="2"/>
    </row>
    <row r="648" spans="1:29" ht="20.100000000000001" customHeight="1">
      <c r="A648" s="2" t="s">
        <v>2336</v>
      </c>
      <c r="B648" s="2" t="s">
        <v>2337</v>
      </c>
      <c r="C648" s="2" t="str">
        <f>sheet1[[#This Row],[Nombre]]&amp;sheet1[[#This Row],[Bp Id]]</f>
        <v>VECTRSEC0090</v>
      </c>
      <c r="D648" s="2" t="str">
        <f>VLOOKUP(sheet1[[#This Row],[Columna1]],sheet13[[Columna1]:[Estado]],4,FALSE)</f>
        <v>Operativo</v>
      </c>
      <c r="E648" s="2"/>
      <c r="F648" s="2" t="s">
        <v>32</v>
      </c>
      <c r="G648" s="2" t="s">
        <v>48</v>
      </c>
      <c r="H648" s="2" t="s">
        <v>34</v>
      </c>
      <c r="I648" s="2" t="s">
        <v>107</v>
      </c>
      <c r="J648" s="2" t="s">
        <v>2338</v>
      </c>
      <c r="K648" s="2" t="s">
        <v>2338</v>
      </c>
      <c r="L648" s="2" t="s">
        <v>2338</v>
      </c>
      <c r="M648" s="2"/>
      <c r="N648" s="2"/>
      <c r="O648" s="2"/>
      <c r="P648" s="2"/>
      <c r="Q648" s="2"/>
      <c r="R648" s="2"/>
      <c r="S648" s="2"/>
      <c r="T648" s="2"/>
      <c r="U648" s="3"/>
      <c r="V648" s="2"/>
      <c r="W648" s="2"/>
      <c r="X648" s="2"/>
      <c r="Y648" s="2"/>
      <c r="Z648" s="2"/>
      <c r="AA648" s="2"/>
      <c r="AB648" s="2"/>
      <c r="AC648" s="2"/>
    </row>
    <row r="649" spans="1:29" ht="20.100000000000001" customHeight="1">
      <c r="A649" s="2" t="s">
        <v>2339</v>
      </c>
      <c r="B649" s="2" t="s">
        <v>2340</v>
      </c>
      <c r="C649" s="2" t="str">
        <f>sheet1[[#This Row],[Nombre]]&amp;sheet1[[#This Row],[Bp Id]]</f>
        <v>MDMDAT0005</v>
      </c>
      <c r="D649" s="2" t="str">
        <f>VLOOKUP(sheet1[[#This Row],[Columna1]],sheet13[[Columna1]:[Estado]],4,FALSE)</f>
        <v>Retirado</v>
      </c>
      <c r="E649" s="2"/>
      <c r="F649" s="2" t="s">
        <v>47</v>
      </c>
      <c r="G649" s="2" t="s">
        <v>48</v>
      </c>
      <c r="H649" s="2" t="s">
        <v>59</v>
      </c>
      <c r="I649" s="2" t="s">
        <v>328</v>
      </c>
      <c r="J649" s="2" t="s">
        <v>329</v>
      </c>
      <c r="K649" s="2" t="s">
        <v>330</v>
      </c>
      <c r="L649" s="2" t="s">
        <v>331</v>
      </c>
      <c r="M649" s="2"/>
      <c r="N649" s="2"/>
      <c r="O649" s="2"/>
      <c r="P649" s="2"/>
      <c r="Q649" s="2"/>
      <c r="R649" s="2"/>
      <c r="S649" s="2"/>
      <c r="T649" s="2"/>
      <c r="U649" s="3"/>
      <c r="V649" s="2"/>
      <c r="W649" s="2"/>
      <c r="X649" s="2"/>
      <c r="Y649" s="2"/>
      <c r="Z649" s="2"/>
      <c r="AA649" s="2"/>
      <c r="AB649" s="2"/>
      <c r="AC649" s="2"/>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4F093-EC08-4EDB-8187-6F67E7B32998}">
  <dimension ref="A1:AE636"/>
  <sheetViews>
    <sheetView tabSelected="1" zoomScale="55" workbookViewId="0">
      <selection activeCell="D1" sqref="D1"/>
    </sheetView>
  </sheetViews>
  <sheetFormatPr defaultColWidth="11.42578125" defaultRowHeight="14.45"/>
  <sheetData>
    <row r="1" spans="1:31" ht="65.45">
      <c r="A1" s="1" t="s">
        <v>0</v>
      </c>
      <c r="B1" s="1" t="s">
        <v>1</v>
      </c>
      <c r="C1" s="1" t="s">
        <v>2</v>
      </c>
      <c r="D1" s="1" t="s">
        <v>3</v>
      </c>
      <c r="E1" s="1" t="s">
        <v>4</v>
      </c>
      <c r="F1" s="1" t="s">
        <v>5</v>
      </c>
      <c r="G1" s="1" t="s">
        <v>6</v>
      </c>
      <c r="H1" s="1" t="s">
        <v>7</v>
      </c>
      <c r="I1" s="1" t="s">
        <v>8</v>
      </c>
      <c r="J1" s="1" t="s">
        <v>9</v>
      </c>
      <c r="K1" s="1" t="s">
        <v>10</v>
      </c>
      <c r="L1" s="1" t="s">
        <v>11</v>
      </c>
      <c r="M1" s="1" t="s">
        <v>12</v>
      </c>
      <c r="N1" s="4" t="s">
        <v>2341</v>
      </c>
      <c r="O1" s="1" t="s">
        <v>13</v>
      </c>
      <c r="P1" s="1" t="s">
        <v>14</v>
      </c>
      <c r="Q1" s="1" t="s">
        <v>15</v>
      </c>
      <c r="R1" s="1" t="s">
        <v>16</v>
      </c>
      <c r="S1" s="1" t="s">
        <v>17</v>
      </c>
      <c r="T1" s="1" t="s">
        <v>2342</v>
      </c>
      <c r="U1" s="1" t="s">
        <v>18</v>
      </c>
      <c r="V1" s="1" t="s">
        <v>19</v>
      </c>
      <c r="W1" s="1" t="s">
        <v>20</v>
      </c>
      <c r="X1" s="1" t="s">
        <v>21</v>
      </c>
      <c r="Y1" s="1" t="s">
        <v>22</v>
      </c>
      <c r="Z1" s="1" t="s">
        <v>23</v>
      </c>
      <c r="AA1" s="1" t="s">
        <v>24</v>
      </c>
      <c r="AB1" s="1" t="s">
        <v>25</v>
      </c>
      <c r="AC1" s="1" t="s">
        <v>26</v>
      </c>
      <c r="AD1" s="1" t="s">
        <v>27</v>
      </c>
      <c r="AE1" s="1" t="s">
        <v>28</v>
      </c>
    </row>
    <row r="2" spans="1:31" ht="409.6">
      <c r="A2" s="2" t="s">
        <v>29</v>
      </c>
      <c r="B2" s="2" t="s">
        <v>30</v>
      </c>
      <c r="C2" s="2" t="str">
        <f>sheet13[[#This Row],[Nombre]]&amp;sheet13[[#This Row],[Bp Id]]</f>
        <v>IBM WebSphere PortalCHL0017</v>
      </c>
      <c r="D2" s="2" t="str">
        <f>VLOOKUP(sheet13[[#This Row],[Columna1]],Sheet2!C:S,4,FALSE)</f>
        <v>Operativo</v>
      </c>
      <c r="E2" s="2" t="s">
        <v>31</v>
      </c>
      <c r="F2" s="2" t="s">
        <v>32</v>
      </c>
      <c r="G2" s="2" t="s">
        <v>33</v>
      </c>
      <c r="H2" s="2" t="s">
        <v>34</v>
      </c>
      <c r="I2" s="2" t="s">
        <v>35</v>
      </c>
      <c r="J2" s="2" t="s">
        <v>36</v>
      </c>
      <c r="K2" s="2" t="s">
        <v>37</v>
      </c>
      <c r="L2" s="2" t="s">
        <v>38</v>
      </c>
      <c r="M2" s="2" t="s">
        <v>39</v>
      </c>
      <c r="N2" s="2" t="s">
        <v>2343</v>
      </c>
      <c r="O2" s="2" t="s">
        <v>40</v>
      </c>
      <c r="P2" s="2" t="s">
        <v>41</v>
      </c>
      <c r="Q2" s="2" t="s">
        <v>42</v>
      </c>
      <c r="R2" s="2" t="s">
        <v>42</v>
      </c>
      <c r="S2" s="2" t="s">
        <v>41</v>
      </c>
      <c r="T2" s="2" t="s">
        <v>2344</v>
      </c>
      <c r="U2" s="2" t="s">
        <v>43</v>
      </c>
      <c r="V2" s="2"/>
      <c r="W2" s="3"/>
      <c r="X2" s="2"/>
      <c r="Y2" s="2"/>
      <c r="Z2" s="2"/>
      <c r="AA2" s="2"/>
      <c r="AB2" s="2"/>
      <c r="AC2" s="2"/>
      <c r="AD2" s="2"/>
      <c r="AE2" s="2"/>
    </row>
    <row r="3" spans="1:31" ht="213.6">
      <c r="A3" s="2" t="s">
        <v>44</v>
      </c>
      <c r="B3" s="2" t="s">
        <v>45</v>
      </c>
      <c r="C3" s="2" t="str">
        <f>sheet13[[#This Row],[Nombre]]&amp;sheet13[[#This Row],[Bp Id]]</f>
        <v>IBM WSRRINT0007</v>
      </c>
      <c r="D3" s="2" t="str">
        <f>VLOOKUP(sheet13[[#This Row],[Columna1]],Sheet2!C:S,4,FALSE)</f>
        <v>Retirado</v>
      </c>
      <c r="E3" s="2" t="s">
        <v>46</v>
      </c>
      <c r="F3" s="2" t="s">
        <v>47</v>
      </c>
      <c r="G3" s="2" t="s">
        <v>48</v>
      </c>
      <c r="H3" s="2" t="s">
        <v>34</v>
      </c>
      <c r="I3" s="2" t="s">
        <v>49</v>
      </c>
      <c r="J3" s="2" t="s">
        <v>50</v>
      </c>
      <c r="K3" s="2" t="s">
        <v>51</v>
      </c>
      <c r="L3" s="2" t="s">
        <v>51</v>
      </c>
      <c r="M3" s="2" t="s">
        <v>52</v>
      </c>
      <c r="N3" s="2" t="s">
        <v>2345</v>
      </c>
      <c r="O3" s="2" t="s">
        <v>40</v>
      </c>
      <c r="P3" s="2" t="s">
        <v>41</v>
      </c>
      <c r="Q3" s="2" t="s">
        <v>53</v>
      </c>
      <c r="R3" s="2" t="s">
        <v>53</v>
      </c>
      <c r="S3" s="2" t="s">
        <v>43</v>
      </c>
      <c r="T3" s="2"/>
      <c r="U3" s="2" t="s">
        <v>43</v>
      </c>
      <c r="V3" s="2" t="s">
        <v>54</v>
      </c>
      <c r="W3" s="3"/>
      <c r="X3" s="2"/>
      <c r="Y3" s="2"/>
      <c r="Z3" s="2"/>
      <c r="AA3" s="2"/>
      <c r="AB3" s="2"/>
      <c r="AC3" s="2"/>
      <c r="AD3" s="2"/>
      <c r="AE3" s="2"/>
    </row>
    <row r="4" spans="1:31" ht="63.6">
      <c r="A4" s="2" t="s">
        <v>55</v>
      </c>
      <c r="B4" s="2" t="s">
        <v>56</v>
      </c>
      <c r="C4" s="2" t="str">
        <f>sheet13[[#This Row],[Nombre]]&amp;sheet13[[#This Row],[Bp Id]]</f>
        <v>ICEPanelITM0068</v>
      </c>
      <c r="D4" s="2" t="str">
        <f>VLOOKUP(sheet13[[#This Row],[Columna1]],Sheet2!C:S,4,FALSE)</f>
        <v>Operativo</v>
      </c>
      <c r="E4" s="2" t="s">
        <v>57</v>
      </c>
      <c r="F4" s="2" t="s">
        <v>32</v>
      </c>
      <c r="G4" s="2" t="s">
        <v>58</v>
      </c>
      <c r="H4" s="2" t="s">
        <v>59</v>
      </c>
      <c r="I4" s="2" t="s">
        <v>60</v>
      </c>
      <c r="J4" s="2" t="s">
        <v>61</v>
      </c>
      <c r="K4" s="2" t="s">
        <v>62</v>
      </c>
      <c r="L4" s="2" t="s">
        <v>62</v>
      </c>
      <c r="M4" s="2" t="s">
        <v>63</v>
      </c>
      <c r="N4" s="2" t="s">
        <v>2343</v>
      </c>
      <c r="O4" s="2" t="s">
        <v>40</v>
      </c>
      <c r="P4" s="2" t="s">
        <v>41</v>
      </c>
      <c r="Q4" s="2" t="s">
        <v>64</v>
      </c>
      <c r="R4" s="2" t="s">
        <v>64</v>
      </c>
      <c r="S4" s="2" t="s">
        <v>43</v>
      </c>
      <c r="T4" s="2" t="s">
        <v>2344</v>
      </c>
      <c r="U4" s="2" t="s">
        <v>43</v>
      </c>
      <c r="V4" s="2" t="s">
        <v>54</v>
      </c>
      <c r="W4" s="3"/>
      <c r="X4" s="2"/>
      <c r="Y4" s="2"/>
      <c r="Z4" s="2"/>
      <c r="AA4" s="2"/>
      <c r="AB4" s="2"/>
      <c r="AC4" s="2"/>
      <c r="AD4" s="2"/>
      <c r="AE4" s="2"/>
    </row>
    <row r="5" spans="1:31" ht="188.45">
      <c r="A5" s="2" t="s">
        <v>65</v>
      </c>
      <c r="B5" s="2" t="s">
        <v>66</v>
      </c>
      <c r="C5" s="2" t="str">
        <f>sheet13[[#This Row],[Nombre]]&amp;sheet13[[#This Row],[Bp Id]]</f>
        <v>IderaITM0035</v>
      </c>
      <c r="D5" s="2" t="str">
        <f>VLOOKUP(sheet13[[#This Row],[Columna1]],Sheet2!C:S,4,FALSE)</f>
        <v>Operativo</v>
      </c>
      <c r="E5" s="2" t="s">
        <v>67</v>
      </c>
      <c r="F5" s="2" t="s">
        <v>32</v>
      </c>
      <c r="G5" s="2" t="s">
        <v>58</v>
      </c>
      <c r="H5" s="2" t="s">
        <v>34</v>
      </c>
      <c r="I5" s="2" t="s">
        <v>68</v>
      </c>
      <c r="J5" s="2" t="s">
        <v>69</v>
      </c>
      <c r="K5" s="2" t="s">
        <v>70</v>
      </c>
      <c r="L5" s="2" t="s">
        <v>71</v>
      </c>
      <c r="M5" s="2" t="s">
        <v>52</v>
      </c>
      <c r="N5" s="2" t="s">
        <v>2343</v>
      </c>
      <c r="O5" s="2" t="s">
        <v>40</v>
      </c>
      <c r="P5" s="2" t="s">
        <v>41</v>
      </c>
      <c r="Q5" s="2" t="s">
        <v>53</v>
      </c>
      <c r="R5" s="2" t="s">
        <v>53</v>
      </c>
      <c r="S5" s="2" t="s">
        <v>41</v>
      </c>
      <c r="T5" s="2" t="s">
        <v>2344</v>
      </c>
      <c r="U5" s="2" t="s">
        <v>43</v>
      </c>
      <c r="V5" s="2"/>
      <c r="W5" s="3"/>
      <c r="X5" s="2"/>
      <c r="Y5" s="2"/>
      <c r="Z5" s="2"/>
      <c r="AA5" s="2"/>
      <c r="AB5" s="2"/>
      <c r="AC5" s="2"/>
      <c r="AD5" s="2"/>
      <c r="AE5" s="2" t="s">
        <v>72</v>
      </c>
    </row>
    <row r="6" spans="1:31" ht="150.94999999999999">
      <c r="A6" s="2" t="s">
        <v>73</v>
      </c>
      <c r="B6" s="2" t="s">
        <v>74</v>
      </c>
      <c r="C6" s="2" t="str">
        <f>sheet13[[#This Row],[Nombre]]&amp;sheet13[[#This Row],[Bp Id]]</f>
        <v>IGNITIONITM0069</v>
      </c>
      <c r="D6" s="2" t="str">
        <f>VLOOKUP(sheet13[[#This Row],[Columna1]],Sheet2!C:S,4,FALSE)</f>
        <v>Operativo</v>
      </c>
      <c r="E6" s="2" t="s">
        <v>75</v>
      </c>
      <c r="F6" s="2" t="s">
        <v>32</v>
      </c>
      <c r="G6" s="2" t="s">
        <v>76</v>
      </c>
      <c r="H6" s="2" t="s">
        <v>34</v>
      </c>
      <c r="I6" s="2" t="s">
        <v>68</v>
      </c>
      <c r="J6" s="2" t="s">
        <v>69</v>
      </c>
      <c r="K6" s="2" t="s">
        <v>77</v>
      </c>
      <c r="L6" s="2" t="s">
        <v>78</v>
      </c>
      <c r="M6" s="2" t="s">
        <v>63</v>
      </c>
      <c r="N6" s="2" t="s">
        <v>2343</v>
      </c>
      <c r="O6" s="2" t="s">
        <v>40</v>
      </c>
      <c r="P6" s="2" t="s">
        <v>41</v>
      </c>
      <c r="Q6" s="2" t="s">
        <v>53</v>
      </c>
      <c r="R6" s="2" t="s">
        <v>53</v>
      </c>
      <c r="S6" s="2" t="s">
        <v>43</v>
      </c>
      <c r="T6" s="2" t="s">
        <v>2344</v>
      </c>
      <c r="U6" s="2" t="s">
        <v>43</v>
      </c>
      <c r="V6" s="2" t="s">
        <v>54</v>
      </c>
      <c r="W6" s="3"/>
      <c r="X6" s="2"/>
      <c r="Y6" s="2"/>
      <c r="Z6" s="2"/>
      <c r="AA6" s="2"/>
      <c r="AB6" s="2"/>
      <c r="AC6" s="2"/>
      <c r="AD6" s="2"/>
      <c r="AE6" s="2"/>
    </row>
    <row r="7" spans="1:31" ht="113.45">
      <c r="A7" s="2" t="s">
        <v>79</v>
      </c>
      <c r="B7" s="2" t="s">
        <v>80</v>
      </c>
      <c r="C7" s="2" t="str">
        <f>sheet13[[#This Row],[Nombre]]&amp;sheet13[[#This Row],[Bp Id]]</f>
        <v>ILMTITM0036</v>
      </c>
      <c r="D7" s="2" t="str">
        <f>VLOOKUP(sheet13[[#This Row],[Columna1]],Sheet2!C:S,4,FALSE)</f>
        <v>Operativo</v>
      </c>
      <c r="E7" s="2" t="s">
        <v>81</v>
      </c>
      <c r="F7" s="2" t="s">
        <v>32</v>
      </c>
      <c r="G7" s="2" t="s">
        <v>48</v>
      </c>
      <c r="H7" s="2" t="s">
        <v>34</v>
      </c>
      <c r="I7" s="2" t="s">
        <v>68</v>
      </c>
      <c r="J7" s="2" t="s">
        <v>69</v>
      </c>
      <c r="K7" s="2" t="s">
        <v>82</v>
      </c>
      <c r="L7" s="2" t="s">
        <v>83</v>
      </c>
      <c r="M7" s="2" t="s">
        <v>52</v>
      </c>
      <c r="N7" s="2" t="s">
        <v>2343</v>
      </c>
      <c r="O7" s="2" t="s">
        <v>40</v>
      </c>
      <c r="P7" s="2" t="s">
        <v>41</v>
      </c>
      <c r="Q7" s="2" t="s">
        <v>53</v>
      </c>
      <c r="R7" s="2" t="s">
        <v>53</v>
      </c>
      <c r="S7" s="2" t="s">
        <v>43</v>
      </c>
      <c r="T7" s="2" t="s">
        <v>2344</v>
      </c>
      <c r="U7" s="2" t="s">
        <v>43</v>
      </c>
      <c r="V7" s="2" t="s">
        <v>54</v>
      </c>
      <c r="W7" s="3"/>
      <c r="X7" s="2"/>
      <c r="Y7" s="2"/>
      <c r="Z7" s="2"/>
      <c r="AA7" s="2"/>
      <c r="AB7" s="2"/>
      <c r="AC7" s="2"/>
      <c r="AD7" s="2"/>
      <c r="AE7" s="2"/>
    </row>
    <row r="8" spans="1:31" ht="409.6">
      <c r="A8" s="2" t="s">
        <v>84</v>
      </c>
      <c r="B8" s="2" t="s">
        <v>85</v>
      </c>
      <c r="C8" s="2" t="str">
        <f>sheet13[[#This Row],[Nombre]]&amp;sheet13[[#This Row],[Bp Id]]</f>
        <v>Impacto 360DAT0015</v>
      </c>
      <c r="D8" s="2" t="str">
        <f>VLOOKUP(sheet13[[#This Row],[Columna1]],Sheet2!C:S,4,FALSE)</f>
        <v>Operativo</v>
      </c>
      <c r="E8" s="2" t="s">
        <v>86</v>
      </c>
      <c r="F8" s="2" t="s">
        <v>32</v>
      </c>
      <c r="G8" s="2" t="s">
        <v>48</v>
      </c>
      <c r="H8" s="2" t="s">
        <v>59</v>
      </c>
      <c r="I8" s="2" t="s">
        <v>87</v>
      </c>
      <c r="J8" s="2" t="s">
        <v>88</v>
      </c>
      <c r="K8" s="2" t="s">
        <v>89</v>
      </c>
      <c r="L8" s="2" t="s">
        <v>90</v>
      </c>
      <c r="M8" s="2" t="s">
        <v>39</v>
      </c>
      <c r="N8" s="2" t="s">
        <v>2345</v>
      </c>
      <c r="O8" s="2" t="s">
        <v>91</v>
      </c>
      <c r="P8" s="2" t="s">
        <v>41</v>
      </c>
      <c r="Q8" s="2" t="s">
        <v>64</v>
      </c>
      <c r="R8" s="2" t="s">
        <v>64</v>
      </c>
      <c r="S8" s="2" t="s">
        <v>43</v>
      </c>
      <c r="T8" s="2"/>
      <c r="U8" s="2" t="s">
        <v>43</v>
      </c>
      <c r="V8" s="2" t="s">
        <v>54</v>
      </c>
      <c r="W8" s="3"/>
      <c r="X8" s="2"/>
      <c r="Y8" s="2"/>
      <c r="Z8" s="2"/>
      <c r="AA8" s="2"/>
      <c r="AB8" s="2"/>
      <c r="AC8" s="2"/>
      <c r="AD8" s="2"/>
      <c r="AE8" s="2"/>
    </row>
    <row r="9" spans="1:31" ht="213.6">
      <c r="A9" s="2" t="s">
        <v>92</v>
      </c>
      <c r="B9" s="2" t="s">
        <v>93</v>
      </c>
      <c r="C9" s="2" t="str">
        <f>sheet13[[#This Row],[Nombre]]&amp;sheet13[[#This Row],[Bp Id]]</f>
        <v>Impresion DocumentosTIE0018</v>
      </c>
      <c r="D9" s="2" t="str">
        <f>VLOOKUP(sheet13[[#This Row],[Columna1]],Sheet2!C:S,4,FALSE)</f>
        <v>Operativo</v>
      </c>
      <c r="E9" s="2" t="s">
        <v>94</v>
      </c>
      <c r="F9" s="2" t="s">
        <v>32</v>
      </c>
      <c r="G9" s="2" t="s">
        <v>48</v>
      </c>
      <c r="H9" s="2" t="s">
        <v>34</v>
      </c>
      <c r="I9" s="2" t="s">
        <v>95</v>
      </c>
      <c r="J9" s="2" t="s">
        <v>96</v>
      </c>
      <c r="K9" s="2" t="s">
        <v>97</v>
      </c>
      <c r="L9" s="2" t="s">
        <v>98</v>
      </c>
      <c r="M9" s="2" t="s">
        <v>39</v>
      </c>
      <c r="N9" s="2" t="s">
        <v>2343</v>
      </c>
      <c r="O9" s="2" t="s">
        <v>40</v>
      </c>
      <c r="P9" s="2" t="s">
        <v>41</v>
      </c>
      <c r="Q9" s="2" t="s">
        <v>42</v>
      </c>
      <c r="R9" s="2" t="s">
        <v>53</v>
      </c>
      <c r="S9" s="2" t="s">
        <v>41</v>
      </c>
      <c r="T9" s="2"/>
      <c r="U9" s="2" t="s">
        <v>41</v>
      </c>
      <c r="V9" s="2" t="s">
        <v>99</v>
      </c>
      <c r="W9" s="3">
        <v>45199</v>
      </c>
      <c r="X9" s="2"/>
      <c r="Y9" s="2"/>
      <c r="Z9" s="2"/>
      <c r="AA9" s="2"/>
      <c r="AB9" s="2"/>
      <c r="AC9" s="2" t="s">
        <v>102</v>
      </c>
      <c r="AD9" s="2"/>
      <c r="AE9" s="2" t="s">
        <v>103</v>
      </c>
    </row>
    <row r="10" spans="1:31" ht="409.6">
      <c r="A10" s="2" t="s">
        <v>104</v>
      </c>
      <c r="B10" s="2" t="s">
        <v>105</v>
      </c>
      <c r="C10" s="2" t="str">
        <f>sheet13[[#This Row],[Nombre]]&amp;sheet13[[#This Row],[Bp Id]]</f>
        <v>Informes de RedTeamSEC0083</v>
      </c>
      <c r="D10" s="2" t="str">
        <f>VLOOKUP(sheet13[[#This Row],[Columna1]],Sheet2!C:S,4,FALSE)</f>
        <v>Retirado</v>
      </c>
      <c r="E10" s="2" t="s">
        <v>106</v>
      </c>
      <c r="F10" s="2" t="s">
        <v>47</v>
      </c>
      <c r="G10" s="2" t="s">
        <v>48</v>
      </c>
      <c r="H10" s="2" t="s">
        <v>59</v>
      </c>
      <c r="I10" s="2" t="s">
        <v>2346</v>
      </c>
      <c r="J10" s="2" t="s">
        <v>108</v>
      </c>
      <c r="K10" s="2" t="s">
        <v>109</v>
      </c>
      <c r="L10" s="2" t="s">
        <v>110</v>
      </c>
      <c r="M10" s="2" t="s">
        <v>111</v>
      </c>
      <c r="N10" s="2" t="s">
        <v>2345</v>
      </c>
      <c r="O10" s="2" t="s">
        <v>40</v>
      </c>
      <c r="P10" s="2" t="s">
        <v>41</v>
      </c>
      <c r="Q10" s="2" t="s">
        <v>42</v>
      </c>
      <c r="R10" s="2" t="s">
        <v>42</v>
      </c>
      <c r="S10" s="2" t="s">
        <v>41</v>
      </c>
      <c r="T10" s="2"/>
      <c r="U10" s="2" t="s">
        <v>43</v>
      </c>
      <c r="V10" s="2" t="s">
        <v>112</v>
      </c>
      <c r="W10" s="3"/>
      <c r="X10" s="2"/>
      <c r="Y10" s="2"/>
      <c r="Z10" s="2"/>
      <c r="AA10" s="2"/>
      <c r="AB10" s="2"/>
      <c r="AC10" s="2"/>
      <c r="AD10" s="2"/>
      <c r="AE10" s="2"/>
    </row>
    <row r="11" spans="1:31" ht="401.1">
      <c r="A11" s="2" t="s">
        <v>113</v>
      </c>
      <c r="B11" s="2" t="s">
        <v>114</v>
      </c>
      <c r="C11" s="2" t="str">
        <f>sheet13[[#This Row],[Nombre]]&amp;sheet13[[#This Row],[Bp Id]]</f>
        <v>informesCreditoPRD0021</v>
      </c>
      <c r="D11" s="2" t="str">
        <f>VLOOKUP(sheet13[[#This Row],[Columna1]],Sheet2!C:S,4,FALSE)</f>
        <v>Operativo</v>
      </c>
      <c r="E11" s="2" t="s">
        <v>115</v>
      </c>
      <c r="F11" s="2" t="s">
        <v>32</v>
      </c>
      <c r="G11" s="2" t="s">
        <v>48</v>
      </c>
      <c r="H11" s="2" t="s">
        <v>59</v>
      </c>
      <c r="I11" s="2" t="s">
        <v>116</v>
      </c>
      <c r="J11" s="2" t="s">
        <v>62</v>
      </c>
      <c r="K11" s="2" t="s">
        <v>117</v>
      </c>
      <c r="L11" s="2" t="s">
        <v>118</v>
      </c>
      <c r="M11" s="2" t="s">
        <v>39</v>
      </c>
      <c r="N11" s="2" t="s">
        <v>2343</v>
      </c>
      <c r="O11" s="2" t="s">
        <v>40</v>
      </c>
      <c r="P11" s="2" t="s">
        <v>43</v>
      </c>
      <c r="Q11" s="2" t="s">
        <v>53</v>
      </c>
      <c r="R11" s="2" t="s">
        <v>53</v>
      </c>
      <c r="S11" s="2" t="s">
        <v>41</v>
      </c>
      <c r="T11" s="2"/>
      <c r="U11" s="2" t="s">
        <v>41</v>
      </c>
      <c r="V11" s="2" t="s">
        <v>119</v>
      </c>
      <c r="W11" s="3">
        <v>45199</v>
      </c>
      <c r="X11" s="2"/>
      <c r="Y11" s="2"/>
      <c r="Z11" s="2"/>
      <c r="AA11" s="2"/>
      <c r="AB11" s="2"/>
      <c r="AC11" s="2"/>
      <c r="AD11" s="2"/>
      <c r="AE11" s="2"/>
    </row>
    <row r="12" spans="1:31" ht="409.6">
      <c r="A12" s="2" t="s">
        <v>120</v>
      </c>
      <c r="B12" s="2" t="s">
        <v>121</v>
      </c>
      <c r="C12" s="2" t="str">
        <f>sheet13[[#This Row],[Nombre]]&amp;sheet13[[#This Row],[Bp Id]]</f>
        <v>Integration Bus SoporteINT0009</v>
      </c>
      <c r="D12" s="2" t="str">
        <f>VLOOKUP(sheet13[[#This Row],[Columna1]],Sheet2!C:S,4,FALSE)</f>
        <v>Operativo</v>
      </c>
      <c r="E12" s="2" t="s">
        <v>122</v>
      </c>
      <c r="F12" s="2" t="s">
        <v>32</v>
      </c>
      <c r="G12" s="2" t="s">
        <v>123</v>
      </c>
      <c r="H12" s="2" t="s">
        <v>34</v>
      </c>
      <c r="I12" s="2" t="s">
        <v>49</v>
      </c>
      <c r="J12" s="2" t="s">
        <v>50</v>
      </c>
      <c r="K12" s="2" t="s">
        <v>51</v>
      </c>
      <c r="L12" s="2" t="s">
        <v>51</v>
      </c>
      <c r="M12" s="2" t="s">
        <v>52</v>
      </c>
      <c r="N12" s="2" t="s">
        <v>2343</v>
      </c>
      <c r="O12" s="2" t="s">
        <v>40</v>
      </c>
      <c r="P12" s="2" t="s">
        <v>41</v>
      </c>
      <c r="Q12" s="2" t="s">
        <v>53</v>
      </c>
      <c r="R12" s="2" t="s">
        <v>53</v>
      </c>
      <c r="S12" s="2" t="s">
        <v>41</v>
      </c>
      <c r="T12" s="2"/>
      <c r="U12" s="2" t="s">
        <v>41</v>
      </c>
      <c r="V12" s="2"/>
      <c r="W12" s="3">
        <v>46197</v>
      </c>
      <c r="X12" s="2" t="s">
        <v>124</v>
      </c>
      <c r="Y12" s="2" t="s">
        <v>125</v>
      </c>
      <c r="Z12" s="2" t="s">
        <v>126</v>
      </c>
      <c r="AA12" s="2" t="s">
        <v>127</v>
      </c>
      <c r="AB12" s="2" t="s">
        <v>127</v>
      </c>
      <c r="AC12" s="2" t="s">
        <v>128</v>
      </c>
      <c r="AD12" s="2" t="s">
        <v>129</v>
      </c>
      <c r="AE12" s="2" t="s">
        <v>130</v>
      </c>
    </row>
    <row r="13" spans="1:31" ht="238.5">
      <c r="A13" s="2" t="s">
        <v>131</v>
      </c>
      <c r="B13" s="2" t="s">
        <v>132</v>
      </c>
      <c r="C13" s="2" t="str">
        <f>sheet13[[#This Row],[Nombre]]&amp;sheet13[[#This Row],[Bp Id]]</f>
        <v>Interaction StudioCUS0010</v>
      </c>
      <c r="D13" s="2" t="str">
        <f>VLOOKUP(sheet13[[#This Row],[Columna1]],Sheet2!C:S,4,FALSE)</f>
        <v>Retirado</v>
      </c>
      <c r="E13" s="2" t="s">
        <v>133</v>
      </c>
      <c r="F13" s="2" t="s">
        <v>47</v>
      </c>
      <c r="G13" s="2" t="s">
        <v>48</v>
      </c>
      <c r="H13" s="2" t="s">
        <v>59</v>
      </c>
      <c r="I13" s="2" t="s">
        <v>134</v>
      </c>
      <c r="J13" s="2" t="s">
        <v>88</v>
      </c>
      <c r="K13" s="2" t="s">
        <v>135</v>
      </c>
      <c r="L13" s="2" t="s">
        <v>136</v>
      </c>
      <c r="M13" s="2" t="s">
        <v>63</v>
      </c>
      <c r="N13" s="2" t="s">
        <v>2345</v>
      </c>
      <c r="O13" s="2" t="s">
        <v>40</v>
      </c>
      <c r="P13" s="2" t="s">
        <v>41</v>
      </c>
      <c r="Q13" s="2" t="s">
        <v>53</v>
      </c>
      <c r="R13" s="2" t="s">
        <v>53</v>
      </c>
      <c r="S13" s="2" t="s">
        <v>43</v>
      </c>
      <c r="T13" s="2"/>
      <c r="U13" s="2" t="s">
        <v>43</v>
      </c>
      <c r="V13" s="2" t="s">
        <v>54</v>
      </c>
      <c r="W13" s="3"/>
      <c r="X13" s="2"/>
      <c r="Y13" s="2"/>
      <c r="Z13" s="2"/>
      <c r="AA13" s="2"/>
      <c r="AB13" s="2"/>
      <c r="AC13" s="2"/>
      <c r="AD13" s="2"/>
      <c r="AE13" s="2"/>
    </row>
    <row r="14" spans="1:31" ht="101.1">
      <c r="A14" s="2" t="s">
        <v>137</v>
      </c>
      <c r="B14" s="2" t="s">
        <v>138</v>
      </c>
      <c r="C14" s="2" t="str">
        <f>sheet13[[#This Row],[Nombre]]&amp;sheet13[[#This Row],[Bp Id]]</f>
        <v>Interdin AS400 GestorPAY0008</v>
      </c>
      <c r="D14" s="2" t="str">
        <f>VLOOKUP(sheet13[[#This Row],[Columna1]],Sheet2!C:S,4,FALSE)</f>
        <v>Retirado</v>
      </c>
      <c r="E14" s="2" t="s">
        <v>139</v>
      </c>
      <c r="F14" s="2" t="s">
        <v>47</v>
      </c>
      <c r="G14" s="2" t="s">
        <v>76</v>
      </c>
      <c r="H14" s="2" t="s">
        <v>140</v>
      </c>
      <c r="I14" s="2" t="s">
        <v>141</v>
      </c>
      <c r="J14" s="2" t="s">
        <v>142</v>
      </c>
      <c r="K14" s="2" t="s">
        <v>143</v>
      </c>
      <c r="L14" s="2" t="s">
        <v>144</v>
      </c>
      <c r="M14" s="2" t="s">
        <v>39</v>
      </c>
      <c r="N14" s="2" t="s">
        <v>2345</v>
      </c>
      <c r="O14" s="2" t="s">
        <v>40</v>
      </c>
      <c r="P14" s="2" t="s">
        <v>43</v>
      </c>
      <c r="Q14" s="2" t="s">
        <v>53</v>
      </c>
      <c r="R14" s="2" t="s">
        <v>53</v>
      </c>
      <c r="S14" s="2" t="s">
        <v>43</v>
      </c>
      <c r="T14" s="2"/>
      <c r="U14" s="2" t="s">
        <v>43</v>
      </c>
      <c r="V14" s="2" t="s">
        <v>145</v>
      </c>
      <c r="W14" s="3">
        <v>45200</v>
      </c>
      <c r="X14" s="2"/>
      <c r="Y14" s="2" t="s">
        <v>101</v>
      </c>
      <c r="Z14" s="2" t="s">
        <v>146</v>
      </c>
      <c r="AA14" s="2" t="s">
        <v>147</v>
      </c>
      <c r="AB14" s="2" t="s">
        <v>147</v>
      </c>
      <c r="AC14" s="2" t="s">
        <v>148</v>
      </c>
      <c r="AD14" s="2" t="s">
        <v>129</v>
      </c>
      <c r="AE14" s="2"/>
    </row>
    <row r="15" spans="1:31" ht="138.6">
      <c r="A15" s="2" t="s">
        <v>149</v>
      </c>
      <c r="B15" s="2" t="s">
        <v>150</v>
      </c>
      <c r="C15" s="2" t="str">
        <f>sheet13[[#This Row],[Nombre]]&amp;sheet13[[#This Row],[Bp Id]]</f>
        <v>Interdin Autorizador CAOPAY0009</v>
      </c>
      <c r="D15" s="2" t="str">
        <f>VLOOKUP(sheet13[[#This Row],[Columna1]],Sheet2!C:S,4,FALSE)</f>
        <v>Retirado</v>
      </c>
      <c r="E15" s="2" t="s">
        <v>139</v>
      </c>
      <c r="F15" s="2" t="s">
        <v>47</v>
      </c>
      <c r="G15" s="2" t="s">
        <v>76</v>
      </c>
      <c r="H15" s="2" t="s">
        <v>140</v>
      </c>
      <c r="I15" s="2" t="s">
        <v>141</v>
      </c>
      <c r="J15" s="2" t="s">
        <v>142</v>
      </c>
      <c r="K15" s="2" t="s">
        <v>2347</v>
      </c>
      <c r="L15" s="2" t="s">
        <v>144</v>
      </c>
      <c r="M15" s="2" t="s">
        <v>39</v>
      </c>
      <c r="N15" s="2" t="s">
        <v>2345</v>
      </c>
      <c r="O15" s="2" t="s">
        <v>40</v>
      </c>
      <c r="P15" s="2" t="s">
        <v>43</v>
      </c>
      <c r="Q15" s="2" t="s">
        <v>53</v>
      </c>
      <c r="R15" s="2" t="s">
        <v>53</v>
      </c>
      <c r="S15" s="2" t="s">
        <v>43</v>
      </c>
      <c r="T15" s="2"/>
      <c r="U15" s="2" t="s">
        <v>43</v>
      </c>
      <c r="V15" s="2" t="s">
        <v>152</v>
      </c>
      <c r="W15" s="3">
        <v>45200</v>
      </c>
      <c r="X15" s="2"/>
      <c r="Y15" s="2" t="s">
        <v>101</v>
      </c>
      <c r="Z15" s="2" t="s">
        <v>146</v>
      </c>
      <c r="AA15" s="2" t="s">
        <v>147</v>
      </c>
      <c r="AB15" s="2" t="s">
        <v>147</v>
      </c>
      <c r="AC15" s="2" t="s">
        <v>148</v>
      </c>
      <c r="AD15" s="2" t="s">
        <v>129</v>
      </c>
      <c r="AE15" s="2"/>
    </row>
    <row r="16" spans="1:31" ht="51">
      <c r="A16" s="2" t="s">
        <v>153</v>
      </c>
      <c r="B16" s="2" t="s">
        <v>154</v>
      </c>
      <c r="C16" s="2" t="str">
        <f>sheet13[[#This Row],[Nombre]]&amp;sheet13[[#This Row],[Bp Id]]</f>
        <v>Interdin AS 400/ CAOPAY0010</v>
      </c>
      <c r="D16" s="2" t="str">
        <f>VLOOKUP(sheet13[[#This Row],[Columna1]],Sheet2!C:S,4,FALSE)</f>
        <v>Operativo</v>
      </c>
      <c r="E16" s="2" t="s">
        <v>139</v>
      </c>
      <c r="F16" s="2" t="s">
        <v>32</v>
      </c>
      <c r="G16" s="2" t="s">
        <v>76</v>
      </c>
      <c r="H16" s="2" t="s">
        <v>140</v>
      </c>
      <c r="I16" s="2" t="s">
        <v>141</v>
      </c>
      <c r="J16" s="2" t="s">
        <v>151</v>
      </c>
      <c r="K16" s="2" t="s">
        <v>143</v>
      </c>
      <c r="L16" s="2" t="s">
        <v>144</v>
      </c>
      <c r="M16" s="2" t="s">
        <v>39</v>
      </c>
      <c r="N16" s="2" t="s">
        <v>2343</v>
      </c>
      <c r="O16" s="2" t="s">
        <v>40</v>
      </c>
      <c r="P16" s="2" t="s">
        <v>41</v>
      </c>
      <c r="Q16" s="2" t="s">
        <v>53</v>
      </c>
      <c r="R16" s="2" t="s">
        <v>53</v>
      </c>
      <c r="S16" s="2" t="s">
        <v>41</v>
      </c>
      <c r="T16" s="2"/>
      <c r="U16" s="2" t="s">
        <v>41</v>
      </c>
      <c r="V16" s="2" t="s">
        <v>155</v>
      </c>
      <c r="W16" s="3">
        <v>45199</v>
      </c>
      <c r="X16" s="2"/>
      <c r="Y16" s="2"/>
      <c r="Z16" s="2"/>
      <c r="AA16" s="2"/>
      <c r="AB16" s="2"/>
      <c r="AC16" s="2"/>
      <c r="AD16" s="2"/>
      <c r="AE16" s="2"/>
    </row>
    <row r="17" spans="1:31" ht="409.6">
      <c r="A17" s="2" t="s">
        <v>156</v>
      </c>
      <c r="B17" s="2" t="s">
        <v>157</v>
      </c>
      <c r="C17" s="2" t="str">
        <f>sheet13[[#This Row],[Nombre]]&amp;sheet13[[#This Row],[Bp Id]]</f>
        <v>Interdin Servicios IntegraciónPAY0011</v>
      </c>
      <c r="D17" s="2" t="str">
        <f>VLOOKUP(sheet13[[#This Row],[Columna1]],Sheet2!C:S,4,FALSE)</f>
        <v>Operativo</v>
      </c>
      <c r="E17" s="2" t="s">
        <v>158</v>
      </c>
      <c r="F17" s="2" t="s">
        <v>32</v>
      </c>
      <c r="G17" s="2" t="s">
        <v>123</v>
      </c>
      <c r="H17" s="2" t="s">
        <v>140</v>
      </c>
      <c r="I17" s="2" t="s">
        <v>141</v>
      </c>
      <c r="J17" s="2" t="s">
        <v>151</v>
      </c>
      <c r="K17" s="2" t="s">
        <v>159</v>
      </c>
      <c r="L17" s="2" t="s">
        <v>160</v>
      </c>
      <c r="M17" s="2" t="s">
        <v>161</v>
      </c>
      <c r="N17" s="2" t="s">
        <v>2345</v>
      </c>
      <c r="O17" s="2" t="s">
        <v>40</v>
      </c>
      <c r="P17" s="2" t="s">
        <v>43</v>
      </c>
      <c r="Q17" s="2" t="s">
        <v>53</v>
      </c>
      <c r="R17" s="2" t="s">
        <v>53</v>
      </c>
      <c r="S17" s="2" t="s">
        <v>43</v>
      </c>
      <c r="T17" s="2"/>
      <c r="U17" s="2" t="s">
        <v>43</v>
      </c>
      <c r="V17" s="2" t="s">
        <v>162</v>
      </c>
      <c r="W17" s="3">
        <v>45981</v>
      </c>
      <c r="X17" s="2" t="s">
        <v>163</v>
      </c>
      <c r="Y17" s="2"/>
      <c r="Z17" s="2"/>
      <c r="AA17" s="2"/>
      <c r="AB17" s="2"/>
      <c r="AC17" s="2"/>
      <c r="AD17" s="2"/>
      <c r="AE17" s="2"/>
    </row>
    <row r="18" spans="1:31" ht="409.6">
      <c r="A18" s="2" t="s">
        <v>164</v>
      </c>
      <c r="B18" s="2" t="s">
        <v>165</v>
      </c>
      <c r="C18" s="2" t="str">
        <f>sheet13[[#This Row],[Nombre]]&amp;sheet13[[#This Row],[Bp Id]]</f>
        <v>InversionesPRD0060</v>
      </c>
      <c r="D18" s="2" t="str">
        <f>VLOOKUP(sheet13[[#This Row],[Columna1]],Sheet2!C:S,4,FALSE)</f>
        <v>Operativo</v>
      </c>
      <c r="E18" s="2" t="s">
        <v>166</v>
      </c>
      <c r="F18" s="2" t="s">
        <v>32</v>
      </c>
      <c r="G18" s="2" t="s">
        <v>48</v>
      </c>
      <c r="H18" s="2" t="s">
        <v>59</v>
      </c>
      <c r="I18" s="2" t="s">
        <v>167</v>
      </c>
      <c r="J18" s="2" t="s">
        <v>96</v>
      </c>
      <c r="K18" s="2" t="s">
        <v>168</v>
      </c>
      <c r="L18" s="2" t="s">
        <v>169</v>
      </c>
      <c r="M18" s="2" t="s">
        <v>39</v>
      </c>
      <c r="N18" s="2" t="s">
        <v>2345</v>
      </c>
      <c r="O18" s="2" t="s">
        <v>91</v>
      </c>
      <c r="P18" s="2" t="s">
        <v>43</v>
      </c>
      <c r="Q18" s="2" t="s">
        <v>64</v>
      </c>
      <c r="R18" s="2" t="s">
        <v>64</v>
      </c>
      <c r="S18" s="2" t="s">
        <v>43</v>
      </c>
      <c r="T18" s="2"/>
      <c r="U18" s="2" t="s">
        <v>43</v>
      </c>
      <c r="V18" s="2" t="s">
        <v>170</v>
      </c>
      <c r="W18" s="3">
        <v>46107</v>
      </c>
      <c r="X18" s="2" t="s">
        <v>171</v>
      </c>
      <c r="Y18" s="2"/>
      <c r="Z18" s="2"/>
      <c r="AA18" s="2"/>
      <c r="AB18" s="2"/>
      <c r="AC18" s="2"/>
      <c r="AD18" s="2"/>
      <c r="AE18" s="2"/>
    </row>
    <row r="19" spans="1:31" ht="75.95">
      <c r="A19" s="2" t="s">
        <v>172</v>
      </c>
      <c r="B19" s="2" t="s">
        <v>173</v>
      </c>
      <c r="C19" s="2" t="str">
        <f>sheet13[[#This Row],[Nombre]]&amp;sheet13[[#This Row],[Bp Id]]</f>
        <v>IPS Intrusion Prevention SystemSEC0025</v>
      </c>
      <c r="D19" s="2" t="str">
        <f>VLOOKUP(sheet13[[#This Row],[Columna1]],Sheet2!C:S,4,FALSE)</f>
        <v>Operativo</v>
      </c>
      <c r="E19" s="2" t="s">
        <v>174</v>
      </c>
      <c r="F19" s="2" t="s">
        <v>32</v>
      </c>
      <c r="G19" s="2" t="s">
        <v>76</v>
      </c>
      <c r="H19" s="2" t="s">
        <v>34</v>
      </c>
      <c r="I19" s="2" t="s">
        <v>2348</v>
      </c>
      <c r="J19" s="2" t="s">
        <v>175</v>
      </c>
      <c r="K19" s="2" t="s">
        <v>176</v>
      </c>
      <c r="L19" s="2" t="s">
        <v>177</v>
      </c>
      <c r="M19" s="2" t="s">
        <v>111</v>
      </c>
      <c r="N19" s="2" t="s">
        <v>2343</v>
      </c>
      <c r="O19" s="2" t="s">
        <v>40</v>
      </c>
      <c r="P19" s="2" t="s">
        <v>41</v>
      </c>
      <c r="Q19" s="2" t="s">
        <v>42</v>
      </c>
      <c r="R19" s="2" t="s">
        <v>53</v>
      </c>
      <c r="S19" s="2" t="s">
        <v>41</v>
      </c>
      <c r="T19" s="2"/>
      <c r="U19" s="2" t="s">
        <v>41</v>
      </c>
      <c r="V19" s="2"/>
      <c r="W19" s="3">
        <v>45929</v>
      </c>
      <c r="X19" s="2" t="s">
        <v>178</v>
      </c>
      <c r="Y19" s="2" t="s">
        <v>179</v>
      </c>
      <c r="Z19" s="2" t="s">
        <v>126</v>
      </c>
      <c r="AA19" s="2" t="s">
        <v>127</v>
      </c>
      <c r="AB19" s="2" t="s">
        <v>127</v>
      </c>
      <c r="AC19" s="2" t="s">
        <v>180</v>
      </c>
      <c r="AD19" s="2"/>
      <c r="AE19" s="2" t="s">
        <v>181</v>
      </c>
    </row>
    <row r="20" spans="1:31" ht="126">
      <c r="A20" s="2" t="s">
        <v>182</v>
      </c>
      <c r="B20" s="2" t="s">
        <v>183</v>
      </c>
      <c r="C20" s="2" t="str">
        <f>sheet13[[#This Row],[Nombre]]&amp;sheet13[[#This Row],[Bp Id]]</f>
        <v>ISESEC0026</v>
      </c>
      <c r="D20" s="2" t="str">
        <f>VLOOKUP(sheet13[[#This Row],[Columna1]],Sheet2!C:S,4,FALSE)</f>
        <v>Operativo</v>
      </c>
      <c r="E20" s="2" t="s">
        <v>184</v>
      </c>
      <c r="F20" s="2" t="s">
        <v>32</v>
      </c>
      <c r="G20" s="2" t="s">
        <v>76</v>
      </c>
      <c r="H20" s="2" t="s">
        <v>34</v>
      </c>
      <c r="I20" s="2" t="s">
        <v>2348</v>
      </c>
      <c r="J20" s="2" t="s">
        <v>177</v>
      </c>
      <c r="K20" s="2" t="s">
        <v>176</v>
      </c>
      <c r="L20" s="2" t="s">
        <v>185</v>
      </c>
      <c r="M20" s="2" t="s">
        <v>111</v>
      </c>
      <c r="N20" s="2" t="s">
        <v>2343</v>
      </c>
      <c r="O20" s="2" t="s">
        <v>40</v>
      </c>
      <c r="P20" s="2" t="s">
        <v>41</v>
      </c>
      <c r="Q20" s="2" t="s">
        <v>42</v>
      </c>
      <c r="R20" s="2" t="s">
        <v>42</v>
      </c>
      <c r="S20" s="2" t="s">
        <v>41</v>
      </c>
      <c r="T20" s="2"/>
      <c r="U20" s="2" t="s">
        <v>41</v>
      </c>
      <c r="V20" s="2"/>
      <c r="W20" s="3">
        <v>45772</v>
      </c>
      <c r="X20" s="2" t="s">
        <v>186</v>
      </c>
      <c r="Y20" s="2" t="s">
        <v>959</v>
      </c>
      <c r="Z20" s="2" t="s">
        <v>187</v>
      </c>
      <c r="AA20" s="2" t="s">
        <v>127</v>
      </c>
      <c r="AB20" s="2" t="s">
        <v>127</v>
      </c>
      <c r="AC20" s="2" t="s">
        <v>188</v>
      </c>
      <c r="AD20" s="2" t="s">
        <v>129</v>
      </c>
      <c r="AE20" s="2" t="s">
        <v>189</v>
      </c>
    </row>
    <row r="21" spans="1:31" ht="51">
      <c r="A21" s="2" t="s">
        <v>190</v>
      </c>
      <c r="B21" s="2" t="s">
        <v>191</v>
      </c>
      <c r="C21" s="2" t="str">
        <f>sheet13[[#This Row],[Nombre]]&amp;sheet13[[#This Row],[Bp Id]]</f>
        <v>Jaguar Liquidez PlusPRD0022</v>
      </c>
      <c r="D21" s="2" t="str">
        <f>VLOOKUP(sheet13[[#This Row],[Columna1]],Sheet2!C:S,4,FALSE)</f>
        <v>Retirado</v>
      </c>
      <c r="E21" s="2" t="s">
        <v>192</v>
      </c>
      <c r="F21" s="2" t="s">
        <v>47</v>
      </c>
      <c r="G21" s="2" t="s">
        <v>48</v>
      </c>
      <c r="H21" s="2" t="s">
        <v>59</v>
      </c>
      <c r="I21" s="2" t="s">
        <v>116</v>
      </c>
      <c r="J21" s="2" t="s">
        <v>62</v>
      </c>
      <c r="K21" s="2" t="s">
        <v>117</v>
      </c>
      <c r="L21" s="2" t="s">
        <v>118</v>
      </c>
      <c r="M21" s="2" t="s">
        <v>39</v>
      </c>
      <c r="N21" s="2" t="s">
        <v>2345</v>
      </c>
      <c r="O21" s="2" t="s">
        <v>40</v>
      </c>
      <c r="P21" s="2" t="s">
        <v>43</v>
      </c>
      <c r="Q21" s="2" t="s">
        <v>64</v>
      </c>
      <c r="R21" s="2" t="s">
        <v>64</v>
      </c>
      <c r="S21" s="2" t="s">
        <v>41</v>
      </c>
      <c r="T21" s="2"/>
      <c r="U21" s="2" t="s">
        <v>43</v>
      </c>
      <c r="V21" s="2" t="s">
        <v>193</v>
      </c>
      <c r="W21" s="3"/>
      <c r="X21" s="2"/>
      <c r="Y21" s="2"/>
      <c r="Z21" s="2"/>
      <c r="AA21" s="2"/>
      <c r="AB21" s="2"/>
      <c r="AC21" s="2" t="s">
        <v>194</v>
      </c>
      <c r="AD21" s="2"/>
      <c r="AE21" s="2"/>
    </row>
    <row r="22" spans="1:31" ht="126">
      <c r="A22" s="2" t="s">
        <v>195</v>
      </c>
      <c r="B22" s="2" t="s">
        <v>196</v>
      </c>
      <c r="C22" s="2" t="str">
        <f>sheet13[[#This Row],[Nombre]]&amp;sheet13[[#This Row],[Bp Id]]</f>
        <v>JenkinsITM0037</v>
      </c>
      <c r="D22" s="2" t="str">
        <f>VLOOKUP(sheet13[[#This Row],[Columna1]],Sheet2!C:S,4,FALSE)</f>
        <v>Retirado</v>
      </c>
      <c r="E22" s="2" t="s">
        <v>197</v>
      </c>
      <c r="F22" s="2" t="s">
        <v>47</v>
      </c>
      <c r="G22" s="2" t="s">
        <v>48</v>
      </c>
      <c r="H22" s="2" t="s">
        <v>34</v>
      </c>
      <c r="I22" s="2" t="s">
        <v>198</v>
      </c>
      <c r="J22" s="2" t="s">
        <v>199</v>
      </c>
      <c r="K22" s="2" t="s">
        <v>199</v>
      </c>
      <c r="L22" s="2" t="s">
        <v>199</v>
      </c>
      <c r="M22" s="2" t="s">
        <v>52</v>
      </c>
      <c r="N22" s="2" t="s">
        <v>2345</v>
      </c>
      <c r="O22" s="2" t="s">
        <v>40</v>
      </c>
      <c r="P22" s="2" t="s">
        <v>41</v>
      </c>
      <c r="Q22" s="2" t="s">
        <v>53</v>
      </c>
      <c r="R22" s="2" t="s">
        <v>53</v>
      </c>
      <c r="S22" s="2" t="s">
        <v>43</v>
      </c>
      <c r="T22" s="2"/>
      <c r="U22" s="2" t="s">
        <v>43</v>
      </c>
      <c r="V22" s="2" t="s">
        <v>54</v>
      </c>
      <c r="W22" s="3"/>
      <c r="X22" s="2"/>
      <c r="Y22" s="2"/>
      <c r="Z22" s="2"/>
      <c r="AA22" s="2"/>
      <c r="AB22" s="2"/>
      <c r="AC22" s="2"/>
      <c r="AD22" s="2"/>
      <c r="AE22" s="2"/>
    </row>
    <row r="23" spans="1:31" ht="409.6">
      <c r="A23" s="2" t="s">
        <v>200</v>
      </c>
      <c r="B23" s="2" t="s">
        <v>201</v>
      </c>
      <c r="C23" s="2" t="str">
        <f>sheet13[[#This Row],[Nombre]]&amp;sheet13[[#This Row],[Bp Id]]</f>
        <v>KafkaOMN0004</v>
      </c>
      <c r="D23" s="2" t="str">
        <f>VLOOKUP(sheet13[[#This Row],[Columna1]],Sheet2!C:S,4,FALSE)</f>
        <v>Operativo</v>
      </c>
      <c r="E23" s="2" t="s">
        <v>202</v>
      </c>
      <c r="F23" s="2" t="s">
        <v>32</v>
      </c>
      <c r="G23" s="2" t="s">
        <v>123</v>
      </c>
      <c r="H23" s="2" t="s">
        <v>34</v>
      </c>
      <c r="I23" s="2" t="s">
        <v>49</v>
      </c>
      <c r="J23" s="2" t="s">
        <v>50</v>
      </c>
      <c r="K23" s="2" t="s">
        <v>51</v>
      </c>
      <c r="L23" s="2" t="s">
        <v>51</v>
      </c>
      <c r="M23" s="2" t="s">
        <v>52</v>
      </c>
      <c r="N23" s="2" t="s">
        <v>2343</v>
      </c>
      <c r="O23" s="2" t="s">
        <v>40</v>
      </c>
      <c r="P23" s="2" t="s">
        <v>43</v>
      </c>
      <c r="Q23" s="2" t="s">
        <v>53</v>
      </c>
      <c r="R23" s="2" t="s">
        <v>53</v>
      </c>
      <c r="S23" s="2" t="s">
        <v>43</v>
      </c>
      <c r="T23" s="2" t="s">
        <v>2344</v>
      </c>
      <c r="U23" s="2" t="s">
        <v>43</v>
      </c>
      <c r="V23" s="2" t="s">
        <v>203</v>
      </c>
      <c r="W23" s="3">
        <v>45986</v>
      </c>
      <c r="X23" s="2" t="s">
        <v>204</v>
      </c>
      <c r="Y23" s="2"/>
      <c r="Z23" s="2"/>
      <c r="AA23" s="2"/>
      <c r="AB23" s="2"/>
      <c r="AC23" s="2"/>
      <c r="AD23" s="2"/>
      <c r="AE23" s="2"/>
    </row>
    <row r="24" spans="1:31" ht="63.6">
      <c r="A24" s="2" t="s">
        <v>205</v>
      </c>
      <c r="B24" s="2" t="s">
        <v>206</v>
      </c>
      <c r="C24" s="2" t="str">
        <f>sheet13[[#This Row],[Nombre]]&amp;sheet13[[#This Row],[Bp Id]]</f>
        <v>Kafka DeunaINT0014</v>
      </c>
      <c r="D24" s="2" t="str">
        <f>VLOOKUP(sheet13[[#This Row],[Columna1]],Sheet2!C:S,4,FALSE)</f>
        <v>Retirado</v>
      </c>
      <c r="E24" s="2" t="s">
        <v>207</v>
      </c>
      <c r="F24" s="2" t="s">
        <v>47</v>
      </c>
      <c r="G24" s="2" t="s">
        <v>58</v>
      </c>
      <c r="H24" s="2" t="s">
        <v>59</v>
      </c>
      <c r="I24" s="2" t="s">
        <v>208</v>
      </c>
      <c r="J24" s="2" t="s">
        <v>209</v>
      </c>
      <c r="K24" s="2" t="s">
        <v>209</v>
      </c>
      <c r="L24" s="2" t="s">
        <v>209</v>
      </c>
      <c r="M24" s="2" t="s">
        <v>52</v>
      </c>
      <c r="N24" s="2" t="s">
        <v>2345</v>
      </c>
      <c r="O24" s="2" t="s">
        <v>40</v>
      </c>
      <c r="P24" s="2" t="s">
        <v>41</v>
      </c>
      <c r="Q24" s="2" t="s">
        <v>64</v>
      </c>
      <c r="R24" s="2" t="s">
        <v>64</v>
      </c>
      <c r="S24" s="2" t="s">
        <v>41</v>
      </c>
      <c r="T24" s="2"/>
      <c r="U24" s="2" t="s">
        <v>43</v>
      </c>
      <c r="V24" s="2"/>
      <c r="W24" s="3"/>
      <c r="X24" s="2"/>
      <c r="Y24" s="2"/>
      <c r="Z24" s="2"/>
      <c r="AA24" s="2"/>
      <c r="AB24" s="2"/>
      <c r="AC24" s="2"/>
      <c r="AD24" s="2"/>
      <c r="AE24" s="2"/>
    </row>
    <row r="25" spans="1:31" ht="75.95">
      <c r="A25" s="2" t="s">
        <v>210</v>
      </c>
      <c r="B25" s="2" t="s">
        <v>211</v>
      </c>
      <c r="C25" s="2" t="str">
        <f>sheet13[[#This Row],[Nombre]]&amp;sheet13[[#This Row],[Bp Id]]</f>
        <v>Keeper SecuritySEC0053</v>
      </c>
      <c r="D25" s="2" t="str">
        <f>VLOOKUP(sheet13[[#This Row],[Columna1]],Sheet2!C:S,4,FALSE)</f>
        <v>Operativo</v>
      </c>
      <c r="E25" s="2" t="s">
        <v>212</v>
      </c>
      <c r="F25" s="2" t="s">
        <v>32</v>
      </c>
      <c r="G25" s="2" t="s">
        <v>48</v>
      </c>
      <c r="H25" s="2" t="s">
        <v>59</v>
      </c>
      <c r="I25" s="2" t="s">
        <v>2348</v>
      </c>
      <c r="J25" s="2" t="s">
        <v>2349</v>
      </c>
      <c r="K25" s="2" t="s">
        <v>176</v>
      </c>
      <c r="L25" s="2" t="s">
        <v>214</v>
      </c>
      <c r="M25" s="2" t="s">
        <v>111</v>
      </c>
      <c r="N25" s="2" t="s">
        <v>2343</v>
      </c>
      <c r="O25" s="2" t="s">
        <v>40</v>
      </c>
      <c r="P25" s="2" t="s">
        <v>41</v>
      </c>
      <c r="Q25" s="2" t="s">
        <v>64</v>
      </c>
      <c r="R25" s="2" t="s">
        <v>64</v>
      </c>
      <c r="S25" s="2" t="s">
        <v>41</v>
      </c>
      <c r="T25" s="2" t="s">
        <v>2344</v>
      </c>
      <c r="U25" s="2" t="s">
        <v>43</v>
      </c>
      <c r="V25" s="2"/>
      <c r="W25" s="3"/>
      <c r="X25" s="2"/>
      <c r="Y25" s="2"/>
      <c r="Z25" s="2"/>
      <c r="AA25" s="2"/>
      <c r="AB25" s="2"/>
      <c r="AC25" s="2"/>
      <c r="AD25" s="2"/>
      <c r="AE25" s="2"/>
    </row>
    <row r="26" spans="1:31" ht="409.6">
      <c r="A26" s="2" t="s">
        <v>215</v>
      </c>
      <c r="B26" s="2" t="s">
        <v>216</v>
      </c>
      <c r="C26" s="2" t="str">
        <f>sheet13[[#This Row],[Nombre]]&amp;sheet13[[#This Row],[Bp Id]]</f>
        <v>KriptosSEC0055</v>
      </c>
      <c r="D26" s="2" t="str">
        <f>VLOOKUP(sheet13[[#This Row],[Columna1]],Sheet2!C:S,4,FALSE)</f>
        <v>Operativo</v>
      </c>
      <c r="E26" s="2" t="s">
        <v>217</v>
      </c>
      <c r="F26" s="2" t="s">
        <v>32</v>
      </c>
      <c r="G26" s="2" t="s">
        <v>48</v>
      </c>
      <c r="H26" s="2" t="s">
        <v>59</v>
      </c>
      <c r="I26" s="2" t="s">
        <v>2348</v>
      </c>
      <c r="J26" s="2" t="s">
        <v>218</v>
      </c>
      <c r="K26" s="2" t="s">
        <v>176</v>
      </c>
      <c r="L26" s="2" t="s">
        <v>219</v>
      </c>
      <c r="M26" s="2" t="s">
        <v>111</v>
      </c>
      <c r="N26" s="2" t="s">
        <v>2343</v>
      </c>
      <c r="O26" s="2" t="s">
        <v>40</v>
      </c>
      <c r="P26" s="2" t="s">
        <v>43</v>
      </c>
      <c r="Q26" s="2" t="s">
        <v>64</v>
      </c>
      <c r="R26" s="2" t="s">
        <v>64</v>
      </c>
      <c r="S26" s="2" t="s">
        <v>43</v>
      </c>
      <c r="T26" s="2" t="s">
        <v>2344</v>
      </c>
      <c r="U26" s="2" t="s">
        <v>43</v>
      </c>
      <c r="V26" s="2" t="s">
        <v>220</v>
      </c>
      <c r="W26" s="3">
        <v>46104</v>
      </c>
      <c r="X26" s="2" t="s">
        <v>221</v>
      </c>
      <c r="Y26" s="2"/>
      <c r="Z26" s="2"/>
      <c r="AA26" s="2"/>
      <c r="AB26" s="2"/>
      <c r="AC26" s="2" t="s">
        <v>222</v>
      </c>
      <c r="AD26" s="2"/>
      <c r="AE26" s="2"/>
    </row>
    <row r="27" spans="1:31" ht="126">
      <c r="A27" s="2" t="s">
        <v>229</v>
      </c>
      <c r="B27" s="2" t="s">
        <v>230</v>
      </c>
      <c r="C27" s="2" t="str">
        <f>sheet13[[#This Row],[Nombre]]&amp;sheet13[[#This Row],[Bp Id]]</f>
        <v>LEXMARK CLOUD PRINT MANAGEMENT (CPM)ITM0038</v>
      </c>
      <c r="D27" s="2" t="str">
        <f>VLOOKUP(sheet13[[#This Row],[Columna1]],Sheet2!C:S,4,FALSE)</f>
        <v>Operativo</v>
      </c>
      <c r="E27" s="2" t="s">
        <v>231</v>
      </c>
      <c r="F27" s="2" t="s">
        <v>32</v>
      </c>
      <c r="G27" s="2" t="s">
        <v>48</v>
      </c>
      <c r="H27" s="2" t="s">
        <v>59</v>
      </c>
      <c r="I27" s="2" t="s">
        <v>232</v>
      </c>
      <c r="J27" s="2" t="s">
        <v>233</v>
      </c>
      <c r="K27" s="2" t="s">
        <v>234</v>
      </c>
      <c r="L27" s="2" t="s">
        <v>234</v>
      </c>
      <c r="M27" s="2" t="s">
        <v>63</v>
      </c>
      <c r="N27" s="2" t="s">
        <v>2343</v>
      </c>
      <c r="O27" s="2" t="s">
        <v>40</v>
      </c>
      <c r="P27" s="2" t="s">
        <v>41</v>
      </c>
      <c r="Q27" s="2" t="s">
        <v>53</v>
      </c>
      <c r="R27" s="2" t="s">
        <v>53</v>
      </c>
      <c r="S27" s="2" t="s">
        <v>43</v>
      </c>
      <c r="T27" s="2" t="s">
        <v>2344</v>
      </c>
      <c r="U27" s="2" t="s">
        <v>43</v>
      </c>
      <c r="V27" s="2" t="s">
        <v>54</v>
      </c>
      <c r="W27" s="3"/>
      <c r="X27" s="2"/>
      <c r="Y27" s="2"/>
      <c r="Z27" s="2"/>
      <c r="AA27" s="2"/>
      <c r="AB27" s="2"/>
      <c r="AC27" s="2"/>
      <c r="AD27" s="2"/>
      <c r="AE27" s="2"/>
    </row>
    <row r="28" spans="1:31" ht="126">
      <c r="A28" s="2" t="s">
        <v>235</v>
      </c>
      <c r="B28" s="2" t="s">
        <v>230</v>
      </c>
      <c r="C28" s="2" t="str">
        <f>sheet13[[#This Row],[Nombre]]&amp;sheet13[[#This Row],[Bp Id]]</f>
        <v>Lexmark Printer ManagementITM0038</v>
      </c>
      <c r="D28" s="2" t="str">
        <f>VLOOKUP(sheet13[[#This Row],[Columna1]],Sheet2!C:S,4,FALSE)</f>
        <v>Retirado</v>
      </c>
      <c r="E28" s="2" t="s">
        <v>231</v>
      </c>
      <c r="F28" s="2" t="s">
        <v>47</v>
      </c>
      <c r="G28" s="2" t="s">
        <v>48</v>
      </c>
      <c r="H28" s="2" t="s">
        <v>34</v>
      </c>
      <c r="I28" s="2" t="s">
        <v>68</v>
      </c>
      <c r="J28" s="2" t="s">
        <v>236</v>
      </c>
      <c r="K28" s="2"/>
      <c r="L28" s="2" t="s">
        <v>234</v>
      </c>
      <c r="M28" s="2" t="s">
        <v>63</v>
      </c>
      <c r="N28" s="2" t="s">
        <v>2345</v>
      </c>
      <c r="O28" s="2" t="s">
        <v>40</v>
      </c>
      <c r="P28" s="2" t="s">
        <v>41</v>
      </c>
      <c r="Q28" s="2" t="s">
        <v>53</v>
      </c>
      <c r="R28" s="2" t="s">
        <v>53</v>
      </c>
      <c r="S28" s="2" t="s">
        <v>43</v>
      </c>
      <c r="T28" s="2"/>
      <c r="U28" s="2" t="s">
        <v>43</v>
      </c>
      <c r="V28" s="2" t="s">
        <v>54</v>
      </c>
      <c r="W28" s="3"/>
      <c r="X28" s="2"/>
      <c r="Y28" s="2"/>
      <c r="Z28" s="2"/>
      <c r="AA28" s="2"/>
      <c r="AB28" s="2"/>
      <c r="AC28" s="2"/>
      <c r="AD28" s="2"/>
      <c r="AE28" s="2"/>
    </row>
    <row r="29" spans="1:31" ht="51">
      <c r="A29" s="2" t="s">
        <v>237</v>
      </c>
      <c r="B29" s="2" t="s">
        <v>238</v>
      </c>
      <c r="C29" s="2" t="str">
        <f>sheet13[[#This Row],[Nombre]]&amp;sheet13[[#This Row],[Bp Id]]</f>
        <v>LibrarianITM0071</v>
      </c>
      <c r="D29" s="2" t="str">
        <f>VLOOKUP(sheet13[[#This Row],[Columna1]],Sheet2!C:S,4,FALSE)</f>
        <v>Retirado</v>
      </c>
      <c r="E29" s="2" t="s">
        <v>239</v>
      </c>
      <c r="F29" s="2" t="s">
        <v>47</v>
      </c>
      <c r="G29" s="2" t="s">
        <v>48</v>
      </c>
      <c r="H29" s="2" t="s">
        <v>34</v>
      </c>
      <c r="I29" s="2" t="s">
        <v>198</v>
      </c>
      <c r="J29" s="2" t="s">
        <v>240</v>
      </c>
      <c r="K29" s="2" t="s">
        <v>241</v>
      </c>
      <c r="L29" s="2" t="s">
        <v>242</v>
      </c>
      <c r="M29" s="2" t="s">
        <v>52</v>
      </c>
      <c r="N29" s="2" t="s">
        <v>2345</v>
      </c>
      <c r="O29" s="2" t="s">
        <v>40</v>
      </c>
      <c r="P29" s="2" t="s">
        <v>41</v>
      </c>
      <c r="Q29" s="2" t="s">
        <v>53</v>
      </c>
      <c r="R29" s="2" t="s">
        <v>53</v>
      </c>
      <c r="S29" s="2" t="s">
        <v>43</v>
      </c>
      <c r="T29" s="2"/>
      <c r="U29" s="2" t="s">
        <v>43</v>
      </c>
      <c r="V29" s="2" t="s">
        <v>54</v>
      </c>
      <c r="W29" s="3"/>
      <c r="X29" s="2"/>
      <c r="Y29" s="2"/>
      <c r="Z29" s="2"/>
      <c r="AA29" s="2"/>
      <c r="AB29" s="2"/>
      <c r="AC29" s="2"/>
      <c r="AD29" s="2"/>
      <c r="AE29" s="2"/>
    </row>
    <row r="30" spans="1:31" ht="163.5">
      <c r="A30" s="2" t="s">
        <v>243</v>
      </c>
      <c r="B30" s="2" t="s">
        <v>244</v>
      </c>
      <c r="C30" s="2" t="str">
        <f>sheet13[[#This Row],[Nombre]]&amp;sheet13[[#This Row],[Bp Id]]</f>
        <v>ListaObservadosGOB0013</v>
      </c>
      <c r="D30" s="2" t="str">
        <f>VLOOKUP(sheet13[[#This Row],[Columna1]],Sheet2!C:S,4,FALSE)</f>
        <v>Operativo</v>
      </c>
      <c r="E30" s="2" t="s">
        <v>245</v>
      </c>
      <c r="F30" s="2" t="s">
        <v>32</v>
      </c>
      <c r="G30" s="2" t="s">
        <v>123</v>
      </c>
      <c r="H30" s="2" t="s">
        <v>59</v>
      </c>
      <c r="I30" s="2" t="s">
        <v>225</v>
      </c>
      <c r="J30" s="2" t="s">
        <v>226</v>
      </c>
      <c r="K30" s="2" t="s">
        <v>227</v>
      </c>
      <c r="L30" s="2" t="s">
        <v>228</v>
      </c>
      <c r="M30" s="2" t="s">
        <v>39</v>
      </c>
      <c r="N30" s="2" t="s">
        <v>2343</v>
      </c>
      <c r="O30" s="2" t="s">
        <v>40</v>
      </c>
      <c r="P30" s="2" t="s">
        <v>41</v>
      </c>
      <c r="Q30" s="2" t="s">
        <v>246</v>
      </c>
      <c r="R30" s="2" t="s">
        <v>247</v>
      </c>
      <c r="S30" s="2" t="s">
        <v>41</v>
      </c>
      <c r="T30" s="2" t="s">
        <v>2344</v>
      </c>
      <c r="U30" s="2" t="s">
        <v>43</v>
      </c>
      <c r="V30" s="2"/>
      <c r="W30" s="3"/>
      <c r="X30" s="2"/>
      <c r="Y30" s="2"/>
      <c r="Z30" s="2"/>
      <c r="AA30" s="2"/>
      <c r="AB30" s="2"/>
      <c r="AC30" s="2"/>
      <c r="AD30" s="2"/>
      <c r="AE30" s="2"/>
    </row>
    <row r="31" spans="1:31" ht="101.1">
      <c r="A31" s="2" t="s">
        <v>248</v>
      </c>
      <c r="B31" s="2" t="s">
        <v>249</v>
      </c>
      <c r="C31" s="2" t="str">
        <f>sheet13[[#This Row],[Nombre]]&amp;sheet13[[#This Row],[Bp Id]]</f>
        <v>LogiFlowTIE0019</v>
      </c>
      <c r="D31" s="2" t="str">
        <f>VLOOKUP(sheet13[[#This Row],[Columna1]],Sheet2!C:S,4,FALSE)</f>
        <v>Operativo</v>
      </c>
      <c r="E31" s="2" t="s">
        <v>250</v>
      </c>
      <c r="F31" s="2" t="s">
        <v>32</v>
      </c>
      <c r="G31" s="2" t="s">
        <v>76</v>
      </c>
      <c r="H31" s="2" t="s">
        <v>34</v>
      </c>
      <c r="I31" s="2" t="s">
        <v>95</v>
      </c>
      <c r="J31" s="2" t="s">
        <v>96</v>
      </c>
      <c r="K31" s="2" t="s">
        <v>97</v>
      </c>
      <c r="L31" s="2" t="s">
        <v>98</v>
      </c>
      <c r="M31" s="2" t="s">
        <v>39</v>
      </c>
      <c r="N31" s="2" t="s">
        <v>2343</v>
      </c>
      <c r="O31" s="2" t="s">
        <v>40</v>
      </c>
      <c r="P31" s="2" t="s">
        <v>41</v>
      </c>
      <c r="Q31" s="2" t="s">
        <v>42</v>
      </c>
      <c r="R31" s="2" t="s">
        <v>53</v>
      </c>
      <c r="S31" s="2" t="s">
        <v>41</v>
      </c>
      <c r="T31" s="2"/>
      <c r="U31" s="2" t="s">
        <v>41</v>
      </c>
      <c r="V31" s="2"/>
      <c r="W31" s="3">
        <v>45200</v>
      </c>
      <c r="X31" s="2" t="s">
        <v>251</v>
      </c>
      <c r="Y31" s="2" t="s">
        <v>252</v>
      </c>
      <c r="Z31" s="2" t="s">
        <v>253</v>
      </c>
      <c r="AA31" s="2" t="s">
        <v>147</v>
      </c>
      <c r="AB31" s="2" t="s">
        <v>147</v>
      </c>
      <c r="AC31" s="2" t="s">
        <v>180</v>
      </c>
      <c r="AD31" s="2" t="s">
        <v>129</v>
      </c>
      <c r="AE31" s="2" t="s">
        <v>254</v>
      </c>
    </row>
    <row r="32" spans="1:31" ht="409.6">
      <c r="A32" s="2" t="s">
        <v>255</v>
      </c>
      <c r="B32" s="2" t="s">
        <v>256</v>
      </c>
      <c r="C32" s="2" t="str">
        <f>sheet13[[#This Row],[Nombre]]&amp;sheet13[[#This Row],[Bp Id]]</f>
        <v>LoginCentralSEC0028</v>
      </c>
      <c r="D32" s="2" t="str">
        <f>VLOOKUP(sheet13[[#This Row],[Columna1]],Sheet2!C:S,4,FALSE)</f>
        <v>Operativo</v>
      </c>
      <c r="E32" s="2" t="s">
        <v>257</v>
      </c>
      <c r="F32" s="2" t="s">
        <v>32</v>
      </c>
      <c r="G32" s="2" t="s">
        <v>123</v>
      </c>
      <c r="H32" s="2" t="s">
        <v>34</v>
      </c>
      <c r="I32" s="2" t="s">
        <v>258</v>
      </c>
      <c r="J32" s="2" t="s">
        <v>2350</v>
      </c>
      <c r="K32" s="2" t="s">
        <v>260</v>
      </c>
      <c r="L32" s="2" t="s">
        <v>1435</v>
      </c>
      <c r="M32" s="2" t="s">
        <v>39</v>
      </c>
      <c r="N32" s="2" t="s">
        <v>2343</v>
      </c>
      <c r="O32" s="2" t="s">
        <v>40</v>
      </c>
      <c r="P32" s="2" t="s">
        <v>41</v>
      </c>
      <c r="Q32" s="2" t="s">
        <v>42</v>
      </c>
      <c r="R32" s="2" t="s">
        <v>42</v>
      </c>
      <c r="S32" s="2" t="s">
        <v>41</v>
      </c>
      <c r="T32" s="2"/>
      <c r="U32" s="2" t="s">
        <v>41</v>
      </c>
      <c r="V32" s="2"/>
      <c r="W32" s="3">
        <v>45200</v>
      </c>
      <c r="X32" s="2"/>
      <c r="Y32" s="2" t="s">
        <v>125</v>
      </c>
      <c r="Z32" s="2" t="s">
        <v>262</v>
      </c>
      <c r="AA32" s="2" t="s">
        <v>147</v>
      </c>
      <c r="AB32" s="2" t="s">
        <v>147</v>
      </c>
      <c r="AC32" s="2" t="s">
        <v>263</v>
      </c>
      <c r="AD32" s="2" t="s">
        <v>129</v>
      </c>
      <c r="AE32" s="2" t="s">
        <v>264</v>
      </c>
    </row>
    <row r="33" spans="1:31" ht="409.6">
      <c r="A33" s="2" t="s">
        <v>265</v>
      </c>
      <c r="B33" s="2" t="s">
        <v>266</v>
      </c>
      <c r="C33" s="2" t="str">
        <f>sheet13[[#This Row],[Nombre]]&amp;sheet13[[#This Row],[Bp Id]]</f>
        <v>Logística de EfectivoCHL0001</v>
      </c>
      <c r="D33" s="2" t="str">
        <f>VLOOKUP(sheet13[[#This Row],[Columna1]],Sheet2!C:S,4,FALSE)</f>
        <v>Operativo</v>
      </c>
      <c r="E33" s="2" t="s">
        <v>267</v>
      </c>
      <c r="F33" s="2" t="s">
        <v>32</v>
      </c>
      <c r="G33" s="2" t="s">
        <v>76</v>
      </c>
      <c r="H33" s="2" t="s">
        <v>34</v>
      </c>
      <c r="I33" s="2" t="s">
        <v>225</v>
      </c>
      <c r="J33" s="2" t="s">
        <v>226</v>
      </c>
      <c r="K33" s="2" t="s">
        <v>268</v>
      </c>
      <c r="L33" s="2" t="s">
        <v>268</v>
      </c>
      <c r="M33" s="2" t="s">
        <v>39</v>
      </c>
      <c r="N33" s="2" t="s">
        <v>2343</v>
      </c>
      <c r="O33" s="2" t="s">
        <v>40</v>
      </c>
      <c r="P33" s="2" t="s">
        <v>41</v>
      </c>
      <c r="Q33" s="2" t="s">
        <v>42</v>
      </c>
      <c r="R33" s="2" t="s">
        <v>53</v>
      </c>
      <c r="S33" s="2" t="s">
        <v>41</v>
      </c>
      <c r="T33" s="2"/>
      <c r="U33" s="2" t="s">
        <v>41</v>
      </c>
      <c r="V33" s="2" t="s">
        <v>119</v>
      </c>
      <c r="W33" s="3">
        <v>45199</v>
      </c>
      <c r="X33" s="2"/>
      <c r="Y33" s="2"/>
      <c r="Z33" s="2"/>
      <c r="AA33" s="2"/>
      <c r="AB33" s="2"/>
      <c r="AC33" s="2"/>
      <c r="AD33" s="2"/>
      <c r="AE33" s="2"/>
    </row>
    <row r="34" spans="1:31" ht="113.45">
      <c r="A34" s="2" t="s">
        <v>269</v>
      </c>
      <c r="B34" s="2" t="s">
        <v>270</v>
      </c>
      <c r="C34" s="2" t="str">
        <f>sheet13[[#This Row],[Nombre]]&amp;sheet13[[#This Row],[Bp Id]]</f>
        <v>LumuSEC0056</v>
      </c>
      <c r="D34" s="2" t="str">
        <f>VLOOKUP(sheet13[[#This Row],[Columna1]],Sheet2!C:S,4,FALSE)</f>
        <v>Retirado</v>
      </c>
      <c r="E34" s="2" t="s">
        <v>271</v>
      </c>
      <c r="F34" s="2" t="s">
        <v>47</v>
      </c>
      <c r="G34" s="2" t="s">
        <v>48</v>
      </c>
      <c r="H34" s="2" t="s">
        <v>59</v>
      </c>
      <c r="I34" s="2" t="s">
        <v>2346</v>
      </c>
      <c r="J34" s="2" t="s">
        <v>272</v>
      </c>
      <c r="K34" s="2" t="s">
        <v>176</v>
      </c>
      <c r="L34" s="2" t="s">
        <v>2349</v>
      </c>
      <c r="M34" s="2" t="s">
        <v>111</v>
      </c>
      <c r="N34" s="2" t="s">
        <v>2345</v>
      </c>
      <c r="O34" s="2" t="s">
        <v>40</v>
      </c>
      <c r="P34" s="2" t="s">
        <v>41</v>
      </c>
      <c r="Q34" s="2" t="s">
        <v>64</v>
      </c>
      <c r="R34" s="2" t="s">
        <v>64</v>
      </c>
      <c r="S34" s="2" t="s">
        <v>41</v>
      </c>
      <c r="T34" s="2"/>
      <c r="U34" s="2" t="s">
        <v>43</v>
      </c>
      <c r="V34" s="2"/>
      <c r="W34" s="3"/>
      <c r="X34" s="2"/>
      <c r="Y34" s="2"/>
      <c r="Z34" s="2"/>
      <c r="AA34" s="2"/>
      <c r="AB34" s="2"/>
      <c r="AC34" s="2"/>
      <c r="AD34" s="2"/>
      <c r="AE34" s="2"/>
    </row>
    <row r="35" spans="1:31" ht="409.6">
      <c r="A35" s="2" t="s">
        <v>273</v>
      </c>
      <c r="B35" s="2" t="s">
        <v>274</v>
      </c>
      <c r="C35" s="2" t="str">
        <f>sheet13[[#This Row],[Nombre]]&amp;sheet13[[#This Row],[Bp Id]]</f>
        <v>Mail Control SystemSUP0012</v>
      </c>
      <c r="D35" s="2" t="str">
        <f>VLOOKUP(sheet13[[#This Row],[Columna1]],Sheet2!C:S,4,FALSE)</f>
        <v>Operativo</v>
      </c>
      <c r="E35" s="2" t="s">
        <v>275</v>
      </c>
      <c r="F35" s="2" t="s">
        <v>32</v>
      </c>
      <c r="G35" s="2" t="s">
        <v>48</v>
      </c>
      <c r="H35" s="2" t="s">
        <v>59</v>
      </c>
      <c r="I35" s="2" t="s">
        <v>225</v>
      </c>
      <c r="J35" s="2" t="s">
        <v>226</v>
      </c>
      <c r="K35" s="2" t="s">
        <v>753</v>
      </c>
      <c r="L35" s="2" t="s">
        <v>277</v>
      </c>
      <c r="M35" s="2" t="s">
        <v>39</v>
      </c>
      <c r="N35" s="2" t="s">
        <v>2343</v>
      </c>
      <c r="O35" s="2" t="s">
        <v>40</v>
      </c>
      <c r="P35" s="2" t="s">
        <v>43</v>
      </c>
      <c r="Q35" s="2" t="s">
        <v>64</v>
      </c>
      <c r="R35" s="2" t="s">
        <v>64</v>
      </c>
      <c r="S35" s="2" t="s">
        <v>41</v>
      </c>
      <c r="T35" s="2" t="s">
        <v>2344</v>
      </c>
      <c r="U35" s="2" t="s">
        <v>43</v>
      </c>
      <c r="V35" s="2" t="s">
        <v>278</v>
      </c>
      <c r="W35" s="3">
        <v>46092</v>
      </c>
      <c r="X35" s="2" t="s">
        <v>279</v>
      </c>
      <c r="Y35" s="2"/>
      <c r="Z35" s="2"/>
      <c r="AA35" s="2"/>
      <c r="AB35" s="2"/>
      <c r="AC35" s="2"/>
      <c r="AD35" s="2"/>
      <c r="AE35" s="2"/>
    </row>
    <row r="36" spans="1:31" ht="51">
      <c r="A36" s="2" t="s">
        <v>280</v>
      </c>
      <c r="B36" s="2" t="s">
        <v>281</v>
      </c>
      <c r="C36" s="2" t="str">
        <f>sheet13[[#This Row],[Nombre]]&amp;sheet13[[#This Row],[Bp Id]]</f>
        <v>MambuCOR0008</v>
      </c>
      <c r="D36" s="2" t="str">
        <f>VLOOKUP(sheet13[[#This Row],[Columna1]],Sheet2!C:S,4,FALSE)</f>
        <v>Retirado</v>
      </c>
      <c r="E36" s="2" t="s">
        <v>139</v>
      </c>
      <c r="F36" s="2" t="s">
        <v>47</v>
      </c>
      <c r="G36" s="2" t="s">
        <v>48</v>
      </c>
      <c r="H36" s="2" t="s">
        <v>59</v>
      </c>
      <c r="I36" s="2" t="s">
        <v>49</v>
      </c>
      <c r="J36" s="2" t="s">
        <v>50</v>
      </c>
      <c r="K36" s="2" t="s">
        <v>282</v>
      </c>
      <c r="L36" s="2" t="s">
        <v>282</v>
      </c>
      <c r="M36" s="2" t="s">
        <v>39</v>
      </c>
      <c r="N36" s="2" t="s">
        <v>2345</v>
      </c>
      <c r="O36" s="2" t="s">
        <v>40</v>
      </c>
      <c r="P36" s="2" t="s">
        <v>41</v>
      </c>
      <c r="Q36" s="2" t="s">
        <v>64</v>
      </c>
      <c r="R36" s="2" t="s">
        <v>64</v>
      </c>
      <c r="S36" s="2" t="s">
        <v>41</v>
      </c>
      <c r="T36" s="2"/>
      <c r="U36" s="2" t="s">
        <v>43</v>
      </c>
      <c r="V36" s="2"/>
      <c r="W36" s="3"/>
      <c r="X36" s="2"/>
      <c r="Y36" s="2"/>
      <c r="Z36" s="2"/>
      <c r="AA36" s="2"/>
      <c r="AB36" s="2"/>
      <c r="AC36" s="2"/>
      <c r="AD36" s="2"/>
      <c r="AE36" s="2"/>
    </row>
    <row r="37" spans="1:31" ht="63.6">
      <c r="A37" s="2" t="s">
        <v>283</v>
      </c>
      <c r="B37" s="2" t="s">
        <v>284</v>
      </c>
      <c r="C37" s="2" t="str">
        <f>sheet13[[#This Row],[Nombre]]&amp;sheet13[[#This Row],[Bp Id]]</f>
        <v>Mambu DeunaSEC0057</v>
      </c>
      <c r="D37" s="2" t="str">
        <f>VLOOKUP(sheet13[[#This Row],[Columna1]],Sheet2!C:S,4,FALSE)</f>
        <v>Retirado</v>
      </c>
      <c r="E37" s="2" t="s">
        <v>285</v>
      </c>
      <c r="F37" s="2" t="s">
        <v>47</v>
      </c>
      <c r="G37" s="2" t="s">
        <v>33</v>
      </c>
      <c r="H37" s="2" t="s">
        <v>59</v>
      </c>
      <c r="I37" s="2" t="s">
        <v>208</v>
      </c>
      <c r="J37" s="2" t="s">
        <v>209</v>
      </c>
      <c r="K37" s="2" t="s">
        <v>209</v>
      </c>
      <c r="L37" s="2" t="s">
        <v>209</v>
      </c>
      <c r="M37" s="2" t="s">
        <v>39</v>
      </c>
      <c r="N37" s="2" t="s">
        <v>2345</v>
      </c>
      <c r="O37" s="2" t="s">
        <v>40</v>
      </c>
      <c r="P37" s="2" t="s">
        <v>41</v>
      </c>
      <c r="Q37" s="2" t="s">
        <v>64</v>
      </c>
      <c r="R37" s="2" t="s">
        <v>64</v>
      </c>
      <c r="S37" s="2" t="s">
        <v>41</v>
      </c>
      <c r="T37" s="2"/>
      <c r="U37" s="2" t="s">
        <v>43</v>
      </c>
      <c r="V37" s="2"/>
      <c r="W37" s="3"/>
      <c r="X37" s="2"/>
      <c r="Y37" s="2"/>
      <c r="Z37" s="2"/>
      <c r="AA37" s="2"/>
      <c r="AB37" s="2"/>
      <c r="AC37" s="2"/>
      <c r="AD37" s="2"/>
      <c r="AE37" s="2"/>
    </row>
    <row r="38" spans="1:31" ht="238.5">
      <c r="A38" s="2" t="s">
        <v>286</v>
      </c>
      <c r="B38" s="2" t="s">
        <v>287</v>
      </c>
      <c r="C38" s="2" t="str">
        <f>sheet13[[#This Row],[Nombre]]&amp;sheet13[[#This Row],[Bp Id]]</f>
        <v>MatiBOTITM0075</v>
      </c>
      <c r="D38" s="2" t="str">
        <f>VLOOKUP(sheet13[[#This Row],[Columna1]],Sheet2!C:S,4,FALSE)</f>
        <v>Operativo</v>
      </c>
      <c r="E38" s="2" t="s">
        <v>288</v>
      </c>
      <c r="F38" s="2" t="s">
        <v>32</v>
      </c>
      <c r="G38" s="2" t="s">
        <v>48</v>
      </c>
      <c r="H38" s="2" t="s">
        <v>59</v>
      </c>
      <c r="I38" s="2" t="s">
        <v>232</v>
      </c>
      <c r="J38" s="2" t="s">
        <v>289</v>
      </c>
      <c r="K38" s="2" t="s">
        <v>234</v>
      </c>
      <c r="L38" s="2" t="s">
        <v>290</v>
      </c>
      <c r="M38" s="2" t="s">
        <v>63</v>
      </c>
      <c r="N38" s="2" t="s">
        <v>2343</v>
      </c>
      <c r="O38" s="2" t="s">
        <v>40</v>
      </c>
      <c r="P38" s="2" t="s">
        <v>41</v>
      </c>
      <c r="Q38" s="2" t="s">
        <v>64</v>
      </c>
      <c r="R38" s="2" t="s">
        <v>53</v>
      </c>
      <c r="S38" s="2" t="s">
        <v>43</v>
      </c>
      <c r="T38" s="2" t="s">
        <v>2344</v>
      </c>
      <c r="U38" s="2" t="s">
        <v>43</v>
      </c>
      <c r="V38" s="2" t="s">
        <v>54</v>
      </c>
      <c r="W38" s="3"/>
      <c r="X38" s="2"/>
      <c r="Y38" s="2"/>
      <c r="Z38" s="2"/>
      <c r="AA38" s="2"/>
      <c r="AB38" s="2"/>
      <c r="AC38" s="2"/>
      <c r="AD38" s="2"/>
      <c r="AE38" s="2"/>
    </row>
    <row r="39" spans="1:31" ht="150.94999999999999">
      <c r="A39" s="2" t="s">
        <v>291</v>
      </c>
      <c r="B39" s="2" t="s">
        <v>292</v>
      </c>
      <c r="C39" s="2" t="str">
        <f>sheet13[[#This Row],[Nombre]]&amp;sheet13[[#This Row],[Bp Id]]</f>
        <v>MazeEDC0006</v>
      </c>
      <c r="D39" s="2" t="str">
        <f>VLOOKUP(sheet13[[#This Row],[Columna1]],Sheet2!C:S,4,FALSE)</f>
        <v>Operativo</v>
      </c>
      <c r="E39" s="2" t="s">
        <v>293</v>
      </c>
      <c r="F39" s="2" t="s">
        <v>32</v>
      </c>
      <c r="G39" s="2" t="s">
        <v>48</v>
      </c>
      <c r="H39" s="2" t="s">
        <v>59</v>
      </c>
      <c r="I39" s="2" t="s">
        <v>294</v>
      </c>
      <c r="J39" s="2" t="s">
        <v>88</v>
      </c>
      <c r="K39" s="2" t="s">
        <v>295</v>
      </c>
      <c r="L39" s="2" t="s">
        <v>295</v>
      </c>
      <c r="M39" s="2" t="s">
        <v>296</v>
      </c>
      <c r="N39" s="2" t="s">
        <v>2343</v>
      </c>
      <c r="O39" s="2" t="s">
        <v>40</v>
      </c>
      <c r="P39" s="2" t="s">
        <v>41</v>
      </c>
      <c r="Q39" s="2" t="s">
        <v>53</v>
      </c>
      <c r="R39" s="2" t="s">
        <v>53</v>
      </c>
      <c r="S39" s="2" t="s">
        <v>43</v>
      </c>
      <c r="T39" s="2" t="s">
        <v>2344</v>
      </c>
      <c r="U39" s="2" t="s">
        <v>43</v>
      </c>
      <c r="V39" s="2" t="s">
        <v>54</v>
      </c>
      <c r="W39" s="3"/>
      <c r="X39" s="2"/>
      <c r="Y39" s="2"/>
      <c r="Z39" s="2"/>
      <c r="AA39" s="2"/>
      <c r="AB39" s="2"/>
      <c r="AC39" s="2"/>
      <c r="AD39" s="2"/>
      <c r="AE39" s="2"/>
    </row>
    <row r="40" spans="1:31" ht="51">
      <c r="A40" s="2" t="s">
        <v>297</v>
      </c>
      <c r="B40" s="2" t="s">
        <v>298</v>
      </c>
      <c r="C40" s="2" t="str">
        <f>sheet13[[#This Row],[Nombre]]&amp;sheet13[[#This Row],[Bp Id]]</f>
        <v>Mi Campus PichinchaSUP0033</v>
      </c>
      <c r="D40" s="2" t="str">
        <f>VLOOKUP(sheet13[[#This Row],[Columna1]],Sheet2!C:S,4,FALSE)</f>
        <v>Operativo</v>
      </c>
      <c r="E40" s="2" t="s">
        <v>299</v>
      </c>
      <c r="F40" s="2" t="s">
        <v>32</v>
      </c>
      <c r="G40" s="2" t="s">
        <v>48</v>
      </c>
      <c r="H40" s="2" t="s">
        <v>59</v>
      </c>
      <c r="I40" s="2" t="s">
        <v>225</v>
      </c>
      <c r="J40" s="2" t="s">
        <v>226</v>
      </c>
      <c r="K40" s="2" t="s">
        <v>1779</v>
      </c>
      <c r="L40" s="2" t="s">
        <v>2351</v>
      </c>
      <c r="M40" s="2" t="s">
        <v>63</v>
      </c>
      <c r="N40" s="2" t="s">
        <v>2343</v>
      </c>
      <c r="O40" s="2" t="s">
        <v>40</v>
      </c>
      <c r="P40" s="2" t="s">
        <v>41</v>
      </c>
      <c r="Q40" s="2" t="s">
        <v>64</v>
      </c>
      <c r="R40" s="2" t="s">
        <v>64</v>
      </c>
      <c r="S40" s="2" t="s">
        <v>43</v>
      </c>
      <c r="T40" s="2" t="s">
        <v>2344</v>
      </c>
      <c r="U40" s="2" t="s">
        <v>43</v>
      </c>
      <c r="V40" s="2" t="s">
        <v>54</v>
      </c>
      <c r="W40" s="3"/>
      <c r="X40" s="2"/>
      <c r="Y40" s="2"/>
      <c r="Z40" s="2"/>
      <c r="AA40" s="2"/>
      <c r="AB40" s="2"/>
      <c r="AC40" s="2"/>
      <c r="AD40" s="2"/>
      <c r="AE40" s="2"/>
    </row>
    <row r="41" spans="1:31" ht="409.6">
      <c r="A41" s="2" t="s">
        <v>301</v>
      </c>
      <c r="B41" s="2" t="s">
        <v>302</v>
      </c>
      <c r="C41" s="2" t="str">
        <f>sheet13[[#This Row],[Nombre]]&amp;sheet13[[#This Row],[Bp Id]]</f>
        <v>Mi Portal (4u)SUP0013</v>
      </c>
      <c r="D41" s="2" t="str">
        <f>VLOOKUP(sheet13[[#This Row],[Columna1]],Sheet2!C:S,4,FALSE)</f>
        <v>Operativo</v>
      </c>
      <c r="E41" s="2" t="s">
        <v>303</v>
      </c>
      <c r="F41" s="2" t="s">
        <v>32</v>
      </c>
      <c r="G41" s="2" t="s">
        <v>58</v>
      </c>
      <c r="H41" s="2" t="s">
        <v>59</v>
      </c>
      <c r="I41" s="2" t="s">
        <v>225</v>
      </c>
      <c r="J41" s="2" t="s">
        <v>226</v>
      </c>
      <c r="K41" s="2" t="s">
        <v>300</v>
      </c>
      <c r="L41" s="2" t="s">
        <v>2351</v>
      </c>
      <c r="M41" s="2" t="s">
        <v>63</v>
      </c>
      <c r="N41" s="2" t="s">
        <v>2343</v>
      </c>
      <c r="O41" s="2" t="s">
        <v>40</v>
      </c>
      <c r="P41" s="2" t="s">
        <v>43</v>
      </c>
      <c r="Q41" s="2" t="s">
        <v>53</v>
      </c>
      <c r="R41" s="2" t="s">
        <v>53</v>
      </c>
      <c r="S41" s="2" t="s">
        <v>43</v>
      </c>
      <c r="T41" s="2" t="s">
        <v>2344</v>
      </c>
      <c r="U41" s="2" t="s">
        <v>43</v>
      </c>
      <c r="V41" s="2" t="s">
        <v>305</v>
      </c>
      <c r="W41" s="3">
        <v>46063</v>
      </c>
      <c r="X41" s="2"/>
      <c r="Y41" s="2"/>
      <c r="Z41" s="2"/>
      <c r="AA41" s="2"/>
      <c r="AB41" s="2"/>
      <c r="AC41" s="2"/>
      <c r="AD41" s="2"/>
      <c r="AE41" s="2"/>
    </row>
    <row r="42" spans="1:31" ht="88.5">
      <c r="A42" s="2" t="s">
        <v>306</v>
      </c>
      <c r="B42" s="2" t="s">
        <v>307</v>
      </c>
      <c r="C42" s="2" t="str">
        <f>sheet13[[#This Row],[Nombre]]&amp;sheet13[[#This Row],[Bp Id]]</f>
        <v>Microcrédito DigitalPRD0053</v>
      </c>
      <c r="D42" s="2" t="str">
        <f>VLOOKUP(sheet13[[#This Row],[Columna1]],Sheet2!C:S,4,FALSE)</f>
        <v>Operativo</v>
      </c>
      <c r="E42" s="2" t="s">
        <v>308</v>
      </c>
      <c r="F42" s="2" t="s">
        <v>32</v>
      </c>
      <c r="G42" s="2" t="s">
        <v>48</v>
      </c>
      <c r="H42" s="2" t="s">
        <v>59</v>
      </c>
      <c r="I42" s="2" t="s">
        <v>309</v>
      </c>
      <c r="J42" s="2" t="s">
        <v>310</v>
      </c>
      <c r="K42" s="2" t="s">
        <v>96</v>
      </c>
      <c r="L42" s="2" t="s">
        <v>98</v>
      </c>
      <c r="M42" s="2" t="s">
        <v>39</v>
      </c>
      <c r="N42" s="2" t="s">
        <v>2345</v>
      </c>
      <c r="O42" s="2" t="s">
        <v>91</v>
      </c>
      <c r="P42" s="2" t="s">
        <v>43</v>
      </c>
      <c r="Q42" s="2" t="s">
        <v>311</v>
      </c>
      <c r="R42" s="2" t="s">
        <v>311</v>
      </c>
      <c r="S42" s="2" t="s">
        <v>43</v>
      </c>
      <c r="T42" s="2"/>
      <c r="U42" s="2" t="s">
        <v>43</v>
      </c>
      <c r="V42" s="2" t="s">
        <v>54</v>
      </c>
      <c r="W42" s="3"/>
      <c r="X42" s="2"/>
      <c r="Y42" s="2"/>
      <c r="Z42" s="2"/>
      <c r="AA42" s="2"/>
      <c r="AB42" s="2"/>
      <c r="AC42" s="2"/>
      <c r="AD42" s="2"/>
      <c r="AE42" s="2"/>
    </row>
    <row r="43" spans="1:31" ht="163.5">
      <c r="A43" s="2" t="s">
        <v>312</v>
      </c>
      <c r="B43" s="2" t="s">
        <v>313</v>
      </c>
      <c r="C43" s="2" t="str">
        <f>sheet13[[#This Row],[Nombre]]&amp;sheet13[[#This Row],[Bp Id]]</f>
        <v>Microfinance PortalPRD0063</v>
      </c>
      <c r="D43" s="2" t="str">
        <f>VLOOKUP(sheet13[[#This Row],[Columna1]],Sheet2!C:S,4,FALSE)</f>
        <v>Operativo</v>
      </c>
      <c r="E43" s="2" t="s">
        <v>314</v>
      </c>
      <c r="F43" s="2" t="s">
        <v>32</v>
      </c>
      <c r="G43" s="2" t="s">
        <v>48</v>
      </c>
      <c r="H43" s="2" t="s">
        <v>59</v>
      </c>
      <c r="I43" s="2" t="s">
        <v>309</v>
      </c>
      <c r="J43" s="2" t="s">
        <v>96</v>
      </c>
      <c r="K43" s="2" t="s">
        <v>315</v>
      </c>
      <c r="L43" s="2" t="s">
        <v>316</v>
      </c>
      <c r="M43" s="2" t="s">
        <v>39</v>
      </c>
      <c r="N43" s="2" t="s">
        <v>2343</v>
      </c>
      <c r="O43" s="2" t="s">
        <v>40</v>
      </c>
      <c r="P43" s="2" t="s">
        <v>41</v>
      </c>
      <c r="Q43" s="2" t="s">
        <v>64</v>
      </c>
      <c r="R43" s="2" t="s">
        <v>64</v>
      </c>
      <c r="S43" s="2" t="s">
        <v>41</v>
      </c>
      <c r="T43" s="2" t="s">
        <v>2344</v>
      </c>
      <c r="U43" s="2" t="s">
        <v>43</v>
      </c>
      <c r="V43" s="2"/>
      <c r="W43" s="3"/>
      <c r="X43" s="2"/>
      <c r="Y43" s="2"/>
      <c r="Z43" s="2"/>
      <c r="AA43" s="2"/>
      <c r="AB43" s="2"/>
      <c r="AC43" s="2"/>
      <c r="AD43" s="2"/>
      <c r="AE43" s="2"/>
    </row>
    <row r="44" spans="1:31" ht="288.60000000000002">
      <c r="A44" s="2" t="s">
        <v>317</v>
      </c>
      <c r="B44" s="2" t="s">
        <v>318</v>
      </c>
      <c r="C44" s="2" t="str">
        <f>sheet13[[#This Row],[Nombre]]&amp;sheet13[[#This Row],[Bp Id]]</f>
        <v>Mis RiesgosRIS0008</v>
      </c>
      <c r="D44" s="2" t="str">
        <f>VLOOKUP(sheet13[[#This Row],[Columna1]],Sheet2!C:S,4,FALSE)</f>
        <v>Operativo</v>
      </c>
      <c r="E44" s="2" t="s">
        <v>319</v>
      </c>
      <c r="F44" s="2" t="s">
        <v>32</v>
      </c>
      <c r="G44" s="2" t="s">
        <v>48</v>
      </c>
      <c r="H44" s="2" t="s">
        <v>34</v>
      </c>
      <c r="I44" s="2" t="s">
        <v>320</v>
      </c>
      <c r="J44" s="2" t="s">
        <v>321</v>
      </c>
      <c r="K44" s="2" t="s">
        <v>322</v>
      </c>
      <c r="L44" s="2" t="s">
        <v>323</v>
      </c>
      <c r="M44" s="2" t="s">
        <v>39</v>
      </c>
      <c r="N44" s="2" t="s">
        <v>2343</v>
      </c>
      <c r="O44" s="2" t="s">
        <v>40</v>
      </c>
      <c r="P44" s="2" t="s">
        <v>41</v>
      </c>
      <c r="Q44" s="2" t="s">
        <v>324</v>
      </c>
      <c r="R44" s="2" t="s">
        <v>53</v>
      </c>
      <c r="S44" s="2" t="s">
        <v>41</v>
      </c>
      <c r="T44" s="2" t="s">
        <v>2344</v>
      </c>
      <c r="U44" s="2" t="s">
        <v>43</v>
      </c>
      <c r="V44" s="2"/>
      <c r="W44" s="3"/>
      <c r="X44" s="2"/>
      <c r="Y44" s="2"/>
      <c r="Z44" s="2"/>
      <c r="AA44" s="2"/>
      <c r="AB44" s="2"/>
      <c r="AC44" s="2"/>
      <c r="AD44" s="2"/>
      <c r="AE44" s="2"/>
    </row>
    <row r="45" spans="1:31" ht="63.6">
      <c r="A45" s="2" t="s">
        <v>325</v>
      </c>
      <c r="B45" s="2" t="s">
        <v>326</v>
      </c>
      <c r="C45" s="2" t="str">
        <f>sheet13[[#This Row],[Nombre]]&amp;sheet13[[#This Row],[Bp Id]]</f>
        <v>MODELO PREDICTIVO CIIUDAT0006</v>
      </c>
      <c r="D45" s="2" t="str">
        <f>VLOOKUP(sheet13[[#This Row],[Columna1]],Sheet2!C:S,4,FALSE)</f>
        <v>Operativo</v>
      </c>
      <c r="E45" s="2" t="s">
        <v>327</v>
      </c>
      <c r="F45" s="2" t="s">
        <v>32</v>
      </c>
      <c r="G45" s="2" t="s">
        <v>48</v>
      </c>
      <c r="H45" s="2" t="s">
        <v>34</v>
      </c>
      <c r="I45" s="2" t="s">
        <v>328</v>
      </c>
      <c r="J45" s="2" t="s">
        <v>329</v>
      </c>
      <c r="K45" s="2" t="s">
        <v>330</v>
      </c>
      <c r="L45" s="2" t="s">
        <v>331</v>
      </c>
      <c r="M45" s="2" t="s">
        <v>63</v>
      </c>
      <c r="N45" s="2" t="s">
        <v>2343</v>
      </c>
      <c r="O45" s="2" t="s">
        <v>40</v>
      </c>
      <c r="P45" s="2" t="s">
        <v>41</v>
      </c>
      <c r="Q45" s="2" t="s">
        <v>53</v>
      </c>
      <c r="R45" s="2" t="s">
        <v>53</v>
      </c>
      <c r="S45" s="2" t="s">
        <v>43</v>
      </c>
      <c r="T45" s="2" t="s">
        <v>2344</v>
      </c>
      <c r="U45" s="2" t="s">
        <v>43</v>
      </c>
      <c r="V45" s="2" t="s">
        <v>54</v>
      </c>
      <c r="W45" s="3"/>
      <c r="X45" s="2"/>
      <c r="Y45" s="2"/>
      <c r="Z45" s="2"/>
      <c r="AA45" s="2"/>
      <c r="AB45" s="2"/>
      <c r="AC45" s="2"/>
      <c r="AD45" s="2"/>
      <c r="AE45" s="2"/>
    </row>
    <row r="46" spans="1:31" ht="375.95">
      <c r="A46" s="2" t="s">
        <v>332</v>
      </c>
      <c r="B46" s="2" t="s">
        <v>333</v>
      </c>
      <c r="C46" s="2" t="str">
        <f>sheet13[[#This Row],[Nombre]]&amp;sheet13[[#This Row],[Bp Id]]</f>
        <v>MoengageOMN0001</v>
      </c>
      <c r="D46" s="2" t="str">
        <f>VLOOKUP(sheet13[[#This Row],[Columna1]],Sheet2!C:S,4,FALSE)</f>
        <v>Operativo</v>
      </c>
      <c r="E46" s="2" t="s">
        <v>334</v>
      </c>
      <c r="F46" s="2" t="s">
        <v>32</v>
      </c>
      <c r="G46" s="2" t="s">
        <v>48</v>
      </c>
      <c r="H46" s="2" t="s">
        <v>59</v>
      </c>
      <c r="I46" s="2" t="s">
        <v>198</v>
      </c>
      <c r="J46" s="2" t="s">
        <v>240</v>
      </c>
      <c r="K46" s="2" t="s">
        <v>335</v>
      </c>
      <c r="L46" s="2" t="s">
        <v>82</v>
      </c>
      <c r="M46" s="2" t="s">
        <v>63</v>
      </c>
      <c r="N46" s="2" t="s">
        <v>2343</v>
      </c>
      <c r="O46" s="2" t="s">
        <v>40</v>
      </c>
      <c r="P46" s="2" t="s">
        <v>41</v>
      </c>
      <c r="Q46" s="2" t="s">
        <v>53</v>
      </c>
      <c r="R46" s="2" t="s">
        <v>53</v>
      </c>
      <c r="S46" s="2" t="s">
        <v>43</v>
      </c>
      <c r="T46" s="2" t="s">
        <v>2344</v>
      </c>
      <c r="U46" s="2" t="s">
        <v>43</v>
      </c>
      <c r="V46" s="2" t="s">
        <v>54</v>
      </c>
      <c r="W46" s="3"/>
      <c r="X46" s="2"/>
      <c r="Y46" s="2"/>
      <c r="Z46" s="2"/>
      <c r="AA46" s="2"/>
      <c r="AB46" s="2"/>
      <c r="AC46" s="2"/>
      <c r="AD46" s="2"/>
      <c r="AE46" s="2"/>
    </row>
    <row r="47" spans="1:31" ht="113.45">
      <c r="A47" s="2" t="s">
        <v>336</v>
      </c>
      <c r="B47" s="2" t="s">
        <v>337</v>
      </c>
      <c r="C47" s="2" t="str">
        <f>sheet13[[#This Row],[Nombre]]&amp;sheet13[[#This Row],[Bp Id]]</f>
        <v>Monitor BPMITM0039</v>
      </c>
      <c r="D47" s="2" t="str">
        <f>VLOOKUP(sheet13[[#This Row],[Columna1]],Sheet2!C:S,4,FALSE)</f>
        <v>Retirado</v>
      </c>
      <c r="E47" s="2" t="s">
        <v>338</v>
      </c>
      <c r="F47" s="2" t="s">
        <v>47</v>
      </c>
      <c r="G47" s="2" t="s">
        <v>48</v>
      </c>
      <c r="H47" s="2" t="s">
        <v>34</v>
      </c>
      <c r="I47" s="2" t="s">
        <v>339</v>
      </c>
      <c r="J47" s="2" t="s">
        <v>50</v>
      </c>
      <c r="K47" s="2" t="s">
        <v>340</v>
      </c>
      <c r="L47" s="2" t="s">
        <v>341</v>
      </c>
      <c r="M47" s="2" t="s">
        <v>63</v>
      </c>
      <c r="N47" s="2" t="s">
        <v>2345</v>
      </c>
      <c r="O47" s="2" t="s">
        <v>40</v>
      </c>
      <c r="P47" s="2" t="s">
        <v>41</v>
      </c>
      <c r="Q47" s="2" t="s">
        <v>53</v>
      </c>
      <c r="R47" s="2" t="s">
        <v>53</v>
      </c>
      <c r="S47" s="2" t="s">
        <v>43</v>
      </c>
      <c r="T47" s="2"/>
      <c r="U47" s="2" t="s">
        <v>43</v>
      </c>
      <c r="V47" s="2"/>
      <c r="W47" s="3"/>
      <c r="X47" s="2"/>
      <c r="Y47" s="2"/>
      <c r="Z47" s="2"/>
      <c r="AA47" s="2"/>
      <c r="AB47" s="2"/>
      <c r="AC47" s="2"/>
      <c r="AD47" s="2"/>
      <c r="AE47" s="2"/>
    </row>
    <row r="48" spans="1:31" ht="276">
      <c r="A48" s="2" t="s">
        <v>342</v>
      </c>
      <c r="B48" s="2" t="s">
        <v>343</v>
      </c>
      <c r="C48" s="2" t="str">
        <f>sheet13[[#This Row],[Nombre]]&amp;sheet13[[#This Row],[Bp Id]]</f>
        <v>Monitor PlusGOB0005</v>
      </c>
      <c r="D48" s="2" t="str">
        <f>VLOOKUP(sheet13[[#This Row],[Columna1]],Sheet2!C:S,4,FALSE)</f>
        <v>Operativo</v>
      </c>
      <c r="E48" s="2" t="s">
        <v>344</v>
      </c>
      <c r="F48" s="2" t="s">
        <v>32</v>
      </c>
      <c r="G48" s="2" t="s">
        <v>48</v>
      </c>
      <c r="H48" s="2" t="s">
        <v>345</v>
      </c>
      <c r="I48" s="2" t="s">
        <v>225</v>
      </c>
      <c r="J48" s="2" t="s">
        <v>226</v>
      </c>
      <c r="K48" s="2" t="s">
        <v>227</v>
      </c>
      <c r="L48" s="2" t="s">
        <v>228</v>
      </c>
      <c r="M48" s="2" t="s">
        <v>63</v>
      </c>
      <c r="N48" s="2" t="s">
        <v>2343</v>
      </c>
      <c r="O48" s="2" t="s">
        <v>40</v>
      </c>
      <c r="P48" s="2" t="s">
        <v>41</v>
      </c>
      <c r="Q48" s="2" t="s">
        <v>53</v>
      </c>
      <c r="R48" s="2" t="s">
        <v>53</v>
      </c>
      <c r="S48" s="2" t="s">
        <v>43</v>
      </c>
      <c r="T48" s="2" t="str">
        <f>VLOOKUP(sheet13[[#This Row],[Nombre]],[1]Hoja1!A:B,2,FALSE)</f>
        <v>FASE 2</v>
      </c>
      <c r="U48" s="2" t="s">
        <v>43</v>
      </c>
      <c r="V48" s="2"/>
      <c r="W48" s="3"/>
      <c r="X48" s="2"/>
      <c r="Y48" s="2"/>
      <c r="Z48" s="2"/>
      <c r="AA48" s="2"/>
      <c r="AB48" s="2"/>
      <c r="AC48" s="2"/>
      <c r="AD48" s="2"/>
      <c r="AE48" s="2"/>
    </row>
    <row r="49" spans="1:31" ht="251.1">
      <c r="A49" s="2" t="s">
        <v>346</v>
      </c>
      <c r="B49" s="2" t="s">
        <v>347</v>
      </c>
      <c r="C49" s="2" t="str">
        <f>sheet13[[#This Row],[Nombre]]&amp;sheet13[[#This Row],[Bp Id]]</f>
        <v>MonitorATMCHL0019</v>
      </c>
      <c r="D49" s="2" t="str">
        <f>VLOOKUP(sheet13[[#This Row],[Columna1]],Sheet2!C:S,4,FALSE)</f>
        <v>Retirado</v>
      </c>
      <c r="E49" s="2" t="s">
        <v>348</v>
      </c>
      <c r="F49" s="2" t="s">
        <v>47</v>
      </c>
      <c r="G49" s="2" t="s">
        <v>58</v>
      </c>
      <c r="H49" s="2" t="s">
        <v>34</v>
      </c>
      <c r="I49" s="2" t="s">
        <v>35</v>
      </c>
      <c r="J49" s="2" t="s">
        <v>349</v>
      </c>
      <c r="K49" s="2" t="s">
        <v>234</v>
      </c>
      <c r="L49" s="2" t="s">
        <v>350</v>
      </c>
      <c r="M49" s="2" t="s">
        <v>39</v>
      </c>
      <c r="N49" s="2" t="s">
        <v>2345</v>
      </c>
      <c r="O49" s="2" t="s">
        <v>40</v>
      </c>
      <c r="P49" s="2" t="s">
        <v>41</v>
      </c>
      <c r="Q49" s="2" t="s">
        <v>246</v>
      </c>
      <c r="R49" s="2" t="s">
        <v>247</v>
      </c>
      <c r="S49" s="2" t="s">
        <v>41</v>
      </c>
      <c r="T49" s="2"/>
      <c r="U49" s="2" t="s">
        <v>43</v>
      </c>
      <c r="V49" s="2" t="s">
        <v>193</v>
      </c>
      <c r="W49" s="3"/>
      <c r="X49" s="2"/>
      <c r="Y49" s="2"/>
      <c r="Z49" s="2"/>
      <c r="AA49" s="2"/>
      <c r="AB49" s="2"/>
      <c r="AC49" s="2"/>
      <c r="AD49" s="2"/>
      <c r="AE49" s="2"/>
    </row>
    <row r="50" spans="1:31" ht="409.6">
      <c r="A50" s="2" t="s">
        <v>351</v>
      </c>
      <c r="B50" s="2" t="s">
        <v>352</v>
      </c>
      <c r="C50" s="2" t="str">
        <f>sheet13[[#This Row],[Nombre]]&amp;sheet13[[#This Row],[Bp Id]]</f>
        <v>CreditoDistribuidorPRD0014</v>
      </c>
      <c r="D50" s="2" t="str">
        <f>VLOOKUP(sheet13[[#This Row],[Columna1]],Sheet2!C:S,4,FALSE)</f>
        <v>Operativo</v>
      </c>
      <c r="E50" s="2" t="s">
        <v>353</v>
      </c>
      <c r="F50" s="2" t="s">
        <v>32</v>
      </c>
      <c r="G50" s="2" t="s">
        <v>58</v>
      </c>
      <c r="H50" s="2" t="s">
        <v>34</v>
      </c>
      <c r="I50" s="2" t="s">
        <v>116</v>
      </c>
      <c r="J50" s="2" t="s">
        <v>62</v>
      </c>
      <c r="K50" s="2" t="s">
        <v>117</v>
      </c>
      <c r="L50" s="2" t="s">
        <v>118</v>
      </c>
      <c r="M50" s="2" t="s">
        <v>39</v>
      </c>
      <c r="N50" s="2" t="s">
        <v>2343</v>
      </c>
      <c r="O50" s="2" t="s">
        <v>40</v>
      </c>
      <c r="P50" s="2" t="s">
        <v>41</v>
      </c>
      <c r="Q50" s="2" t="s">
        <v>53</v>
      </c>
      <c r="R50" s="2" t="s">
        <v>53</v>
      </c>
      <c r="S50" s="2" t="s">
        <v>41</v>
      </c>
      <c r="T50" s="2"/>
      <c r="U50" s="2" t="s">
        <v>41</v>
      </c>
      <c r="V50" s="2" t="s">
        <v>119</v>
      </c>
      <c r="W50" s="3">
        <v>45199</v>
      </c>
      <c r="X50" s="2"/>
      <c r="Y50" s="2" t="s">
        <v>100</v>
      </c>
      <c r="Z50" s="2"/>
      <c r="AA50" s="2"/>
      <c r="AB50" s="2"/>
      <c r="AC50" s="2"/>
      <c r="AD50" s="2"/>
      <c r="AE50" s="2"/>
    </row>
    <row r="51" spans="1:31" ht="126">
      <c r="A51" s="2" t="s">
        <v>354</v>
      </c>
      <c r="B51" s="2" t="s">
        <v>355</v>
      </c>
      <c r="C51" s="2" t="str">
        <f>sheet13[[#This Row],[Nombre]]&amp;sheet13[[#This Row],[Bp Id]]</f>
        <v>CreditosCOMPRD0015</v>
      </c>
      <c r="D51" s="2" t="str">
        <f>VLOOKUP(sheet13[[#This Row],[Columna1]],Sheet2!C:S,4,FALSE)</f>
        <v>Operativo</v>
      </c>
      <c r="E51" s="2" t="s">
        <v>356</v>
      </c>
      <c r="F51" s="2" t="s">
        <v>32</v>
      </c>
      <c r="G51" s="2" t="s">
        <v>58</v>
      </c>
      <c r="H51" s="2" t="s">
        <v>34</v>
      </c>
      <c r="I51" s="2" t="s">
        <v>95</v>
      </c>
      <c r="J51" s="2" t="s">
        <v>96</v>
      </c>
      <c r="K51" s="2" t="s">
        <v>97</v>
      </c>
      <c r="L51" s="2" t="s">
        <v>98</v>
      </c>
      <c r="M51" s="2" t="s">
        <v>39</v>
      </c>
      <c r="N51" s="2" t="s">
        <v>2343</v>
      </c>
      <c r="O51" s="2" t="s">
        <v>40</v>
      </c>
      <c r="P51" s="2" t="s">
        <v>41</v>
      </c>
      <c r="Q51" s="2" t="s">
        <v>42</v>
      </c>
      <c r="R51" s="2" t="s">
        <v>53</v>
      </c>
      <c r="S51" s="2" t="s">
        <v>41</v>
      </c>
      <c r="T51" s="2"/>
      <c r="U51" s="2" t="s">
        <v>41</v>
      </c>
      <c r="V51" s="2" t="s">
        <v>99</v>
      </c>
      <c r="W51" s="3">
        <v>45199</v>
      </c>
      <c r="X51" s="2"/>
      <c r="Y51" s="2"/>
      <c r="Z51" s="2"/>
      <c r="AA51" s="2"/>
      <c r="AB51" s="2"/>
      <c r="AC51" s="2" t="s">
        <v>357</v>
      </c>
      <c r="AD51" s="2"/>
      <c r="AE51" s="2" t="s">
        <v>103</v>
      </c>
    </row>
    <row r="52" spans="1:31" ht="338.45">
      <c r="A52" s="2" t="s">
        <v>358</v>
      </c>
      <c r="B52" s="2" t="s">
        <v>359</v>
      </c>
      <c r="C52" s="2" t="str">
        <f>sheet13[[#This Row],[Nombre]]&amp;sheet13[[#This Row],[Bp Id]]</f>
        <v>CRM (salesforce - Financial services)CUS0007</v>
      </c>
      <c r="D52" s="2" t="str">
        <f>VLOOKUP(sheet13[[#This Row],[Columna1]],Sheet2!C:S,4,FALSE)</f>
        <v>Operativo</v>
      </c>
      <c r="E52" s="2" t="s">
        <v>139</v>
      </c>
      <c r="F52" s="2" t="s">
        <v>32</v>
      </c>
      <c r="G52" s="2" t="s">
        <v>76</v>
      </c>
      <c r="H52" s="2" t="s">
        <v>59</v>
      </c>
      <c r="I52" s="2" t="s">
        <v>87</v>
      </c>
      <c r="J52" s="2" t="s">
        <v>88</v>
      </c>
      <c r="K52" s="2" t="s">
        <v>360</v>
      </c>
      <c r="L52" s="2" t="s">
        <v>361</v>
      </c>
      <c r="M52" s="2" t="s">
        <v>39</v>
      </c>
      <c r="N52" s="2" t="s">
        <v>2343</v>
      </c>
      <c r="O52" s="2" t="s">
        <v>40</v>
      </c>
      <c r="P52" s="2" t="s">
        <v>41</v>
      </c>
      <c r="Q52" s="2" t="s">
        <v>64</v>
      </c>
      <c r="R52" s="2" t="s">
        <v>53</v>
      </c>
      <c r="S52" s="2" t="s">
        <v>41</v>
      </c>
      <c r="T52" s="2"/>
      <c r="U52" s="2" t="s">
        <v>41</v>
      </c>
      <c r="V52" s="2"/>
      <c r="W52" s="3">
        <v>45200</v>
      </c>
      <c r="X52" s="2"/>
      <c r="Y52" s="2"/>
      <c r="Z52" s="2"/>
      <c r="AA52" s="2" t="s">
        <v>147</v>
      </c>
      <c r="AB52" s="2" t="s">
        <v>127</v>
      </c>
      <c r="AC52" s="2" t="s">
        <v>180</v>
      </c>
      <c r="AD52" s="2" t="s">
        <v>129</v>
      </c>
      <c r="AE52" s="2" t="s">
        <v>364</v>
      </c>
    </row>
    <row r="53" spans="1:31" ht="276">
      <c r="A53" s="2" t="s">
        <v>365</v>
      </c>
      <c r="B53" s="2" t="s">
        <v>366</v>
      </c>
      <c r="C53" s="2" t="str">
        <f>sheet13[[#This Row],[Nombre]]&amp;sheet13[[#This Row],[Bp Id]]</f>
        <v>CRM (salesforce - Marketing Cloud)CUS0008</v>
      </c>
      <c r="D53" s="2" t="str">
        <f>VLOOKUP(sheet13[[#This Row],[Columna1]],Sheet2!C:S,4,FALSE)</f>
        <v>Operativo</v>
      </c>
      <c r="E53" s="2" t="s">
        <v>367</v>
      </c>
      <c r="F53" s="2" t="s">
        <v>32</v>
      </c>
      <c r="G53" s="2" t="s">
        <v>48</v>
      </c>
      <c r="H53" s="2" t="s">
        <v>59</v>
      </c>
      <c r="I53" s="2" t="s">
        <v>87</v>
      </c>
      <c r="J53" s="2" t="s">
        <v>88</v>
      </c>
      <c r="K53" s="2" t="s">
        <v>89</v>
      </c>
      <c r="L53" s="2" t="s">
        <v>361</v>
      </c>
      <c r="M53" s="2" t="s">
        <v>39</v>
      </c>
      <c r="N53" s="2" t="s">
        <v>2343</v>
      </c>
      <c r="O53" s="2" t="s">
        <v>40</v>
      </c>
      <c r="P53" s="2" t="s">
        <v>41</v>
      </c>
      <c r="Q53" s="2" t="s">
        <v>53</v>
      </c>
      <c r="R53" s="2" t="s">
        <v>53</v>
      </c>
      <c r="S53" s="2" t="s">
        <v>41</v>
      </c>
      <c r="T53" s="2"/>
      <c r="U53" s="2" t="s">
        <v>41</v>
      </c>
      <c r="V53" s="2"/>
      <c r="W53" s="3">
        <v>46052</v>
      </c>
      <c r="X53" s="2" t="s">
        <v>368</v>
      </c>
      <c r="Y53" s="2" t="s">
        <v>369</v>
      </c>
      <c r="Z53" s="2" t="s">
        <v>179</v>
      </c>
      <c r="AA53" s="2" t="s">
        <v>127</v>
      </c>
      <c r="AB53" s="2" t="s">
        <v>127</v>
      </c>
      <c r="AC53" s="2" t="s">
        <v>370</v>
      </c>
      <c r="AD53" s="2" t="s">
        <v>129</v>
      </c>
      <c r="AE53" s="2" t="s">
        <v>371</v>
      </c>
    </row>
    <row r="54" spans="1:31" ht="313.5">
      <c r="A54" s="2" t="s">
        <v>372</v>
      </c>
      <c r="B54" s="2" t="s">
        <v>373</v>
      </c>
      <c r="C54" s="2" t="str">
        <f>sheet13[[#This Row],[Nombre]]&amp;sheet13[[#This Row],[Bp Id]]</f>
        <v>CrowdstrikeSEC0009</v>
      </c>
      <c r="D54" s="2" t="str">
        <f>VLOOKUP(sheet13[[#This Row],[Columna1]],Sheet2!C:S,4,FALSE)</f>
        <v>Operativo</v>
      </c>
      <c r="E54" s="2" t="s">
        <v>374</v>
      </c>
      <c r="F54" s="2" t="s">
        <v>32</v>
      </c>
      <c r="G54" s="2" t="s">
        <v>76</v>
      </c>
      <c r="H54" s="2" t="s">
        <v>59</v>
      </c>
      <c r="I54" s="2" t="s">
        <v>2348</v>
      </c>
      <c r="J54" s="2" t="s">
        <v>175</v>
      </c>
      <c r="K54" s="2" t="s">
        <v>176</v>
      </c>
      <c r="L54" s="2" t="s">
        <v>2349</v>
      </c>
      <c r="M54" s="2" t="s">
        <v>111</v>
      </c>
      <c r="N54" s="2" t="s">
        <v>2343</v>
      </c>
      <c r="O54" s="2" t="s">
        <v>40</v>
      </c>
      <c r="P54" s="2" t="s">
        <v>41</v>
      </c>
      <c r="Q54" s="2" t="s">
        <v>64</v>
      </c>
      <c r="R54" s="2" t="s">
        <v>53</v>
      </c>
      <c r="S54" s="2" t="s">
        <v>41</v>
      </c>
      <c r="T54" s="2"/>
      <c r="U54" s="2" t="s">
        <v>41</v>
      </c>
      <c r="V54" s="2"/>
      <c r="W54" s="3">
        <v>45715</v>
      </c>
      <c r="X54" s="2"/>
      <c r="Y54" s="2" t="s">
        <v>375</v>
      </c>
      <c r="Z54" s="2" t="s">
        <v>187</v>
      </c>
      <c r="AA54" s="2" t="s">
        <v>376</v>
      </c>
      <c r="AB54" s="2" t="s">
        <v>127</v>
      </c>
      <c r="AC54" s="2" t="s">
        <v>180</v>
      </c>
      <c r="AD54" s="2" t="s">
        <v>129</v>
      </c>
      <c r="AE54" s="2" t="s">
        <v>377</v>
      </c>
    </row>
    <row r="55" spans="1:31" ht="313.5">
      <c r="A55" s="2" t="s">
        <v>378</v>
      </c>
      <c r="B55" s="2" t="s">
        <v>379</v>
      </c>
      <c r="C55" s="2" t="str">
        <f>sheet13[[#This Row],[Nombre]]&amp;sheet13[[#This Row],[Bp Id]]</f>
        <v>Cuadre AtmsSUP0021</v>
      </c>
      <c r="D55" s="2" t="str">
        <f>VLOOKUP(sheet13[[#This Row],[Columna1]],Sheet2!C:S,4,FALSE)</f>
        <v>Operativo</v>
      </c>
      <c r="E55" s="2" t="s">
        <v>380</v>
      </c>
      <c r="F55" s="2" t="s">
        <v>32</v>
      </c>
      <c r="G55" s="2" t="s">
        <v>76</v>
      </c>
      <c r="H55" s="2" t="s">
        <v>34</v>
      </c>
      <c r="I55" s="2" t="s">
        <v>35</v>
      </c>
      <c r="J55" s="2" t="s">
        <v>36</v>
      </c>
      <c r="K55" s="2" t="s">
        <v>381</v>
      </c>
      <c r="L55" s="2" t="s">
        <v>382</v>
      </c>
      <c r="M55" s="2" t="s">
        <v>39</v>
      </c>
      <c r="N55" s="2" t="s">
        <v>2343</v>
      </c>
      <c r="O55" s="2" t="s">
        <v>40</v>
      </c>
      <c r="P55" s="2" t="s">
        <v>41</v>
      </c>
      <c r="Q55" s="2" t="s">
        <v>53</v>
      </c>
      <c r="R55" s="2" t="s">
        <v>53</v>
      </c>
      <c r="S55" s="2" t="s">
        <v>41</v>
      </c>
      <c r="T55" s="2"/>
      <c r="U55" s="2" t="s">
        <v>41</v>
      </c>
      <c r="V55" s="2" t="s">
        <v>119</v>
      </c>
      <c r="W55" s="3">
        <v>45199</v>
      </c>
      <c r="X55" s="2"/>
      <c r="Y55" s="2"/>
      <c r="Z55" s="2"/>
      <c r="AA55" s="2"/>
      <c r="AB55" s="2"/>
      <c r="AC55" s="2"/>
      <c r="AD55" s="2"/>
      <c r="AE55" s="2"/>
    </row>
    <row r="56" spans="1:31" ht="409.6">
      <c r="A56" s="2" t="s">
        <v>383</v>
      </c>
      <c r="B56" s="2" t="s">
        <v>384</v>
      </c>
      <c r="C56" s="2" t="str">
        <f>sheet13[[#This Row],[Nombre]]&amp;sheet13[[#This Row],[Bp Id]]</f>
        <v>Cuenta Digital PersonasCHL0037</v>
      </c>
      <c r="D56" s="2" t="str">
        <f>VLOOKUP(sheet13[[#This Row],[Columna1]],Sheet2!C:S,4,FALSE)</f>
        <v>Operativo</v>
      </c>
      <c r="E56" s="2" t="s">
        <v>385</v>
      </c>
      <c r="F56" s="2" t="s">
        <v>32</v>
      </c>
      <c r="G56" s="2" t="s">
        <v>76</v>
      </c>
      <c r="H56" s="2" t="s">
        <v>59</v>
      </c>
      <c r="I56" s="2" t="s">
        <v>167</v>
      </c>
      <c r="J56" s="2" t="s">
        <v>96</v>
      </c>
      <c r="K56" s="2" t="s">
        <v>168</v>
      </c>
      <c r="L56" s="2" t="s">
        <v>169</v>
      </c>
      <c r="M56" s="2" t="s">
        <v>63</v>
      </c>
      <c r="N56" s="2" t="s">
        <v>2343</v>
      </c>
      <c r="O56" s="2" t="s">
        <v>386</v>
      </c>
      <c r="P56" s="2" t="s">
        <v>43</v>
      </c>
      <c r="Q56" s="2" t="s">
        <v>64</v>
      </c>
      <c r="R56" s="2" t="s">
        <v>64</v>
      </c>
      <c r="S56" s="2" t="s">
        <v>43</v>
      </c>
      <c r="T56" s="2" t="s">
        <v>2344</v>
      </c>
      <c r="U56" s="2" t="s">
        <v>43</v>
      </c>
      <c r="V56" s="2" t="s">
        <v>387</v>
      </c>
      <c r="W56" s="3"/>
      <c r="X56" s="2"/>
      <c r="Y56" s="2"/>
      <c r="Z56" s="2"/>
      <c r="AA56" s="2"/>
      <c r="AB56" s="2"/>
      <c r="AC56" s="2"/>
      <c r="AD56" s="2"/>
      <c r="AE56" s="2"/>
    </row>
    <row r="57" spans="1:31" ht="176.1">
      <c r="A57" s="2" t="s">
        <v>388</v>
      </c>
      <c r="B57" s="2" t="s">
        <v>389</v>
      </c>
      <c r="C57" s="2" t="str">
        <f>sheet13[[#This Row],[Nombre]]&amp;sheet13[[#This Row],[Bp Id]]</f>
        <v>Cuentas por pagarSUP0031</v>
      </c>
      <c r="D57" s="2" t="str">
        <f>VLOOKUP(sheet13[[#This Row],[Columna1]],Sheet2!C:S,4,FALSE)</f>
        <v>Operativo</v>
      </c>
      <c r="E57" s="2" t="s">
        <v>390</v>
      </c>
      <c r="F57" s="2" t="s">
        <v>32</v>
      </c>
      <c r="G57" s="2" t="s">
        <v>48</v>
      </c>
      <c r="H57" s="2" t="s">
        <v>59</v>
      </c>
      <c r="I57" s="2" t="s">
        <v>225</v>
      </c>
      <c r="J57" s="2" t="s">
        <v>226</v>
      </c>
      <c r="K57" s="2" t="s">
        <v>753</v>
      </c>
      <c r="L57" s="2" t="s">
        <v>277</v>
      </c>
      <c r="M57" s="2" t="s">
        <v>63</v>
      </c>
      <c r="N57" s="2" t="s">
        <v>2343</v>
      </c>
      <c r="O57" s="2" t="s">
        <v>40</v>
      </c>
      <c r="P57" s="2" t="s">
        <v>41</v>
      </c>
      <c r="Q57" s="2" t="s">
        <v>53</v>
      </c>
      <c r="R57" s="2" t="s">
        <v>53</v>
      </c>
      <c r="S57" s="2" t="s">
        <v>43</v>
      </c>
      <c r="T57" s="2" t="s">
        <v>2344</v>
      </c>
      <c r="U57" s="2" t="s">
        <v>43</v>
      </c>
      <c r="V57" s="2"/>
      <c r="W57" s="3"/>
      <c r="X57" s="2"/>
      <c r="Y57" s="2"/>
      <c r="Z57" s="2"/>
      <c r="AA57" s="2"/>
      <c r="AB57" s="2"/>
      <c r="AC57" s="2"/>
      <c r="AD57" s="2"/>
      <c r="AE57" s="2"/>
    </row>
    <row r="58" spans="1:31" ht="409.6">
      <c r="A58" s="2" t="s">
        <v>391</v>
      </c>
      <c r="B58" s="2" t="s">
        <v>392</v>
      </c>
      <c r="C58" s="2" t="str">
        <f>sheet13[[#This Row],[Nombre]]&amp;sheet13[[#This Row],[Bp Id]]</f>
        <v>CXP (Banca Web)CHL0014</v>
      </c>
      <c r="D58" s="2" t="str">
        <f>VLOOKUP(sheet13[[#This Row],[Columna1]],Sheet2!C:S,4,FALSE)</f>
        <v>Operativo</v>
      </c>
      <c r="E58" s="2" t="s">
        <v>393</v>
      </c>
      <c r="F58" s="2" t="s">
        <v>32</v>
      </c>
      <c r="G58" s="2" t="s">
        <v>33</v>
      </c>
      <c r="H58" s="2" t="s">
        <v>59</v>
      </c>
      <c r="I58" s="2" t="s">
        <v>35</v>
      </c>
      <c r="J58" s="2" t="s">
        <v>394</v>
      </c>
      <c r="K58" s="2" t="s">
        <v>395</v>
      </c>
      <c r="L58" s="2" t="s">
        <v>394</v>
      </c>
      <c r="M58" s="2" t="s">
        <v>39</v>
      </c>
      <c r="N58" s="2" t="s">
        <v>2345</v>
      </c>
      <c r="O58" s="2" t="s">
        <v>91</v>
      </c>
      <c r="P58" s="2" t="s">
        <v>41</v>
      </c>
      <c r="Q58" s="2" t="s">
        <v>53</v>
      </c>
      <c r="R58" s="2" t="s">
        <v>53</v>
      </c>
      <c r="S58" s="2" t="s">
        <v>43</v>
      </c>
      <c r="T58" s="2"/>
      <c r="U58" s="2" t="s">
        <v>43</v>
      </c>
      <c r="V58" s="2"/>
      <c r="W58" s="3"/>
      <c r="X58" s="2"/>
      <c r="Y58" s="2"/>
      <c r="Z58" s="2"/>
      <c r="AA58" s="2"/>
      <c r="AB58" s="2"/>
      <c r="AC58" s="2"/>
      <c r="AD58" s="2"/>
      <c r="AE58" s="2"/>
    </row>
    <row r="59" spans="1:31" ht="75.95">
      <c r="A59" s="2" t="s">
        <v>396</v>
      </c>
      <c r="B59" s="2" t="s">
        <v>397</v>
      </c>
      <c r="C59" s="2" t="str">
        <f>sheet13[[#This Row],[Nombre]]&amp;sheet13[[#This Row],[Bp Id]]</f>
        <v>CyberArkSEC0010</v>
      </c>
      <c r="D59" s="2" t="str">
        <f>VLOOKUP(sheet13[[#This Row],[Columna1]],Sheet2!C:S,4,FALSE)</f>
        <v>Operativo</v>
      </c>
      <c r="E59" s="2" t="s">
        <v>398</v>
      </c>
      <c r="F59" s="2" t="s">
        <v>32</v>
      </c>
      <c r="G59" s="2" t="s">
        <v>76</v>
      </c>
      <c r="H59" s="2" t="s">
        <v>34</v>
      </c>
      <c r="I59" s="2" t="s">
        <v>2348</v>
      </c>
      <c r="J59" s="2" t="s">
        <v>185</v>
      </c>
      <c r="K59" s="2" t="s">
        <v>176</v>
      </c>
      <c r="L59" s="2" t="s">
        <v>175</v>
      </c>
      <c r="M59" s="2" t="s">
        <v>111</v>
      </c>
      <c r="N59" s="2" t="s">
        <v>2343</v>
      </c>
      <c r="O59" s="2" t="s">
        <v>40</v>
      </c>
      <c r="P59" s="2" t="s">
        <v>41</v>
      </c>
      <c r="Q59" s="2" t="s">
        <v>42</v>
      </c>
      <c r="R59" s="2" t="s">
        <v>42</v>
      </c>
      <c r="S59" s="2" t="s">
        <v>41</v>
      </c>
      <c r="T59" s="2" t="str">
        <f>VLOOKUP(sheet13[[#This Row],[Nombre]],[1]Hoja1!A:B,2,FALSE)</f>
        <v>FASE 2</v>
      </c>
      <c r="U59" s="2" t="s">
        <v>43</v>
      </c>
      <c r="V59" s="2"/>
      <c r="W59" s="3"/>
      <c r="X59" s="2"/>
      <c r="Y59" s="2"/>
      <c r="Z59" s="2"/>
      <c r="AA59" s="2"/>
      <c r="AB59" s="2"/>
      <c r="AC59" s="2"/>
      <c r="AD59" s="2"/>
      <c r="AE59" s="2"/>
    </row>
    <row r="60" spans="1:31" ht="288.60000000000002">
      <c r="A60" s="2" t="s">
        <v>399</v>
      </c>
      <c r="B60" s="2" t="s">
        <v>400</v>
      </c>
      <c r="C60" s="2" t="str">
        <f>sheet13[[#This Row],[Nombre]]&amp;sheet13[[#This Row],[Bp Id]]</f>
        <v>DarkTraceSEC0011</v>
      </c>
      <c r="D60" s="2" t="str">
        <f>VLOOKUP(sheet13[[#This Row],[Columna1]],Sheet2!C:S,4,FALSE)</f>
        <v>Operativo</v>
      </c>
      <c r="E60" s="2" t="s">
        <v>401</v>
      </c>
      <c r="F60" s="2" t="s">
        <v>32</v>
      </c>
      <c r="G60" s="2" t="s">
        <v>48</v>
      </c>
      <c r="H60" s="2" t="s">
        <v>34</v>
      </c>
      <c r="I60" s="2" t="s">
        <v>2348</v>
      </c>
      <c r="J60" s="2" t="s">
        <v>219</v>
      </c>
      <c r="K60" s="2" t="s">
        <v>176</v>
      </c>
      <c r="L60" s="2" t="s">
        <v>177</v>
      </c>
      <c r="M60" s="2" t="s">
        <v>111</v>
      </c>
      <c r="N60" s="2" t="s">
        <v>2343</v>
      </c>
      <c r="O60" s="2" t="s">
        <v>40</v>
      </c>
      <c r="P60" s="2" t="s">
        <v>41</v>
      </c>
      <c r="Q60" s="2" t="s">
        <v>53</v>
      </c>
      <c r="R60" s="2" t="s">
        <v>53</v>
      </c>
      <c r="S60" s="2" t="s">
        <v>41</v>
      </c>
      <c r="T60" s="2" t="s">
        <v>2344</v>
      </c>
      <c r="U60" s="2" t="s">
        <v>43</v>
      </c>
      <c r="V60" s="2"/>
      <c r="W60" s="3"/>
      <c r="X60" s="2"/>
      <c r="Y60" s="2"/>
      <c r="Z60" s="2"/>
      <c r="AA60" s="2"/>
      <c r="AB60" s="2"/>
      <c r="AC60" s="2"/>
      <c r="AD60" s="2"/>
      <c r="AE60" s="2"/>
    </row>
    <row r="61" spans="1:31" ht="409.6">
      <c r="A61" s="2" t="s">
        <v>402</v>
      </c>
      <c r="B61" s="2" t="s">
        <v>403</v>
      </c>
      <c r="C61" s="2" t="str">
        <f>sheet13[[#This Row],[Nombre]]&amp;sheet13[[#This Row],[Bp Id]]</f>
        <v>DataPower ExternoINT0005</v>
      </c>
      <c r="D61" s="2" t="str">
        <f>VLOOKUP(sheet13[[#This Row],[Columna1]],Sheet2!C:S,4,FALSE)</f>
        <v>Operativo</v>
      </c>
      <c r="E61" s="2" t="s">
        <v>404</v>
      </c>
      <c r="F61" s="2" t="s">
        <v>32</v>
      </c>
      <c r="G61" s="2" t="s">
        <v>123</v>
      </c>
      <c r="H61" s="2" t="s">
        <v>34</v>
      </c>
      <c r="I61" s="2" t="s">
        <v>49</v>
      </c>
      <c r="J61" s="2" t="s">
        <v>50</v>
      </c>
      <c r="K61" s="2" t="s">
        <v>51</v>
      </c>
      <c r="L61" s="2" t="s">
        <v>405</v>
      </c>
      <c r="M61" s="2" t="s">
        <v>52</v>
      </c>
      <c r="N61" s="2" t="s">
        <v>2343</v>
      </c>
      <c r="O61" s="2" t="s">
        <v>40</v>
      </c>
      <c r="P61" s="2" t="s">
        <v>41</v>
      </c>
      <c r="Q61" s="2" t="s">
        <v>53</v>
      </c>
      <c r="R61" s="2" t="s">
        <v>53</v>
      </c>
      <c r="S61" s="2" t="s">
        <v>41</v>
      </c>
      <c r="T61" s="2"/>
      <c r="U61" s="2" t="s">
        <v>41</v>
      </c>
      <c r="V61" s="2" t="s">
        <v>406</v>
      </c>
      <c r="W61" s="3">
        <v>46197</v>
      </c>
      <c r="X61" s="2" t="s">
        <v>124</v>
      </c>
      <c r="Y61" s="2" t="s">
        <v>126</v>
      </c>
      <c r="Z61" s="2" t="s">
        <v>125</v>
      </c>
      <c r="AA61" s="2" t="s">
        <v>127</v>
      </c>
      <c r="AB61" s="2" t="s">
        <v>127</v>
      </c>
      <c r="AC61" s="2" t="s">
        <v>407</v>
      </c>
      <c r="AD61" s="2" t="s">
        <v>129</v>
      </c>
      <c r="AE61" s="2" t="s">
        <v>408</v>
      </c>
    </row>
    <row r="62" spans="1:31" ht="63.6">
      <c r="A62" s="2" t="s">
        <v>409</v>
      </c>
      <c r="B62" s="2" t="s">
        <v>410</v>
      </c>
      <c r="C62" s="2" t="str">
        <f>sheet13[[#This Row],[Nombre]]&amp;sheet13[[#This Row],[Bp Id]]</f>
        <v>Decisión CloudITM0001</v>
      </c>
      <c r="D62" s="2" t="str">
        <f>VLOOKUP(sheet13[[#This Row],[Columna1]],Sheet2!C:S,4,FALSE)</f>
        <v>Operativo</v>
      </c>
      <c r="E62" s="2" t="s">
        <v>139</v>
      </c>
      <c r="F62" s="2" t="s">
        <v>32</v>
      </c>
      <c r="G62" s="2" t="s">
        <v>48</v>
      </c>
      <c r="H62" s="2" t="s">
        <v>59</v>
      </c>
      <c r="I62" s="2" t="s">
        <v>2348</v>
      </c>
      <c r="J62" s="2" t="s">
        <v>411</v>
      </c>
      <c r="K62" s="2" t="s">
        <v>176</v>
      </c>
      <c r="L62" s="2" t="s">
        <v>412</v>
      </c>
      <c r="M62" s="2" t="s">
        <v>111</v>
      </c>
      <c r="N62" s="2" t="s">
        <v>2343</v>
      </c>
      <c r="O62" s="2" t="s">
        <v>40</v>
      </c>
      <c r="P62" s="2" t="s">
        <v>41</v>
      </c>
      <c r="Q62" s="2" t="s">
        <v>64</v>
      </c>
      <c r="R62" s="2" t="s">
        <v>64</v>
      </c>
      <c r="S62" s="2" t="s">
        <v>41</v>
      </c>
      <c r="T62" s="2"/>
      <c r="U62" s="2" t="s">
        <v>41</v>
      </c>
      <c r="V62" s="2"/>
      <c r="W62" s="3">
        <v>46035</v>
      </c>
      <c r="X62" s="2" t="s">
        <v>413</v>
      </c>
      <c r="Y62" s="2" t="s">
        <v>375</v>
      </c>
      <c r="Z62" s="2" t="s">
        <v>179</v>
      </c>
      <c r="AA62" s="2" t="s">
        <v>127</v>
      </c>
      <c r="AB62" s="2" t="s">
        <v>127</v>
      </c>
      <c r="AC62" s="2" t="s">
        <v>414</v>
      </c>
      <c r="AD62" s="2" t="s">
        <v>415</v>
      </c>
      <c r="AE62" s="2" t="s">
        <v>416</v>
      </c>
    </row>
    <row r="63" spans="1:31" ht="313.5">
      <c r="A63" s="2" t="s">
        <v>417</v>
      </c>
      <c r="B63" s="2" t="s">
        <v>418</v>
      </c>
      <c r="C63" s="2" t="str">
        <f>sheet13[[#This Row],[Nombre]]&amp;sheet13[[#This Row],[Bp Id]]</f>
        <v>Deep Discovery AnalyzerSEC0012</v>
      </c>
      <c r="D63" s="2" t="str">
        <f>VLOOKUP(sheet13[[#This Row],[Columna1]],Sheet2!C:S,4,FALSE)</f>
        <v>Retirado</v>
      </c>
      <c r="E63" s="2" t="s">
        <v>419</v>
      </c>
      <c r="F63" s="2" t="s">
        <v>47</v>
      </c>
      <c r="G63" s="2" t="s">
        <v>48</v>
      </c>
      <c r="H63" s="2" t="s">
        <v>34</v>
      </c>
      <c r="I63" s="2" t="s">
        <v>2346</v>
      </c>
      <c r="J63" s="2" t="s">
        <v>272</v>
      </c>
      <c r="K63" s="2" t="s">
        <v>176</v>
      </c>
      <c r="L63" s="2" t="s">
        <v>420</v>
      </c>
      <c r="M63" s="2" t="s">
        <v>111</v>
      </c>
      <c r="N63" s="2" t="s">
        <v>2345</v>
      </c>
      <c r="O63" s="2" t="s">
        <v>40</v>
      </c>
      <c r="P63" s="2" t="s">
        <v>41</v>
      </c>
      <c r="Q63" s="2" t="s">
        <v>53</v>
      </c>
      <c r="R63" s="2" t="s">
        <v>53</v>
      </c>
      <c r="S63" s="2" t="s">
        <v>41</v>
      </c>
      <c r="T63" s="2"/>
      <c r="U63" s="2" t="s">
        <v>43</v>
      </c>
      <c r="V63" s="2"/>
      <c r="W63" s="3"/>
      <c r="X63" s="2"/>
      <c r="Y63" s="2"/>
      <c r="Z63" s="2"/>
      <c r="AA63" s="2"/>
      <c r="AB63" s="2"/>
      <c r="AC63" s="2"/>
      <c r="AD63" s="2"/>
      <c r="AE63" s="2"/>
    </row>
    <row r="64" spans="1:31" ht="313.5">
      <c r="A64" s="2" t="s">
        <v>421</v>
      </c>
      <c r="B64" s="2" t="s">
        <v>422</v>
      </c>
      <c r="C64" s="2" t="str">
        <f>sheet13[[#This Row],[Nombre]]&amp;sheet13[[#This Row],[Bp Id]]</f>
        <v>Deep Discovery InspectorSEC0013</v>
      </c>
      <c r="D64" s="2" t="str">
        <f>VLOOKUP(sheet13[[#This Row],[Columna1]],Sheet2!C:S,4,FALSE)</f>
        <v>Retirado</v>
      </c>
      <c r="E64" s="2" t="s">
        <v>419</v>
      </c>
      <c r="F64" s="2" t="s">
        <v>47</v>
      </c>
      <c r="G64" s="2" t="s">
        <v>48</v>
      </c>
      <c r="H64" s="2" t="s">
        <v>34</v>
      </c>
      <c r="I64" s="2" t="s">
        <v>2346</v>
      </c>
      <c r="J64" s="2" t="s">
        <v>272</v>
      </c>
      <c r="K64" s="2" t="s">
        <v>176</v>
      </c>
      <c r="L64" s="2" t="s">
        <v>175</v>
      </c>
      <c r="M64" s="2" t="s">
        <v>111</v>
      </c>
      <c r="N64" s="2" t="s">
        <v>2345</v>
      </c>
      <c r="O64" s="2" t="s">
        <v>40</v>
      </c>
      <c r="P64" s="2" t="s">
        <v>41</v>
      </c>
      <c r="Q64" s="2" t="s">
        <v>53</v>
      </c>
      <c r="R64" s="2" t="s">
        <v>53</v>
      </c>
      <c r="S64" s="2" t="s">
        <v>41</v>
      </c>
      <c r="T64" s="2"/>
      <c r="U64" s="2" t="s">
        <v>43</v>
      </c>
      <c r="V64" s="2"/>
      <c r="W64" s="3"/>
      <c r="X64" s="2"/>
      <c r="Y64" s="2"/>
      <c r="Z64" s="2"/>
      <c r="AA64" s="2"/>
      <c r="AB64" s="2"/>
      <c r="AC64" s="2"/>
      <c r="AD64" s="2"/>
      <c r="AE64" s="2"/>
    </row>
    <row r="65" spans="1:31" ht="313.5">
      <c r="A65" s="2" t="s">
        <v>423</v>
      </c>
      <c r="B65" s="2" t="s">
        <v>424</v>
      </c>
      <c r="C65" s="2" t="str">
        <f>sheet13[[#This Row],[Nombre]]&amp;sheet13[[#This Row],[Bp Id]]</f>
        <v>Deep SecuritySEC0014</v>
      </c>
      <c r="D65" s="2" t="str">
        <f>VLOOKUP(sheet13[[#This Row],[Columna1]],Sheet2!C:S,4,FALSE)</f>
        <v>Operativo</v>
      </c>
      <c r="E65" s="2" t="s">
        <v>419</v>
      </c>
      <c r="F65" s="2" t="s">
        <v>32</v>
      </c>
      <c r="G65" s="2" t="s">
        <v>48</v>
      </c>
      <c r="H65" s="2" t="s">
        <v>34</v>
      </c>
      <c r="I65" s="2" t="s">
        <v>2348</v>
      </c>
      <c r="J65" s="2" t="s">
        <v>175</v>
      </c>
      <c r="K65" s="2" t="s">
        <v>176</v>
      </c>
      <c r="L65" s="2" t="s">
        <v>185</v>
      </c>
      <c r="M65" s="2" t="s">
        <v>111</v>
      </c>
      <c r="N65" s="2" t="s">
        <v>2343</v>
      </c>
      <c r="O65" s="2" t="s">
        <v>40</v>
      </c>
      <c r="P65" s="2" t="s">
        <v>41</v>
      </c>
      <c r="Q65" s="2" t="s">
        <v>42</v>
      </c>
      <c r="R65" s="2" t="s">
        <v>42</v>
      </c>
      <c r="S65" s="2" t="s">
        <v>41</v>
      </c>
      <c r="T65" s="2"/>
      <c r="U65" s="2" t="s">
        <v>41</v>
      </c>
      <c r="V65" s="2" t="s">
        <v>425</v>
      </c>
      <c r="W65" s="3">
        <v>45736</v>
      </c>
      <c r="X65" s="2"/>
      <c r="Y65" s="2"/>
      <c r="Z65" s="2"/>
      <c r="AA65" s="2" t="s">
        <v>127</v>
      </c>
      <c r="AB65" s="2" t="s">
        <v>127</v>
      </c>
      <c r="AC65" s="2" t="s">
        <v>263</v>
      </c>
      <c r="AD65" s="2" t="s">
        <v>129</v>
      </c>
      <c r="AE65" s="2" t="s">
        <v>426</v>
      </c>
    </row>
    <row r="66" spans="1:31" ht="251.1">
      <c r="A66" s="2" t="s">
        <v>427</v>
      </c>
      <c r="B66" s="2" t="s">
        <v>428</v>
      </c>
      <c r="C66" s="2" t="str">
        <f>sheet13[[#This Row],[Nombre]]&amp;sheet13[[#This Row],[Bp Id]]</f>
        <v>DepositariosCHL0015</v>
      </c>
      <c r="D66" s="2" t="str">
        <f>VLOOKUP(sheet13[[#This Row],[Columna1]],Sheet2!C:S,4,FALSE)</f>
        <v>Operativo</v>
      </c>
      <c r="E66" s="2" t="s">
        <v>429</v>
      </c>
      <c r="F66" s="2" t="s">
        <v>32</v>
      </c>
      <c r="G66" s="2" t="s">
        <v>48</v>
      </c>
      <c r="H66" s="2" t="s">
        <v>34</v>
      </c>
      <c r="I66" s="2" t="s">
        <v>35</v>
      </c>
      <c r="J66" s="2" t="s">
        <v>36</v>
      </c>
      <c r="K66" s="2" t="s">
        <v>381</v>
      </c>
      <c r="L66" s="2" t="s">
        <v>382</v>
      </c>
      <c r="M66" s="2" t="s">
        <v>161</v>
      </c>
      <c r="N66" s="2" t="s">
        <v>2345</v>
      </c>
      <c r="O66" s="2" t="s">
        <v>40</v>
      </c>
      <c r="P66" s="2" t="s">
        <v>41</v>
      </c>
      <c r="Q66" s="2" t="s">
        <v>53</v>
      </c>
      <c r="R66" s="2" t="s">
        <v>53</v>
      </c>
      <c r="S66" s="2" t="s">
        <v>43</v>
      </c>
      <c r="T66" s="2"/>
      <c r="U66" s="2" t="s">
        <v>43</v>
      </c>
      <c r="V66" s="2"/>
      <c r="W66" s="3"/>
      <c r="X66" s="2"/>
      <c r="Y66" s="2"/>
      <c r="Z66" s="2"/>
      <c r="AA66" s="2"/>
      <c r="AB66" s="2"/>
      <c r="AC66" s="2"/>
      <c r="AD66" s="2"/>
      <c r="AE66" s="2"/>
    </row>
    <row r="67" spans="1:31" ht="63.6">
      <c r="A67" s="2" t="s">
        <v>430</v>
      </c>
      <c r="B67" s="2" t="s">
        <v>431</v>
      </c>
      <c r="C67" s="2" t="str">
        <f>sheet13[[#This Row],[Nombre]]&amp;sheet13[[#This Row],[Bp Id]]</f>
        <v>DESIGNSYSTEMCHL0044</v>
      </c>
      <c r="D67" s="2" t="str">
        <f>VLOOKUP(sheet13[[#This Row],[Columna1]],Sheet2!C:S,4,FALSE)</f>
        <v>Operativo</v>
      </c>
      <c r="E67" s="2" t="s">
        <v>432</v>
      </c>
      <c r="F67" s="2" t="s">
        <v>32</v>
      </c>
      <c r="G67" s="2" t="s">
        <v>48</v>
      </c>
      <c r="H67" s="2" t="s">
        <v>59</v>
      </c>
      <c r="I67" s="2" t="s">
        <v>35</v>
      </c>
      <c r="J67" s="2" t="s">
        <v>349</v>
      </c>
      <c r="K67" s="2" t="s">
        <v>433</v>
      </c>
      <c r="L67" s="2" t="s">
        <v>434</v>
      </c>
      <c r="M67" s="2" t="s">
        <v>63</v>
      </c>
      <c r="N67" s="2" t="s">
        <v>2343</v>
      </c>
      <c r="O67" s="2" t="s">
        <v>40</v>
      </c>
      <c r="P67" s="2" t="s">
        <v>41</v>
      </c>
      <c r="Q67" s="2" t="s">
        <v>64</v>
      </c>
      <c r="R67" s="2" t="s">
        <v>64</v>
      </c>
      <c r="S67" s="2" t="s">
        <v>43</v>
      </c>
      <c r="T67" s="2" t="s">
        <v>2344</v>
      </c>
      <c r="U67" s="2" t="s">
        <v>43</v>
      </c>
      <c r="V67" s="2"/>
      <c r="W67" s="3"/>
      <c r="X67" s="2"/>
      <c r="Y67" s="2"/>
      <c r="Z67" s="2"/>
      <c r="AA67" s="2"/>
      <c r="AB67" s="2"/>
      <c r="AC67" s="2"/>
      <c r="AD67" s="2"/>
      <c r="AE67" s="2"/>
    </row>
    <row r="68" spans="1:31" ht="101.1">
      <c r="A68" s="2" t="s">
        <v>435</v>
      </c>
      <c r="B68" s="2" t="s">
        <v>436</v>
      </c>
      <c r="C68" s="2" t="str">
        <f>sheet13[[#This Row],[Nombre]]&amp;sheet13[[#This Row],[Bp Id]]</f>
        <v>Detect IDSEC0015</v>
      </c>
      <c r="D68" s="2" t="str">
        <f>VLOOKUP(sheet13[[#This Row],[Columna1]],Sheet2!C:S,4,FALSE)</f>
        <v>Operativo</v>
      </c>
      <c r="E68" s="2" t="s">
        <v>437</v>
      </c>
      <c r="F68" s="2" t="s">
        <v>32</v>
      </c>
      <c r="G68" s="2" t="s">
        <v>123</v>
      </c>
      <c r="H68" s="2" t="s">
        <v>34</v>
      </c>
      <c r="I68" s="2" t="s">
        <v>258</v>
      </c>
      <c r="J68" s="2" t="s">
        <v>214</v>
      </c>
      <c r="K68" s="2" t="s">
        <v>438</v>
      </c>
      <c r="L68" s="2" t="s">
        <v>261</v>
      </c>
      <c r="M68" s="2" t="s">
        <v>39</v>
      </c>
      <c r="N68" s="2" t="s">
        <v>2343</v>
      </c>
      <c r="O68" s="2" t="s">
        <v>40</v>
      </c>
      <c r="P68" s="2" t="s">
        <v>41</v>
      </c>
      <c r="Q68" s="2" t="s">
        <v>53</v>
      </c>
      <c r="R68" s="2" t="s">
        <v>53</v>
      </c>
      <c r="S68" s="2" t="s">
        <v>41</v>
      </c>
      <c r="T68" s="2"/>
      <c r="U68" s="2" t="s">
        <v>41</v>
      </c>
      <c r="V68" s="2" t="s">
        <v>439</v>
      </c>
      <c r="W68" s="3">
        <v>45200</v>
      </c>
      <c r="X68" s="2" t="s">
        <v>440</v>
      </c>
      <c r="Y68" s="2" t="s">
        <v>179</v>
      </c>
      <c r="Z68" s="2" t="s">
        <v>187</v>
      </c>
      <c r="AA68" s="2" t="s">
        <v>147</v>
      </c>
      <c r="AB68" s="2" t="s">
        <v>127</v>
      </c>
      <c r="AC68" s="2" t="s">
        <v>180</v>
      </c>
      <c r="AD68" s="2" t="s">
        <v>129</v>
      </c>
      <c r="AE68" s="2" t="s">
        <v>441</v>
      </c>
    </row>
    <row r="69" spans="1:31" ht="75.95">
      <c r="A69" s="2" t="s">
        <v>442</v>
      </c>
      <c r="B69" s="2" t="s">
        <v>443</v>
      </c>
      <c r="C69" s="2" t="str">
        <f>sheet13[[#This Row],[Nombre]]&amp;sheet13[[#This Row],[Bp Id]]</f>
        <v>Deuna MicrocomerciosCHL0041</v>
      </c>
      <c r="D69" s="2" t="str">
        <f>VLOOKUP(sheet13[[#This Row],[Columna1]],Sheet2!C:S,4,FALSE)</f>
        <v>Operativo</v>
      </c>
      <c r="E69" s="2" t="s">
        <v>444</v>
      </c>
      <c r="F69" s="2" t="s">
        <v>32</v>
      </c>
      <c r="G69" s="2" t="s">
        <v>48</v>
      </c>
      <c r="H69" s="2" t="s">
        <v>59</v>
      </c>
      <c r="I69" s="2" t="s">
        <v>208</v>
      </c>
      <c r="J69" s="2" t="s">
        <v>209</v>
      </c>
      <c r="K69" s="2" t="s">
        <v>209</v>
      </c>
      <c r="L69" s="2" t="s">
        <v>209</v>
      </c>
      <c r="M69" s="2" t="s">
        <v>52</v>
      </c>
      <c r="N69" s="2" t="s">
        <v>2345</v>
      </c>
      <c r="O69" s="2" t="s">
        <v>91</v>
      </c>
      <c r="P69" s="2" t="s">
        <v>41</v>
      </c>
      <c r="Q69" s="2" t="s">
        <v>53</v>
      </c>
      <c r="R69" s="2" t="s">
        <v>53</v>
      </c>
      <c r="S69" s="2" t="s">
        <v>43</v>
      </c>
      <c r="T69" s="2"/>
      <c r="U69" s="2" t="s">
        <v>43</v>
      </c>
      <c r="V69" s="2"/>
      <c r="W69" s="3"/>
      <c r="X69" s="2"/>
      <c r="Y69" s="2"/>
      <c r="Z69" s="2"/>
      <c r="AA69" s="2"/>
      <c r="AB69" s="2"/>
      <c r="AC69" s="2"/>
      <c r="AD69" s="2"/>
      <c r="AE69" s="2"/>
    </row>
    <row r="70" spans="1:31" ht="126">
      <c r="A70" s="2" t="s">
        <v>446</v>
      </c>
      <c r="B70" s="2" t="s">
        <v>447</v>
      </c>
      <c r="C70" s="2" t="str">
        <f>sheet13[[#This Row],[Nombre]]&amp;sheet13[[#This Row],[Bp Id]]</f>
        <v>AnsibleTIE0024</v>
      </c>
      <c r="D70" s="2" t="str">
        <f>VLOOKUP(sheet13[[#This Row],[Columna1]],Sheet2!C:S,4,FALSE)</f>
        <v>Operativo</v>
      </c>
      <c r="E70" s="2" t="s">
        <v>448</v>
      </c>
      <c r="F70" s="2" t="s">
        <v>32</v>
      </c>
      <c r="G70" s="2" t="s">
        <v>48</v>
      </c>
      <c r="H70" s="2" t="s">
        <v>34</v>
      </c>
      <c r="I70" s="2" t="s">
        <v>449</v>
      </c>
      <c r="J70" s="2" t="s">
        <v>450</v>
      </c>
      <c r="K70" s="2" t="s">
        <v>450</v>
      </c>
      <c r="L70" s="2" t="s">
        <v>451</v>
      </c>
      <c r="M70" s="2" t="s">
        <v>52</v>
      </c>
      <c r="N70" s="2" t="s">
        <v>2343</v>
      </c>
      <c r="O70" s="2" t="s">
        <v>40</v>
      </c>
      <c r="P70" s="2" t="s">
        <v>41</v>
      </c>
      <c r="Q70" s="2" t="s">
        <v>64</v>
      </c>
      <c r="R70" s="2" t="s">
        <v>53</v>
      </c>
      <c r="S70" s="2" t="s">
        <v>43</v>
      </c>
      <c r="T70" s="2" t="s">
        <v>2344</v>
      </c>
      <c r="U70" s="2" t="s">
        <v>43</v>
      </c>
      <c r="V70" s="2"/>
      <c r="W70" s="3"/>
      <c r="X70" s="2"/>
      <c r="Y70" s="2"/>
      <c r="Z70" s="2"/>
      <c r="AA70" s="2"/>
      <c r="AB70" s="2"/>
      <c r="AC70" s="2"/>
      <c r="AD70" s="2"/>
      <c r="AE70" s="2"/>
    </row>
    <row r="71" spans="1:31" ht="276">
      <c r="A71" s="2" t="s">
        <v>452</v>
      </c>
      <c r="B71" s="2" t="s">
        <v>453</v>
      </c>
      <c r="C71" s="2" t="str">
        <f>sheet13[[#This Row],[Nombre]]&amp;sheet13[[#This Row],[Bp Id]]</f>
        <v>AntiDDoS RadwareSEC0052</v>
      </c>
      <c r="D71" s="2" t="str">
        <f>VLOOKUP(sheet13[[#This Row],[Columna1]],Sheet2!C:S,4,FALSE)</f>
        <v>Operativo</v>
      </c>
      <c r="E71" s="2" t="s">
        <v>454</v>
      </c>
      <c r="F71" s="2" t="s">
        <v>32</v>
      </c>
      <c r="G71" s="2" t="s">
        <v>123</v>
      </c>
      <c r="H71" s="2" t="s">
        <v>59</v>
      </c>
      <c r="I71" s="2" t="s">
        <v>2348</v>
      </c>
      <c r="J71" s="2" t="s">
        <v>185</v>
      </c>
      <c r="K71" s="2" t="s">
        <v>176</v>
      </c>
      <c r="L71" s="2" t="s">
        <v>177</v>
      </c>
      <c r="M71" s="2" t="s">
        <v>111</v>
      </c>
      <c r="N71" s="2" t="s">
        <v>2343</v>
      </c>
      <c r="O71" s="2" t="s">
        <v>40</v>
      </c>
      <c r="P71" s="2" t="s">
        <v>41</v>
      </c>
      <c r="Q71" s="2" t="s">
        <v>64</v>
      </c>
      <c r="R71" s="2" t="s">
        <v>64</v>
      </c>
      <c r="S71" s="2" t="s">
        <v>41</v>
      </c>
      <c r="T71" s="2"/>
      <c r="U71" s="2" t="s">
        <v>41</v>
      </c>
      <c r="V71" s="2" t="s">
        <v>455</v>
      </c>
      <c r="W71" s="3">
        <v>46140</v>
      </c>
      <c r="X71" s="2"/>
      <c r="Y71" s="2" t="s">
        <v>179</v>
      </c>
      <c r="Z71" s="2" t="s">
        <v>369</v>
      </c>
      <c r="AA71" s="2"/>
      <c r="AB71" s="2"/>
      <c r="AC71" s="2" t="s">
        <v>456</v>
      </c>
      <c r="AD71" s="2"/>
      <c r="AE71" s="2" t="s">
        <v>457</v>
      </c>
    </row>
    <row r="72" spans="1:31" ht="63.6">
      <c r="A72" s="2" t="s">
        <v>458</v>
      </c>
      <c r="B72" s="2" t="s">
        <v>459</v>
      </c>
      <c r="C72" s="2" t="str">
        <f>sheet13[[#This Row],[Nombre]]&amp;sheet13[[#This Row],[Bp Id]]</f>
        <v>AntiSpamSEC0003</v>
      </c>
      <c r="D72" s="2" t="str">
        <f>VLOOKUP(sheet13[[#This Row],[Columna1]],Sheet2!C:S,4,FALSE)</f>
        <v>Retirado</v>
      </c>
      <c r="E72" s="2" t="s">
        <v>458</v>
      </c>
      <c r="F72" s="2" t="s">
        <v>47</v>
      </c>
      <c r="G72" s="2" t="s">
        <v>48</v>
      </c>
      <c r="H72" s="2" t="s">
        <v>59</v>
      </c>
      <c r="I72" s="2" t="s">
        <v>2346</v>
      </c>
      <c r="J72" s="2" t="s">
        <v>272</v>
      </c>
      <c r="K72" s="2" t="s">
        <v>176</v>
      </c>
      <c r="L72" s="2" t="s">
        <v>272</v>
      </c>
      <c r="M72" s="2" t="s">
        <v>111</v>
      </c>
      <c r="N72" s="2" t="s">
        <v>2345</v>
      </c>
      <c r="O72" s="2" t="s">
        <v>40</v>
      </c>
      <c r="P72" s="2" t="s">
        <v>41</v>
      </c>
      <c r="Q72" s="2" t="s">
        <v>53</v>
      </c>
      <c r="R72" s="2" t="s">
        <v>53</v>
      </c>
      <c r="S72" s="2" t="s">
        <v>41</v>
      </c>
      <c r="T72" s="2"/>
      <c r="U72" s="2" t="s">
        <v>43</v>
      </c>
      <c r="V72" s="2"/>
      <c r="W72" s="3"/>
      <c r="X72" s="2"/>
      <c r="Y72" s="2"/>
      <c r="Z72" s="2"/>
      <c r="AA72" s="2"/>
      <c r="AB72" s="2"/>
      <c r="AC72" s="2"/>
      <c r="AD72" s="2"/>
      <c r="AE72" s="2"/>
    </row>
    <row r="73" spans="1:31" ht="63.6">
      <c r="A73" s="2" t="s">
        <v>460</v>
      </c>
      <c r="B73" s="2" t="s">
        <v>461</v>
      </c>
      <c r="C73" s="2" t="str">
        <f>sheet13[[#This Row],[Nombre]]&amp;sheet13[[#This Row],[Bp Id]]</f>
        <v>APEXSEC0064</v>
      </c>
      <c r="D73" s="2" t="str">
        <f>VLOOKUP(sheet13[[#This Row],[Columna1]],Sheet2!C:S,4,FALSE)</f>
        <v>Operativo</v>
      </c>
      <c r="E73" s="2" t="s">
        <v>462</v>
      </c>
      <c r="F73" s="2" t="s">
        <v>32</v>
      </c>
      <c r="G73" s="2" t="s">
        <v>123</v>
      </c>
      <c r="H73" s="2" t="s">
        <v>59</v>
      </c>
      <c r="I73" s="2" t="s">
        <v>258</v>
      </c>
      <c r="J73" s="2" t="s">
        <v>260</v>
      </c>
      <c r="K73" s="2" t="s">
        <v>260</v>
      </c>
      <c r="L73" s="2" t="s">
        <v>438</v>
      </c>
      <c r="M73" s="2" t="s">
        <v>111</v>
      </c>
      <c r="N73" s="2" t="s">
        <v>2343</v>
      </c>
      <c r="O73" s="2" t="s">
        <v>40</v>
      </c>
      <c r="P73" s="2" t="s">
        <v>41</v>
      </c>
      <c r="Q73" s="2" t="s">
        <v>53</v>
      </c>
      <c r="R73" s="2" t="s">
        <v>53</v>
      </c>
      <c r="S73" s="2" t="s">
        <v>41</v>
      </c>
      <c r="T73" s="2" t="s">
        <v>2344</v>
      </c>
      <c r="U73" s="2" t="s">
        <v>43</v>
      </c>
      <c r="V73" s="2"/>
      <c r="W73" s="3"/>
      <c r="X73" s="2"/>
      <c r="Y73" s="2"/>
      <c r="Z73" s="2"/>
      <c r="AA73" s="2"/>
      <c r="AB73" s="2"/>
      <c r="AC73" s="2"/>
      <c r="AD73" s="2"/>
      <c r="AE73" s="2"/>
    </row>
    <row r="74" spans="1:31" ht="75.95">
      <c r="A74" s="2" t="s">
        <v>463</v>
      </c>
      <c r="B74" s="2" t="s">
        <v>464</v>
      </c>
      <c r="C74" s="2" t="str">
        <f>sheet13[[#This Row],[Nombre]]&amp;sheet13[[#This Row],[Bp Id]]</f>
        <v>ApigeeINT0004</v>
      </c>
      <c r="D74" s="2" t="str">
        <f>VLOOKUP(sheet13[[#This Row],[Columna1]],Sheet2!C:S,4,FALSE)</f>
        <v>Operativo</v>
      </c>
      <c r="E74" s="2" t="s">
        <v>465</v>
      </c>
      <c r="F74" s="2" t="s">
        <v>32</v>
      </c>
      <c r="G74" s="2" t="s">
        <v>123</v>
      </c>
      <c r="H74" s="2" t="s">
        <v>59</v>
      </c>
      <c r="I74" s="2" t="s">
        <v>49</v>
      </c>
      <c r="J74" s="2" t="s">
        <v>466</v>
      </c>
      <c r="K74" s="2" t="s">
        <v>340</v>
      </c>
      <c r="L74" s="2" t="s">
        <v>340</v>
      </c>
      <c r="M74" s="2" t="s">
        <v>52</v>
      </c>
      <c r="N74" s="2" t="s">
        <v>2343</v>
      </c>
      <c r="O74" s="2" t="s">
        <v>40</v>
      </c>
      <c r="P74" s="2" t="s">
        <v>41</v>
      </c>
      <c r="Q74" s="2" t="s">
        <v>53</v>
      </c>
      <c r="R74" s="2" t="s">
        <v>53</v>
      </c>
      <c r="S74" s="2" t="s">
        <v>41</v>
      </c>
      <c r="T74" s="2"/>
      <c r="U74" s="2" t="s">
        <v>41</v>
      </c>
      <c r="V74" s="2"/>
      <c r="W74" s="3">
        <v>46007</v>
      </c>
      <c r="X74" s="2" t="s">
        <v>468</v>
      </c>
      <c r="Y74" s="2" t="s">
        <v>253</v>
      </c>
      <c r="Z74" s="2" t="s">
        <v>375</v>
      </c>
      <c r="AA74" s="2" t="s">
        <v>127</v>
      </c>
      <c r="AB74" s="2" t="s">
        <v>127</v>
      </c>
      <c r="AC74" s="2" t="s">
        <v>180</v>
      </c>
      <c r="AD74" s="2" t="s">
        <v>129</v>
      </c>
      <c r="AE74" s="2" t="s">
        <v>469</v>
      </c>
    </row>
    <row r="75" spans="1:31" ht="188.45">
      <c r="A75" s="2" t="s">
        <v>470</v>
      </c>
      <c r="B75" s="2" t="s">
        <v>471</v>
      </c>
      <c r="C75" s="2" t="str">
        <f>sheet13[[#This Row],[Nombre]]&amp;sheet13[[#This Row],[Bp Id]]</f>
        <v>APIMINT0016</v>
      </c>
      <c r="D75" s="2" t="str">
        <f>VLOOKUP(sheet13[[#This Row],[Columna1]],Sheet2!C:S,4,FALSE)</f>
        <v>Operativo</v>
      </c>
      <c r="E75" s="2" t="s">
        <v>472</v>
      </c>
      <c r="F75" s="2" t="s">
        <v>32</v>
      </c>
      <c r="G75" s="2" t="s">
        <v>123</v>
      </c>
      <c r="H75" s="2" t="s">
        <v>59</v>
      </c>
      <c r="I75" s="2" t="s">
        <v>49</v>
      </c>
      <c r="J75" s="2" t="s">
        <v>50</v>
      </c>
      <c r="K75" s="2" t="s">
        <v>466</v>
      </c>
      <c r="L75" s="2" t="s">
        <v>473</v>
      </c>
      <c r="M75" s="2" t="s">
        <v>52</v>
      </c>
      <c r="N75" s="2" t="s">
        <v>2343</v>
      </c>
      <c r="O75" s="2" t="s">
        <v>40</v>
      </c>
      <c r="P75" s="2" t="s">
        <v>41</v>
      </c>
      <c r="Q75" s="2" t="s">
        <v>64</v>
      </c>
      <c r="R75" s="2" t="s">
        <v>64</v>
      </c>
      <c r="S75" s="2" t="s">
        <v>41</v>
      </c>
      <c r="T75" s="2"/>
      <c r="U75" s="2" t="s">
        <v>41</v>
      </c>
      <c r="V75" s="2" t="s">
        <v>474</v>
      </c>
      <c r="W75" s="3">
        <v>46028</v>
      </c>
      <c r="X75" s="2"/>
      <c r="Y75" s="2" t="s">
        <v>187</v>
      </c>
      <c r="Z75" s="2" t="s">
        <v>369</v>
      </c>
      <c r="AA75" s="2" t="s">
        <v>376</v>
      </c>
      <c r="AB75" s="2" t="s">
        <v>376</v>
      </c>
      <c r="AC75" s="2" t="s">
        <v>263</v>
      </c>
      <c r="AD75" s="2" t="s">
        <v>129</v>
      </c>
      <c r="AE75" s="2" t="s">
        <v>475</v>
      </c>
    </row>
    <row r="76" spans="1:31" ht="213.6">
      <c r="A76" s="2" t="s">
        <v>476</v>
      </c>
      <c r="B76" s="2" t="s">
        <v>477</v>
      </c>
      <c r="C76" s="2" t="str">
        <f>sheet13[[#This Row],[Nombre]]&amp;sheet13[[#This Row],[Bp Id]]</f>
        <v>AppsflyerCUS0001</v>
      </c>
      <c r="D76" s="2" t="str">
        <f>VLOOKUP(sheet13[[#This Row],[Columna1]],Sheet2!C:S,4,FALSE)</f>
        <v>Retirado</v>
      </c>
      <c r="E76" s="2" t="s">
        <v>478</v>
      </c>
      <c r="F76" s="2" t="s">
        <v>47</v>
      </c>
      <c r="G76" s="2" t="s">
        <v>48</v>
      </c>
      <c r="H76" s="2" t="s">
        <v>59</v>
      </c>
      <c r="I76" s="2" t="s">
        <v>134</v>
      </c>
      <c r="J76" s="2" t="s">
        <v>88</v>
      </c>
      <c r="K76" s="2" t="s">
        <v>479</v>
      </c>
      <c r="L76" s="2" t="s">
        <v>480</v>
      </c>
      <c r="M76" s="2" t="s">
        <v>52</v>
      </c>
      <c r="N76" s="2" t="s">
        <v>2345</v>
      </c>
      <c r="O76" s="2" t="s">
        <v>40</v>
      </c>
      <c r="P76" s="2" t="s">
        <v>41</v>
      </c>
      <c r="Q76" s="2" t="s">
        <v>42</v>
      </c>
      <c r="R76" s="2" t="s">
        <v>42</v>
      </c>
      <c r="S76" s="2" t="s">
        <v>43</v>
      </c>
      <c r="T76" s="2"/>
      <c r="U76" s="2" t="s">
        <v>43</v>
      </c>
      <c r="V76" s="2"/>
      <c r="W76" s="3"/>
      <c r="X76" s="2"/>
      <c r="Y76" s="2"/>
      <c r="Z76" s="2"/>
      <c r="AA76" s="2"/>
      <c r="AB76" s="2"/>
      <c r="AC76" s="2"/>
      <c r="AD76" s="2"/>
      <c r="AE76" s="2"/>
    </row>
    <row r="77" spans="1:31" ht="138.6">
      <c r="A77" s="2" t="s">
        <v>481</v>
      </c>
      <c r="B77" s="2" t="s">
        <v>482</v>
      </c>
      <c r="C77" s="2" t="str">
        <f>sheet13[[#This Row],[Nombre]]&amp;sheet13[[#This Row],[Bp Id]]</f>
        <v>AtallaSEC0004</v>
      </c>
      <c r="D77" s="2" t="str">
        <f>VLOOKUP(sheet13[[#This Row],[Columna1]],Sheet2!C:S,4,FALSE)</f>
        <v>Operativo</v>
      </c>
      <c r="E77" s="2" t="s">
        <v>483</v>
      </c>
      <c r="F77" s="2" t="s">
        <v>32</v>
      </c>
      <c r="G77" s="2" t="s">
        <v>123</v>
      </c>
      <c r="H77" s="2" t="s">
        <v>34</v>
      </c>
      <c r="I77" s="2" t="s">
        <v>2348</v>
      </c>
      <c r="J77" s="2" t="s">
        <v>175</v>
      </c>
      <c r="K77" s="2" t="s">
        <v>176</v>
      </c>
      <c r="L77" s="2" t="s">
        <v>185</v>
      </c>
      <c r="M77" s="2" t="s">
        <v>111</v>
      </c>
      <c r="N77" s="2" t="s">
        <v>2343</v>
      </c>
      <c r="O77" s="2" t="s">
        <v>40</v>
      </c>
      <c r="P77" s="2" t="s">
        <v>43</v>
      </c>
      <c r="Q77" s="2" t="s">
        <v>53</v>
      </c>
      <c r="R77" s="2" t="s">
        <v>53</v>
      </c>
      <c r="S77" s="2" t="s">
        <v>43</v>
      </c>
      <c r="T77" s="2" t="s">
        <v>2344</v>
      </c>
      <c r="U77" s="2" t="s">
        <v>43</v>
      </c>
      <c r="V77" s="2"/>
      <c r="W77" s="3"/>
      <c r="X77" s="2"/>
      <c r="Y77" s="2"/>
      <c r="Z77" s="2"/>
      <c r="AA77" s="2"/>
      <c r="AB77" s="2"/>
      <c r="AC77" s="2"/>
      <c r="AD77" s="2"/>
      <c r="AE77" s="2"/>
    </row>
    <row r="78" spans="1:31" ht="288.60000000000002">
      <c r="A78" s="2" t="s">
        <v>484</v>
      </c>
      <c r="B78" s="2" t="s">
        <v>485</v>
      </c>
      <c r="C78" s="2" t="str">
        <f>sheet13[[#This Row],[Nombre]]&amp;sheet13[[#This Row],[Bp Id]]</f>
        <v>AthentoTIE0025</v>
      </c>
      <c r="D78" s="2" t="str">
        <f>VLOOKUP(sheet13[[#This Row],[Columna1]],Sheet2!C:S,4,FALSE)</f>
        <v>Operativo</v>
      </c>
      <c r="E78" s="2" t="s">
        <v>486</v>
      </c>
      <c r="F78" s="2" t="s">
        <v>32</v>
      </c>
      <c r="G78" s="2" t="s">
        <v>48</v>
      </c>
      <c r="H78" s="2" t="s">
        <v>140</v>
      </c>
      <c r="I78" s="2" t="s">
        <v>487</v>
      </c>
      <c r="J78" s="2" t="s">
        <v>488</v>
      </c>
      <c r="K78" s="2" t="s">
        <v>489</v>
      </c>
      <c r="L78" s="2" t="s">
        <v>490</v>
      </c>
      <c r="M78" s="2" t="s">
        <v>39</v>
      </c>
      <c r="N78" s="2" t="s">
        <v>2343</v>
      </c>
      <c r="O78" s="2" t="s">
        <v>40</v>
      </c>
      <c r="P78" s="2" t="s">
        <v>41</v>
      </c>
      <c r="Q78" s="2" t="s">
        <v>64</v>
      </c>
      <c r="R78" s="2" t="s">
        <v>53</v>
      </c>
      <c r="S78" s="2" t="s">
        <v>41</v>
      </c>
      <c r="T78" s="2"/>
      <c r="U78" s="2" t="s">
        <v>41</v>
      </c>
      <c r="V78" s="2"/>
      <c r="W78" s="3">
        <v>46107</v>
      </c>
      <c r="X78" s="2" t="s">
        <v>491</v>
      </c>
      <c r="Y78" s="2" t="s">
        <v>126</v>
      </c>
      <c r="Z78" s="2"/>
      <c r="AA78" s="2" t="s">
        <v>363</v>
      </c>
      <c r="AB78" s="2" t="s">
        <v>363</v>
      </c>
      <c r="AC78" s="2"/>
      <c r="AD78" s="2" t="s">
        <v>415</v>
      </c>
      <c r="AE78" s="2"/>
    </row>
    <row r="79" spans="1:31" ht="225.95">
      <c r="A79" s="2" t="s">
        <v>492</v>
      </c>
      <c r="B79" s="2" t="s">
        <v>493</v>
      </c>
      <c r="C79" s="2" t="str">
        <f>sheet13[[#This Row],[Nombre]]&amp;sheet13[[#This Row],[Bp Id]]</f>
        <v>ATMCampaniasCUS0002</v>
      </c>
      <c r="D79" s="2" t="str">
        <f>VLOOKUP(sheet13[[#This Row],[Columna1]],Sheet2!C:S,4,FALSE)</f>
        <v>Retirado</v>
      </c>
      <c r="E79" s="2" t="s">
        <v>494</v>
      </c>
      <c r="F79" s="2" t="s">
        <v>47</v>
      </c>
      <c r="G79" s="2" t="s">
        <v>48</v>
      </c>
      <c r="H79" s="2" t="s">
        <v>34</v>
      </c>
      <c r="I79" s="2" t="s">
        <v>134</v>
      </c>
      <c r="J79" s="2" t="s">
        <v>88</v>
      </c>
      <c r="K79" s="2" t="s">
        <v>234</v>
      </c>
      <c r="L79" s="2" t="s">
        <v>480</v>
      </c>
      <c r="M79" s="2" t="s">
        <v>296</v>
      </c>
      <c r="N79" s="2" t="s">
        <v>2345</v>
      </c>
      <c r="O79" s="2" t="s">
        <v>40</v>
      </c>
      <c r="P79" s="2" t="s">
        <v>41</v>
      </c>
      <c r="Q79" s="2" t="s">
        <v>53</v>
      </c>
      <c r="R79" s="2" t="s">
        <v>53</v>
      </c>
      <c r="S79" s="2" t="s">
        <v>43</v>
      </c>
      <c r="T79" s="2"/>
      <c r="U79" s="2" t="s">
        <v>43</v>
      </c>
      <c r="V79" s="2"/>
      <c r="W79" s="3"/>
      <c r="X79" s="2"/>
      <c r="Y79" s="2"/>
      <c r="Z79" s="2"/>
      <c r="AA79" s="2"/>
      <c r="AB79" s="2"/>
      <c r="AC79" s="2"/>
      <c r="AD79" s="2"/>
      <c r="AE79" s="2"/>
    </row>
    <row r="80" spans="1:31" ht="201">
      <c r="A80" s="2" t="s">
        <v>495</v>
      </c>
      <c r="B80" s="2" t="s">
        <v>496</v>
      </c>
      <c r="C80" s="2" t="str">
        <f>sheet13[[#This Row],[Nombre]]&amp;sheet13[[#This Row],[Bp Id]]</f>
        <v>AURO SUITECOR0003</v>
      </c>
      <c r="D80" s="2" t="str">
        <f>VLOOKUP(sheet13[[#This Row],[Columna1]],Sheet2!C:S,4,FALSE)</f>
        <v>Operativo</v>
      </c>
      <c r="E80" s="2" t="s">
        <v>497</v>
      </c>
      <c r="F80" s="2" t="s">
        <v>32</v>
      </c>
      <c r="G80" s="2" t="s">
        <v>76</v>
      </c>
      <c r="H80" s="2" t="s">
        <v>34</v>
      </c>
      <c r="I80" s="2" t="s">
        <v>339</v>
      </c>
      <c r="J80" s="2" t="s">
        <v>50</v>
      </c>
      <c r="K80" s="2" t="s">
        <v>498</v>
      </c>
      <c r="L80" s="2" t="s">
        <v>498</v>
      </c>
      <c r="M80" s="2" t="s">
        <v>39</v>
      </c>
      <c r="N80" s="2" t="s">
        <v>2343</v>
      </c>
      <c r="O80" s="2" t="s">
        <v>40</v>
      </c>
      <c r="P80" s="2" t="s">
        <v>41</v>
      </c>
      <c r="Q80" s="2" t="s">
        <v>42</v>
      </c>
      <c r="R80" s="2" t="s">
        <v>42</v>
      </c>
      <c r="S80" s="2" t="s">
        <v>41</v>
      </c>
      <c r="T80" s="2"/>
      <c r="U80" s="2" t="s">
        <v>41</v>
      </c>
      <c r="V80" s="2" t="s">
        <v>499</v>
      </c>
      <c r="W80" s="3">
        <v>45200</v>
      </c>
      <c r="X80" s="2"/>
      <c r="Y80" s="2"/>
      <c r="Z80" s="2" t="s">
        <v>262</v>
      </c>
      <c r="AA80" s="2" t="s">
        <v>147</v>
      </c>
      <c r="AB80" s="2" t="s">
        <v>147</v>
      </c>
      <c r="AC80" s="2" t="s">
        <v>263</v>
      </c>
      <c r="AD80" s="2" t="s">
        <v>129</v>
      </c>
      <c r="AE80" s="2" t="s">
        <v>2352</v>
      </c>
    </row>
    <row r="81" spans="1:31" ht="238.5">
      <c r="A81" s="2" t="s">
        <v>501</v>
      </c>
      <c r="B81" s="2" t="s">
        <v>502</v>
      </c>
      <c r="C81" s="2" t="str">
        <f>sheet13[[#This Row],[Nombre]]&amp;sheet13[[#This Row],[Bp Id]]</f>
        <v>Auth0SEC0051</v>
      </c>
      <c r="D81" s="2" t="str">
        <f>VLOOKUP(sheet13[[#This Row],[Columna1]],Sheet2!C:S,4,FALSE)</f>
        <v>Operativo</v>
      </c>
      <c r="E81" s="2" t="s">
        <v>503</v>
      </c>
      <c r="F81" s="2" t="s">
        <v>32</v>
      </c>
      <c r="G81" s="2" t="s">
        <v>123</v>
      </c>
      <c r="H81" s="2" t="s">
        <v>59</v>
      </c>
      <c r="I81" s="2" t="s">
        <v>258</v>
      </c>
      <c r="J81" s="2" t="s">
        <v>261</v>
      </c>
      <c r="K81" s="2" t="s">
        <v>438</v>
      </c>
      <c r="L81" s="2" t="s">
        <v>261</v>
      </c>
      <c r="M81" s="2" t="s">
        <v>111</v>
      </c>
      <c r="N81" s="2" t="s">
        <v>2343</v>
      </c>
      <c r="O81" s="2" t="s">
        <v>40</v>
      </c>
      <c r="P81" s="2" t="s">
        <v>41</v>
      </c>
      <c r="Q81" s="2" t="s">
        <v>53</v>
      </c>
      <c r="R81" s="2" t="s">
        <v>53</v>
      </c>
      <c r="S81" s="2" t="s">
        <v>43</v>
      </c>
      <c r="T81" s="2" t="s">
        <v>2344</v>
      </c>
      <c r="U81" s="2" t="s">
        <v>43</v>
      </c>
      <c r="V81" s="2" t="s">
        <v>504</v>
      </c>
      <c r="W81" s="3">
        <v>46118</v>
      </c>
      <c r="X81" s="2"/>
      <c r="Y81" s="2"/>
      <c r="Z81" s="2"/>
      <c r="AA81" s="2"/>
      <c r="AB81" s="2"/>
      <c r="AC81" s="2"/>
      <c r="AD81" s="2"/>
      <c r="AE81" s="2"/>
    </row>
    <row r="82" spans="1:31" ht="288.60000000000002">
      <c r="A82" s="2" t="s">
        <v>505</v>
      </c>
      <c r="B82" s="2" t="s">
        <v>506</v>
      </c>
      <c r="C82" s="2" t="str">
        <f>sheet13[[#This Row],[Nombre]]&amp;sheet13[[#This Row],[Bp Id]]</f>
        <v>Automation Anywhere RPATIE0002</v>
      </c>
      <c r="D82" s="2" t="str">
        <f>VLOOKUP(sheet13[[#This Row],[Columna1]],Sheet2!C:S,4,FALSE)</f>
        <v>Retirado</v>
      </c>
      <c r="E82" s="2" t="s">
        <v>507</v>
      </c>
      <c r="F82" s="2" t="s">
        <v>47</v>
      </c>
      <c r="G82" s="2" t="s">
        <v>48</v>
      </c>
      <c r="H82" s="2" t="s">
        <v>34</v>
      </c>
      <c r="I82" s="2" t="s">
        <v>487</v>
      </c>
      <c r="J82" s="2" t="s">
        <v>488</v>
      </c>
      <c r="K82" s="2" t="s">
        <v>508</v>
      </c>
      <c r="L82" s="2" t="s">
        <v>509</v>
      </c>
      <c r="M82" s="2" t="s">
        <v>161</v>
      </c>
      <c r="N82" s="2" t="s">
        <v>2345</v>
      </c>
      <c r="O82" s="2" t="s">
        <v>40</v>
      </c>
      <c r="P82" s="2" t="s">
        <v>41</v>
      </c>
      <c r="Q82" s="2" t="s">
        <v>64</v>
      </c>
      <c r="R82" s="2" t="s">
        <v>64</v>
      </c>
      <c r="S82" s="2" t="s">
        <v>43</v>
      </c>
      <c r="T82" s="2"/>
      <c r="U82" s="2" t="s">
        <v>43</v>
      </c>
      <c r="V82" s="2"/>
      <c r="W82" s="3"/>
      <c r="X82" s="2"/>
      <c r="Y82" s="2"/>
      <c r="Z82" s="2"/>
      <c r="AA82" s="2"/>
      <c r="AB82" s="2"/>
      <c r="AC82" s="2"/>
      <c r="AD82" s="2"/>
      <c r="AE82" s="2"/>
    </row>
    <row r="83" spans="1:31" ht="126">
      <c r="A83" s="2" t="s">
        <v>510</v>
      </c>
      <c r="B83" s="2" t="s">
        <v>511</v>
      </c>
      <c r="C83" s="2" t="str">
        <f>sheet13[[#This Row],[Nombre]]&amp;sheet13[[#This Row],[Bp Id]]</f>
        <v>AutorizadorPichinchaSEC0005</v>
      </c>
      <c r="D83" s="2" t="str">
        <f>VLOOKUP(sheet13[[#This Row],[Columna1]],Sheet2!C:S,4,FALSE)</f>
        <v>Operativo</v>
      </c>
      <c r="E83" s="2" t="s">
        <v>512</v>
      </c>
      <c r="F83" s="2" t="s">
        <v>32</v>
      </c>
      <c r="G83" s="2" t="s">
        <v>48</v>
      </c>
      <c r="H83" s="2" t="s">
        <v>34</v>
      </c>
      <c r="I83" s="2" t="s">
        <v>258</v>
      </c>
      <c r="J83" s="2" t="s">
        <v>571</v>
      </c>
      <c r="K83" s="2" t="s">
        <v>260</v>
      </c>
      <c r="L83" s="2" t="s">
        <v>571</v>
      </c>
      <c r="M83" s="2" t="s">
        <v>63</v>
      </c>
      <c r="N83" s="2" t="s">
        <v>2343</v>
      </c>
      <c r="O83" s="2" t="s">
        <v>40</v>
      </c>
      <c r="P83" s="2" t="s">
        <v>41</v>
      </c>
      <c r="Q83" s="2" t="s">
        <v>42</v>
      </c>
      <c r="R83" s="2" t="s">
        <v>42</v>
      </c>
      <c r="S83" s="2" t="s">
        <v>43</v>
      </c>
      <c r="T83" s="2" t="s">
        <v>2344</v>
      </c>
      <c r="U83" s="2" t="s">
        <v>43</v>
      </c>
      <c r="V83" s="2"/>
      <c r="W83" s="3"/>
      <c r="X83" s="2"/>
      <c r="Y83" s="2"/>
      <c r="Z83" s="2"/>
      <c r="AA83" s="2"/>
      <c r="AB83" s="2"/>
      <c r="AC83" s="2"/>
      <c r="AD83" s="2"/>
      <c r="AE83" s="2"/>
    </row>
    <row r="84" spans="1:31" ht="88.5">
      <c r="A84" s="2" t="s">
        <v>513</v>
      </c>
      <c r="B84" s="2" t="s">
        <v>514</v>
      </c>
      <c r="C84" s="2" t="str">
        <f>sheet13[[#This Row],[Nombre]]&amp;sheet13[[#This Row],[Bp Id]]</f>
        <v>AVAYA AuraITM0003</v>
      </c>
      <c r="D84" s="2" t="str">
        <f>VLOOKUP(sheet13[[#This Row],[Columna1]],Sheet2!C:S,4,FALSE)</f>
        <v>Retirado</v>
      </c>
      <c r="E84" s="2" t="s">
        <v>515</v>
      </c>
      <c r="F84" s="2" t="s">
        <v>47</v>
      </c>
      <c r="G84" s="2" t="s">
        <v>58</v>
      </c>
      <c r="H84" s="2" t="s">
        <v>34</v>
      </c>
      <c r="I84" s="2" t="s">
        <v>68</v>
      </c>
      <c r="J84" s="2" t="s">
        <v>69</v>
      </c>
      <c r="K84" s="2" t="s">
        <v>516</v>
      </c>
      <c r="L84" s="2" t="s">
        <v>517</v>
      </c>
      <c r="M84" s="2" t="s">
        <v>63</v>
      </c>
      <c r="N84" s="2" t="s">
        <v>2345</v>
      </c>
      <c r="O84" s="2" t="s">
        <v>40</v>
      </c>
      <c r="P84" s="2" t="s">
        <v>41</v>
      </c>
      <c r="Q84" s="2" t="s">
        <v>42</v>
      </c>
      <c r="R84" s="2" t="s">
        <v>42</v>
      </c>
      <c r="S84" s="2" t="s">
        <v>43</v>
      </c>
      <c r="T84" s="2"/>
      <c r="U84" s="2" t="s">
        <v>43</v>
      </c>
      <c r="V84" s="2"/>
      <c r="W84" s="3"/>
      <c r="X84" s="2"/>
      <c r="Y84" s="2"/>
      <c r="Z84" s="2"/>
      <c r="AA84" s="2"/>
      <c r="AB84" s="2"/>
      <c r="AC84" s="2"/>
      <c r="AD84" s="2"/>
      <c r="AE84" s="2"/>
    </row>
    <row r="85" spans="1:31" ht="63.6">
      <c r="A85" s="2" t="s">
        <v>518</v>
      </c>
      <c r="B85" s="2" t="s">
        <v>519</v>
      </c>
      <c r="C85" s="2" t="str">
        <f>sheet13[[#This Row],[Nombre]]&amp;sheet13[[#This Row],[Bp Id]]</f>
        <v>Azure ADSEC0048</v>
      </c>
      <c r="D85" s="2" t="str">
        <f>VLOOKUP(sheet13[[#This Row],[Columna1]],Sheet2!C:S,4,FALSE)</f>
        <v>Operativo</v>
      </c>
      <c r="E85" s="2" t="s">
        <v>520</v>
      </c>
      <c r="F85" s="2" t="s">
        <v>32</v>
      </c>
      <c r="G85" s="2" t="s">
        <v>123</v>
      </c>
      <c r="H85" s="2" t="s">
        <v>59</v>
      </c>
      <c r="I85" s="2" t="s">
        <v>68</v>
      </c>
      <c r="J85" s="2" t="s">
        <v>69</v>
      </c>
      <c r="K85" s="2" t="s">
        <v>521</v>
      </c>
      <c r="L85" s="2" t="s">
        <v>522</v>
      </c>
      <c r="M85" s="2" t="s">
        <v>111</v>
      </c>
      <c r="N85" s="2" t="s">
        <v>2343</v>
      </c>
      <c r="O85" s="2" t="s">
        <v>40</v>
      </c>
      <c r="P85" s="2" t="s">
        <v>43</v>
      </c>
      <c r="Q85" s="2" t="s">
        <v>64</v>
      </c>
      <c r="R85" s="2" t="s">
        <v>64</v>
      </c>
      <c r="S85" s="2" t="s">
        <v>41</v>
      </c>
      <c r="T85" s="2" t="s">
        <v>2344</v>
      </c>
      <c r="U85" s="2" t="s">
        <v>43</v>
      </c>
      <c r="V85" s="2"/>
      <c r="W85" s="3"/>
      <c r="X85" s="2"/>
      <c r="Y85" s="2"/>
      <c r="Z85" s="2"/>
      <c r="AA85" s="2"/>
      <c r="AB85" s="2"/>
      <c r="AC85" s="2"/>
      <c r="AD85" s="2"/>
      <c r="AE85" s="2"/>
    </row>
    <row r="86" spans="1:31" ht="176.1">
      <c r="A86" s="2" t="s">
        <v>523</v>
      </c>
      <c r="B86" s="2" t="s">
        <v>524</v>
      </c>
      <c r="C86" s="2" t="str">
        <f>sheet13[[#This Row],[Nombre]]&amp;sheet13[[#This Row],[Bp Id]]</f>
        <v>Cheque Image Server (CIS Totem)CHL0010</v>
      </c>
      <c r="D86" s="2" t="str">
        <f>VLOOKUP(sheet13[[#This Row],[Columna1]],Sheet2!C:S,4,FALSE)</f>
        <v>Operativo</v>
      </c>
      <c r="E86" s="2" t="s">
        <v>525</v>
      </c>
      <c r="F86" s="2" t="s">
        <v>32</v>
      </c>
      <c r="G86" s="2" t="s">
        <v>123</v>
      </c>
      <c r="H86" s="2" t="s">
        <v>34</v>
      </c>
      <c r="I86" s="2" t="s">
        <v>35</v>
      </c>
      <c r="J86" s="2" t="s">
        <v>36</v>
      </c>
      <c r="K86" s="2" t="s">
        <v>381</v>
      </c>
      <c r="L86" s="2" t="s">
        <v>382</v>
      </c>
      <c r="M86" s="2" t="s">
        <v>63</v>
      </c>
      <c r="N86" s="2" t="s">
        <v>2343</v>
      </c>
      <c r="O86" s="2" t="s">
        <v>40</v>
      </c>
      <c r="P86" s="2" t="s">
        <v>43</v>
      </c>
      <c r="Q86" s="2" t="s">
        <v>53</v>
      </c>
      <c r="R86" s="2" t="s">
        <v>53</v>
      </c>
      <c r="S86" s="2" t="s">
        <v>43</v>
      </c>
      <c r="T86" s="2" t="s">
        <v>2344</v>
      </c>
      <c r="U86" s="2" t="s">
        <v>43</v>
      </c>
      <c r="V86" s="2"/>
      <c r="W86" s="3"/>
      <c r="X86" s="2"/>
      <c r="Y86" s="2"/>
      <c r="Z86" s="2"/>
      <c r="AA86" s="2"/>
      <c r="AB86" s="2"/>
      <c r="AC86" s="2"/>
      <c r="AD86" s="2"/>
      <c r="AE86" s="2"/>
    </row>
    <row r="87" spans="1:31" ht="409.6">
      <c r="A87" s="2" t="s">
        <v>526</v>
      </c>
      <c r="B87" s="2" t="s">
        <v>527</v>
      </c>
      <c r="C87" s="2" t="str">
        <f>sheet13[[#This Row],[Nombre]]&amp;sheet13[[#This Row],[Bp Id]]</f>
        <v>Cisco CollectorITM0004</v>
      </c>
      <c r="D87" s="2" t="str">
        <f>VLOOKUP(sheet13[[#This Row],[Columna1]],Sheet2!C:S,4,FALSE)</f>
        <v>Operativo</v>
      </c>
      <c r="E87" s="2" t="s">
        <v>528</v>
      </c>
      <c r="F87" s="2" t="s">
        <v>32</v>
      </c>
      <c r="G87" s="2" t="s">
        <v>48</v>
      </c>
      <c r="H87" s="2" t="s">
        <v>34</v>
      </c>
      <c r="I87" s="2" t="s">
        <v>68</v>
      </c>
      <c r="J87" s="2" t="s">
        <v>69</v>
      </c>
      <c r="K87" s="2" t="s">
        <v>516</v>
      </c>
      <c r="L87" s="2" t="s">
        <v>529</v>
      </c>
      <c r="M87" s="2" t="s">
        <v>52</v>
      </c>
      <c r="N87" s="2" t="s">
        <v>2343</v>
      </c>
      <c r="O87" s="2" t="s">
        <v>40</v>
      </c>
      <c r="P87" s="2" t="s">
        <v>41</v>
      </c>
      <c r="Q87" s="2" t="s">
        <v>53</v>
      </c>
      <c r="R87" s="2" t="s">
        <v>53</v>
      </c>
      <c r="S87" s="2" t="s">
        <v>43</v>
      </c>
      <c r="T87" s="2" t="s">
        <v>2344</v>
      </c>
      <c r="U87" s="2" t="s">
        <v>43</v>
      </c>
      <c r="V87" s="2"/>
      <c r="W87" s="3"/>
      <c r="X87" s="2"/>
      <c r="Y87" s="2"/>
      <c r="Z87" s="2"/>
      <c r="AA87" s="2"/>
      <c r="AB87" s="2"/>
      <c r="AC87" s="2"/>
      <c r="AD87" s="2"/>
      <c r="AE87" s="2"/>
    </row>
    <row r="88" spans="1:31" ht="150.94999999999999">
      <c r="A88" s="2" t="s">
        <v>530</v>
      </c>
      <c r="B88" s="2" t="s">
        <v>531</v>
      </c>
      <c r="C88" s="2" t="str">
        <f>sheet13[[#This Row],[Nombre]]&amp;sheet13[[#This Row],[Bp Id]]</f>
        <v>CLIENT PUEXCHL0012</v>
      </c>
      <c r="D88" s="2" t="str">
        <f>VLOOKUP(sheet13[[#This Row],[Columna1]],Sheet2!C:S,4,FALSE)</f>
        <v>Retirado</v>
      </c>
      <c r="E88" s="2" t="s">
        <v>532</v>
      </c>
      <c r="F88" s="2" t="s">
        <v>47</v>
      </c>
      <c r="G88" s="2" t="s">
        <v>48</v>
      </c>
      <c r="H88" s="2" t="s">
        <v>34</v>
      </c>
      <c r="I88" s="2" t="s">
        <v>35</v>
      </c>
      <c r="J88" s="2" t="s">
        <v>349</v>
      </c>
      <c r="K88" s="2" t="s">
        <v>381</v>
      </c>
      <c r="L88" s="2" t="s">
        <v>350</v>
      </c>
      <c r="M88" s="2" t="s">
        <v>39</v>
      </c>
      <c r="N88" s="2" t="s">
        <v>2345</v>
      </c>
      <c r="O88" s="2" t="s">
        <v>40</v>
      </c>
      <c r="P88" s="2" t="s">
        <v>41</v>
      </c>
      <c r="Q88" s="2" t="s">
        <v>533</v>
      </c>
      <c r="R88" s="2" t="s">
        <v>42</v>
      </c>
      <c r="S88" s="2" t="s">
        <v>41</v>
      </c>
      <c r="T88" s="2"/>
      <c r="U88" s="2" t="s">
        <v>43</v>
      </c>
      <c r="V88" s="2"/>
      <c r="W88" s="3"/>
      <c r="X88" s="2"/>
      <c r="Y88" s="2"/>
      <c r="Z88" s="2"/>
      <c r="AA88" s="2"/>
      <c r="AB88" s="2"/>
      <c r="AC88" s="2"/>
      <c r="AD88" s="2"/>
      <c r="AE88" s="2"/>
    </row>
    <row r="89" spans="1:31" ht="75.95">
      <c r="A89" s="2" t="s">
        <v>534</v>
      </c>
      <c r="B89" s="2" t="s">
        <v>535</v>
      </c>
      <c r="C89" s="2" t="str">
        <f>sheet13[[#This Row],[Nombre]]&amp;sheet13[[#This Row],[Bp Id]]</f>
        <v>COBIS BANCA COMUNALPRD0052</v>
      </c>
      <c r="D89" s="2" t="str">
        <f>VLOOKUP(sheet13[[#This Row],[Columna1]],Sheet2!C:S,4,FALSE)</f>
        <v>Operativo</v>
      </c>
      <c r="E89" s="2" t="s">
        <v>536</v>
      </c>
      <c r="F89" s="2" t="s">
        <v>32</v>
      </c>
      <c r="G89" s="2" t="s">
        <v>76</v>
      </c>
      <c r="H89" s="2" t="s">
        <v>34</v>
      </c>
      <c r="I89" s="2" t="s">
        <v>309</v>
      </c>
      <c r="J89" s="2" t="s">
        <v>96</v>
      </c>
      <c r="K89" s="2" t="s">
        <v>537</v>
      </c>
      <c r="L89" s="2" t="s">
        <v>316</v>
      </c>
      <c r="M89" s="2" t="s">
        <v>39</v>
      </c>
      <c r="N89" s="2" t="s">
        <v>2343</v>
      </c>
      <c r="O89" s="2" t="s">
        <v>40</v>
      </c>
      <c r="P89" s="2" t="s">
        <v>41</v>
      </c>
      <c r="Q89" s="2" t="s">
        <v>53</v>
      </c>
      <c r="R89" s="2" t="s">
        <v>53</v>
      </c>
      <c r="S89" s="2" t="s">
        <v>41</v>
      </c>
      <c r="T89" s="2"/>
      <c r="U89" s="2" t="s">
        <v>41</v>
      </c>
      <c r="V89" s="2"/>
      <c r="W89" s="3">
        <v>45200</v>
      </c>
      <c r="X89" s="2" t="s">
        <v>538</v>
      </c>
      <c r="Y89" s="2" t="s">
        <v>187</v>
      </c>
      <c r="Z89" s="2" t="s">
        <v>179</v>
      </c>
      <c r="AA89" s="2" t="s">
        <v>147</v>
      </c>
      <c r="AB89" s="2" t="s">
        <v>147</v>
      </c>
      <c r="AC89" s="2" t="s">
        <v>180</v>
      </c>
      <c r="AD89" s="2" t="s">
        <v>129</v>
      </c>
      <c r="AE89" s="2" t="s">
        <v>539</v>
      </c>
    </row>
    <row r="90" spans="1:31" ht="75.95">
      <c r="A90" s="2" t="s">
        <v>540</v>
      </c>
      <c r="B90" s="2" t="s">
        <v>541</v>
      </c>
      <c r="C90" s="2" t="str">
        <f>sheet13[[#This Row],[Nombre]]&amp;sheet13[[#This Row],[Bp Id]]</f>
        <v>CollabNet SubversionITM0007</v>
      </c>
      <c r="D90" s="2" t="str">
        <f>VLOOKUP(sheet13[[#This Row],[Columna1]],Sheet2!C:S,4,FALSE)</f>
        <v>Retirado</v>
      </c>
      <c r="E90" s="2" t="s">
        <v>542</v>
      </c>
      <c r="F90" s="2" t="s">
        <v>47</v>
      </c>
      <c r="G90" s="2" t="s">
        <v>48</v>
      </c>
      <c r="H90" s="2" t="s">
        <v>34</v>
      </c>
      <c r="I90" s="2" t="s">
        <v>198</v>
      </c>
      <c r="J90" s="2" t="s">
        <v>199</v>
      </c>
      <c r="K90" s="2" t="s">
        <v>199</v>
      </c>
      <c r="L90" s="2" t="s">
        <v>199</v>
      </c>
      <c r="M90" s="2" t="s">
        <v>52</v>
      </c>
      <c r="N90" s="2" t="s">
        <v>2345</v>
      </c>
      <c r="O90" s="2" t="s">
        <v>40</v>
      </c>
      <c r="P90" s="2" t="s">
        <v>41</v>
      </c>
      <c r="Q90" s="2" t="s">
        <v>53</v>
      </c>
      <c r="R90" s="2" t="s">
        <v>53</v>
      </c>
      <c r="S90" s="2" t="s">
        <v>43</v>
      </c>
      <c r="T90" s="2"/>
      <c r="U90" s="2" t="s">
        <v>43</v>
      </c>
      <c r="V90" s="2"/>
      <c r="W90" s="3"/>
      <c r="X90" s="2"/>
      <c r="Y90" s="2"/>
      <c r="Z90" s="2"/>
      <c r="AA90" s="2"/>
      <c r="AB90" s="2"/>
      <c r="AC90" s="2"/>
      <c r="AD90" s="2"/>
      <c r="AE90" s="2"/>
    </row>
    <row r="91" spans="1:31" ht="188.45">
      <c r="A91" s="2" t="s">
        <v>543</v>
      </c>
      <c r="B91" s="2" t="s">
        <v>544</v>
      </c>
      <c r="C91" s="2" t="str">
        <f>sheet13[[#This Row],[Nombre]]&amp;sheet13[[#This Row],[Bp Id]]</f>
        <v>CompassSEC0076</v>
      </c>
      <c r="D91" s="2" t="str">
        <f>VLOOKUP(sheet13[[#This Row],[Columna1]],Sheet2!C:S,4,FALSE)</f>
        <v>Operativo</v>
      </c>
      <c r="E91" s="2" t="s">
        <v>545</v>
      </c>
      <c r="F91" s="2" t="s">
        <v>32</v>
      </c>
      <c r="G91" s="2" t="s">
        <v>76</v>
      </c>
      <c r="H91" s="2" t="s">
        <v>34</v>
      </c>
      <c r="I91" s="2" t="s">
        <v>2348</v>
      </c>
      <c r="J91" s="2" t="s">
        <v>411</v>
      </c>
      <c r="K91" s="2" t="s">
        <v>176</v>
      </c>
      <c r="L91" s="2" t="s">
        <v>546</v>
      </c>
      <c r="M91" s="2" t="s">
        <v>111</v>
      </c>
      <c r="N91" s="2" t="s">
        <v>2343</v>
      </c>
      <c r="O91" s="2" t="s">
        <v>40</v>
      </c>
      <c r="P91" s="2" t="s">
        <v>41</v>
      </c>
      <c r="Q91" s="2" t="s">
        <v>53</v>
      </c>
      <c r="R91" s="2" t="s">
        <v>53</v>
      </c>
      <c r="S91" s="2" t="s">
        <v>41</v>
      </c>
      <c r="T91" s="2"/>
      <c r="U91" s="2" t="s">
        <v>41</v>
      </c>
      <c r="V91" s="2" t="s">
        <v>547</v>
      </c>
      <c r="W91" s="3">
        <v>46104</v>
      </c>
      <c r="X91" s="2" t="s">
        <v>548</v>
      </c>
      <c r="Y91" s="2" t="s">
        <v>369</v>
      </c>
      <c r="Z91" s="2" t="s">
        <v>187</v>
      </c>
      <c r="AA91" s="2" t="s">
        <v>127</v>
      </c>
      <c r="AB91" s="2" t="s">
        <v>127</v>
      </c>
      <c r="AC91" s="2" t="s">
        <v>180</v>
      </c>
      <c r="AD91" s="2" t="s">
        <v>129</v>
      </c>
      <c r="AE91" s="2" t="s">
        <v>549</v>
      </c>
    </row>
    <row r="92" spans="1:31" ht="313.5">
      <c r="A92" s="2" t="s">
        <v>550</v>
      </c>
      <c r="B92" s="2" t="s">
        <v>551</v>
      </c>
      <c r="C92" s="2" t="str">
        <f>sheet13[[#This Row],[Nombre]]&amp;sheet13[[#This Row],[Bp Id]]</f>
        <v>CompensacionSUP0025</v>
      </c>
      <c r="D92" s="2" t="str">
        <f>VLOOKUP(sheet13[[#This Row],[Columna1]],Sheet2!C:S,4,FALSE)</f>
        <v>Retirado</v>
      </c>
      <c r="E92" s="2" t="s">
        <v>552</v>
      </c>
      <c r="F92" s="2" t="s">
        <v>47</v>
      </c>
      <c r="G92" s="2" t="s">
        <v>58</v>
      </c>
      <c r="H92" s="2" t="s">
        <v>34</v>
      </c>
      <c r="I92" s="2" t="s">
        <v>553</v>
      </c>
      <c r="J92" s="2" t="s">
        <v>554</v>
      </c>
      <c r="K92" s="2" t="s">
        <v>555</v>
      </c>
      <c r="L92" s="2" t="s">
        <v>556</v>
      </c>
      <c r="M92" s="2" t="s">
        <v>63</v>
      </c>
      <c r="N92" s="2" t="s">
        <v>2345</v>
      </c>
      <c r="O92" s="2" t="s">
        <v>40</v>
      </c>
      <c r="P92" s="2" t="s">
        <v>41</v>
      </c>
      <c r="Q92" s="2" t="s">
        <v>53</v>
      </c>
      <c r="R92" s="2" t="s">
        <v>53</v>
      </c>
      <c r="S92" s="2" t="s">
        <v>41</v>
      </c>
      <c r="T92" s="2"/>
      <c r="U92" s="2" t="s">
        <v>41</v>
      </c>
      <c r="V92" s="2" t="s">
        <v>119</v>
      </c>
      <c r="W92" s="3">
        <v>45199</v>
      </c>
      <c r="X92" s="2"/>
      <c r="Y92" s="2"/>
      <c r="Z92" s="2"/>
      <c r="AA92" s="2"/>
      <c r="AB92" s="2"/>
      <c r="AC92" s="2"/>
      <c r="AD92" s="2"/>
      <c r="AE92" s="2"/>
    </row>
    <row r="93" spans="1:31" ht="409.6">
      <c r="A93" s="2" t="s">
        <v>557</v>
      </c>
      <c r="B93" s="2" t="s">
        <v>558</v>
      </c>
      <c r="C93" s="2" t="str">
        <f>sheet13[[#This Row],[Nombre]]&amp;sheet13[[#This Row],[Bp Id]]</f>
        <v>Compra de CarteraPRD0013</v>
      </c>
      <c r="D93" s="2" t="str">
        <f>VLOOKUP(sheet13[[#This Row],[Columna1]],Sheet2!C:S,4,FALSE)</f>
        <v>Operativo</v>
      </c>
      <c r="E93" s="2" t="s">
        <v>559</v>
      </c>
      <c r="F93" s="2" t="s">
        <v>32</v>
      </c>
      <c r="G93" s="2" t="s">
        <v>48</v>
      </c>
      <c r="H93" s="2" t="s">
        <v>34</v>
      </c>
      <c r="I93" s="2" t="s">
        <v>95</v>
      </c>
      <c r="J93" s="2" t="s">
        <v>96</v>
      </c>
      <c r="K93" s="2" t="s">
        <v>117</v>
      </c>
      <c r="L93" s="2" t="s">
        <v>560</v>
      </c>
      <c r="M93" s="2" t="s">
        <v>63</v>
      </c>
      <c r="N93" s="2" t="s">
        <v>2343</v>
      </c>
      <c r="O93" s="2" t="s">
        <v>40</v>
      </c>
      <c r="P93" s="2" t="s">
        <v>41</v>
      </c>
      <c r="Q93" s="2" t="s">
        <v>53</v>
      </c>
      <c r="R93" s="2" t="s">
        <v>53</v>
      </c>
      <c r="S93" s="2" t="s">
        <v>43</v>
      </c>
      <c r="T93" s="2" t="str">
        <f>VLOOKUP(sheet13[[#This Row],[Nombre]],[1]Hoja1!A:B,2,FALSE)</f>
        <v>FASE 3</v>
      </c>
      <c r="U93" s="2" t="s">
        <v>43</v>
      </c>
      <c r="V93" s="2"/>
      <c r="W93" s="3"/>
      <c r="X93" s="2"/>
      <c r="Y93" s="2"/>
      <c r="Z93" s="2"/>
      <c r="AA93" s="2"/>
      <c r="AB93" s="2"/>
      <c r="AC93" s="2"/>
      <c r="AD93" s="2"/>
      <c r="AE93" s="2"/>
    </row>
    <row r="94" spans="1:31" ht="75.95">
      <c r="A94" s="2" t="s">
        <v>561</v>
      </c>
      <c r="B94" s="2" t="s">
        <v>562</v>
      </c>
      <c r="C94" s="2" t="str">
        <f>sheet13[[#This Row],[Nombre]]&amp;sheet13[[#This Row],[Bp Id]]</f>
        <v>Conexión Empresas OnlinePAY0005</v>
      </c>
      <c r="D94" s="2" t="str">
        <f>VLOOKUP(sheet13[[#This Row],[Columna1]],Sheet2!C:S,4,FALSE)</f>
        <v>Operativo</v>
      </c>
      <c r="E94" s="2" t="s">
        <v>563</v>
      </c>
      <c r="F94" s="2" t="s">
        <v>32</v>
      </c>
      <c r="G94" s="2" t="s">
        <v>58</v>
      </c>
      <c r="H94" s="2" t="s">
        <v>140</v>
      </c>
      <c r="I94" s="2" t="s">
        <v>141</v>
      </c>
      <c r="J94" s="2" t="s">
        <v>151</v>
      </c>
      <c r="K94" s="2" t="s">
        <v>564</v>
      </c>
      <c r="L94" s="2" t="s">
        <v>565</v>
      </c>
      <c r="M94" s="2" t="s">
        <v>39</v>
      </c>
      <c r="N94" s="2" t="s">
        <v>2345</v>
      </c>
      <c r="O94" s="2" t="s">
        <v>91</v>
      </c>
      <c r="P94" s="2" t="s">
        <v>43</v>
      </c>
      <c r="Q94" s="2" t="s">
        <v>53</v>
      </c>
      <c r="R94" s="2" t="s">
        <v>53</v>
      </c>
      <c r="S94" s="2" t="s">
        <v>43</v>
      </c>
      <c r="T94" s="2"/>
      <c r="U94" s="2" t="s">
        <v>43</v>
      </c>
      <c r="V94" s="2"/>
      <c r="W94" s="3"/>
      <c r="X94" s="2"/>
      <c r="Y94" s="2"/>
      <c r="Z94" s="2"/>
      <c r="AA94" s="2"/>
      <c r="AB94" s="2"/>
      <c r="AC94" s="2"/>
      <c r="AD94" s="2"/>
      <c r="AE94" s="2"/>
    </row>
    <row r="95" spans="1:31" ht="75.95">
      <c r="A95" s="2" t="s">
        <v>566</v>
      </c>
      <c r="B95" s="2" t="s">
        <v>567</v>
      </c>
      <c r="C95" s="2" t="str">
        <f>sheet13[[#This Row],[Nombre]]&amp;sheet13[[#This Row],[Bp Id]]</f>
        <v>Conexión Personas OnlinePAY0006</v>
      </c>
      <c r="D95" s="2" t="str">
        <f>VLOOKUP(sheet13[[#This Row],[Columna1]],Sheet2!C:S,4,FALSE)</f>
        <v>Operativo</v>
      </c>
      <c r="E95" s="2" t="s">
        <v>563</v>
      </c>
      <c r="F95" s="2" t="s">
        <v>32</v>
      </c>
      <c r="G95" s="2" t="s">
        <v>58</v>
      </c>
      <c r="H95" s="2" t="s">
        <v>140</v>
      </c>
      <c r="I95" s="2" t="s">
        <v>141</v>
      </c>
      <c r="J95" s="2" t="s">
        <v>151</v>
      </c>
      <c r="K95" s="2" t="s">
        <v>564</v>
      </c>
      <c r="L95" s="2" t="s">
        <v>565</v>
      </c>
      <c r="M95" s="2" t="s">
        <v>39</v>
      </c>
      <c r="N95" s="2" t="s">
        <v>2343</v>
      </c>
      <c r="O95" s="2" t="s">
        <v>40</v>
      </c>
      <c r="P95" s="2" t="s">
        <v>41</v>
      </c>
      <c r="Q95" s="2" t="s">
        <v>53</v>
      </c>
      <c r="R95" s="2" t="s">
        <v>53</v>
      </c>
      <c r="S95" s="2" t="s">
        <v>41</v>
      </c>
      <c r="T95" s="2" t="s">
        <v>2344</v>
      </c>
      <c r="U95" s="2" t="s">
        <v>43</v>
      </c>
      <c r="V95" s="2"/>
      <c r="W95" s="3"/>
      <c r="X95" s="2"/>
      <c r="Y95" s="2"/>
      <c r="Z95" s="2"/>
      <c r="AA95" s="2"/>
      <c r="AB95" s="2"/>
      <c r="AC95" s="2"/>
      <c r="AD95" s="2"/>
      <c r="AE95" s="2"/>
    </row>
    <row r="96" spans="1:31" ht="238.5">
      <c r="A96" s="2" t="s">
        <v>568</v>
      </c>
      <c r="B96" s="2" t="s">
        <v>569</v>
      </c>
      <c r="C96" s="2" t="str">
        <f>sheet13[[#This Row],[Nombre]]&amp;sheet13[[#This Row],[Bp Id]]</f>
        <v>Configuración CentralizadaSEC0008</v>
      </c>
      <c r="D96" s="2" t="str">
        <f>VLOOKUP(sheet13[[#This Row],[Columna1]],Sheet2!C:S,4,FALSE)</f>
        <v>Operativo</v>
      </c>
      <c r="E96" s="2" t="s">
        <v>570</v>
      </c>
      <c r="F96" s="2" t="s">
        <v>32</v>
      </c>
      <c r="G96" s="2" t="s">
        <v>123</v>
      </c>
      <c r="H96" s="2" t="s">
        <v>34</v>
      </c>
      <c r="I96" s="2" t="s">
        <v>258</v>
      </c>
      <c r="J96" s="2" t="s">
        <v>571</v>
      </c>
      <c r="K96" s="2" t="s">
        <v>260</v>
      </c>
      <c r="L96" s="2" t="s">
        <v>1435</v>
      </c>
      <c r="M96" s="2" t="s">
        <v>111</v>
      </c>
      <c r="N96" s="2" t="s">
        <v>2343</v>
      </c>
      <c r="O96" s="2" t="s">
        <v>40</v>
      </c>
      <c r="P96" s="2" t="s">
        <v>43</v>
      </c>
      <c r="Q96" s="2" t="s">
        <v>42</v>
      </c>
      <c r="R96" s="2" t="s">
        <v>42</v>
      </c>
      <c r="S96" s="2" t="s">
        <v>41</v>
      </c>
      <c r="T96" s="2"/>
      <c r="U96" s="2" t="s">
        <v>41</v>
      </c>
      <c r="V96" s="2"/>
      <c r="W96" s="3">
        <v>45200</v>
      </c>
      <c r="X96" s="2"/>
      <c r="Y96" s="2" t="s">
        <v>125</v>
      </c>
      <c r="Z96" s="2" t="s">
        <v>262</v>
      </c>
      <c r="AA96" s="2" t="s">
        <v>147</v>
      </c>
      <c r="AB96" s="2" t="s">
        <v>147</v>
      </c>
      <c r="AC96" s="2" t="s">
        <v>263</v>
      </c>
      <c r="AD96" s="2" t="s">
        <v>129</v>
      </c>
      <c r="AE96" s="2" t="s">
        <v>572</v>
      </c>
    </row>
    <row r="97" spans="1:31" ht="63.6">
      <c r="A97" s="2" t="s">
        <v>573</v>
      </c>
      <c r="B97" s="2" t="s">
        <v>574</v>
      </c>
      <c r="C97" s="2" t="str">
        <f>sheet13[[#This Row],[Nombre]]&amp;sheet13[[#This Row],[Bp Id]]</f>
        <v>ConfluentOMN0002</v>
      </c>
      <c r="D97" s="2" t="str">
        <f>VLOOKUP(sheet13[[#This Row],[Columna1]],Sheet2!C:S,4,FALSE)</f>
        <v>Operativo</v>
      </c>
      <c r="E97" s="2" t="s">
        <v>139</v>
      </c>
      <c r="F97" s="2" t="s">
        <v>32</v>
      </c>
      <c r="G97" s="2" t="s">
        <v>48</v>
      </c>
      <c r="H97" s="2" t="s">
        <v>59</v>
      </c>
      <c r="I97" s="2" t="s">
        <v>328</v>
      </c>
      <c r="J97" s="2" t="s">
        <v>575</v>
      </c>
      <c r="K97" s="2" t="s">
        <v>576</v>
      </c>
      <c r="L97" s="2" t="s">
        <v>51</v>
      </c>
      <c r="M97" s="2" t="s">
        <v>63</v>
      </c>
      <c r="N97" s="2" t="s">
        <v>2343</v>
      </c>
      <c r="O97" s="2" t="s">
        <v>40</v>
      </c>
      <c r="P97" s="2" t="s">
        <v>41</v>
      </c>
      <c r="Q97" s="2" t="s">
        <v>53</v>
      </c>
      <c r="R97" s="2" t="s">
        <v>53</v>
      </c>
      <c r="S97" s="2" t="s">
        <v>43</v>
      </c>
      <c r="T97" s="2" t="str">
        <f>VLOOKUP(sheet13[[#This Row],[Nombre]],[1]Hoja1!A:B,2,FALSE)</f>
        <v>FASE 1</v>
      </c>
      <c r="U97" s="2" t="s">
        <v>43</v>
      </c>
      <c r="V97" s="2"/>
      <c r="W97" s="3"/>
      <c r="X97" s="2"/>
      <c r="Y97" s="2"/>
      <c r="Z97" s="2"/>
      <c r="AA97" s="2"/>
      <c r="AB97" s="2"/>
      <c r="AC97" s="2"/>
      <c r="AD97" s="2"/>
      <c r="AE97" s="2"/>
    </row>
    <row r="98" spans="1:31" ht="101.1">
      <c r="A98" s="2" t="s">
        <v>577</v>
      </c>
      <c r="B98" s="2" t="s">
        <v>578</v>
      </c>
      <c r="C98" s="2" t="str">
        <f>sheet13[[#This Row],[Nombre]]&amp;sheet13[[#This Row],[Bp Id]]</f>
        <v>Control-MITM0008</v>
      </c>
      <c r="D98" s="2" t="str">
        <f>VLOOKUP(sheet13[[#This Row],[Columna1]],Sheet2!C:S,4,FALSE)</f>
        <v>Operativo</v>
      </c>
      <c r="E98" s="2" t="s">
        <v>579</v>
      </c>
      <c r="F98" s="2" t="s">
        <v>32</v>
      </c>
      <c r="G98" s="2" t="s">
        <v>76</v>
      </c>
      <c r="H98" s="2" t="s">
        <v>34</v>
      </c>
      <c r="I98" s="2" t="s">
        <v>68</v>
      </c>
      <c r="J98" s="2" t="s">
        <v>581</v>
      </c>
      <c r="K98" s="2" t="s">
        <v>582</v>
      </c>
      <c r="L98" s="2" t="s">
        <v>90</v>
      </c>
      <c r="M98" s="2" t="s">
        <v>52</v>
      </c>
      <c r="N98" s="2" t="s">
        <v>2343</v>
      </c>
      <c r="O98" s="2" t="s">
        <v>40</v>
      </c>
      <c r="P98" s="2" t="s">
        <v>41</v>
      </c>
      <c r="Q98" s="2" t="s">
        <v>53</v>
      </c>
      <c r="R98" s="2" t="s">
        <v>53</v>
      </c>
      <c r="S98" s="2" t="s">
        <v>41</v>
      </c>
      <c r="T98" s="2" t="s">
        <v>2344</v>
      </c>
      <c r="U98" s="2" t="s">
        <v>43</v>
      </c>
      <c r="V98" s="2"/>
      <c r="W98" s="3"/>
      <c r="X98" s="2"/>
      <c r="Y98" s="2"/>
      <c r="Z98" s="2"/>
      <c r="AA98" s="2"/>
      <c r="AB98" s="2"/>
      <c r="AC98" s="2"/>
      <c r="AD98" s="2"/>
      <c r="AE98" s="2"/>
    </row>
    <row r="99" spans="1:31" ht="63.6">
      <c r="A99" s="2" t="s">
        <v>583</v>
      </c>
      <c r="B99" s="2" t="s">
        <v>584</v>
      </c>
      <c r="C99" s="2" t="str">
        <f>sheet13[[#This Row],[Nombre]]&amp;sheet13[[#This Row],[Bp Id]]</f>
        <v>Copy Services ManagerITM0009</v>
      </c>
      <c r="D99" s="2" t="str">
        <f>VLOOKUP(sheet13[[#This Row],[Columna1]],Sheet2!C:S,4,FALSE)</f>
        <v>Operativo</v>
      </c>
      <c r="E99" s="2" t="s">
        <v>585</v>
      </c>
      <c r="F99" s="2" t="s">
        <v>32</v>
      </c>
      <c r="G99" s="2" t="s">
        <v>76</v>
      </c>
      <c r="H99" s="2" t="s">
        <v>34</v>
      </c>
      <c r="I99" s="2" t="s">
        <v>68</v>
      </c>
      <c r="J99" s="2" t="s">
        <v>69</v>
      </c>
      <c r="K99" s="2" t="s">
        <v>70</v>
      </c>
      <c r="L99" s="2" t="s">
        <v>586</v>
      </c>
      <c r="M99" s="2" t="s">
        <v>52</v>
      </c>
      <c r="N99" s="2" t="s">
        <v>2343</v>
      </c>
      <c r="O99" s="2" t="s">
        <v>40</v>
      </c>
      <c r="P99" s="2" t="s">
        <v>41</v>
      </c>
      <c r="Q99" s="2" t="s">
        <v>53</v>
      </c>
      <c r="R99" s="2" t="s">
        <v>53</v>
      </c>
      <c r="S99" s="2" t="s">
        <v>41</v>
      </c>
      <c r="T99" s="2" t="s">
        <v>2344</v>
      </c>
      <c r="U99" s="2" t="s">
        <v>43</v>
      </c>
      <c r="V99" s="2"/>
      <c r="W99" s="3"/>
      <c r="X99" s="2"/>
      <c r="Y99" s="2"/>
      <c r="Z99" s="2"/>
      <c r="AA99" s="2"/>
      <c r="AB99" s="2"/>
      <c r="AC99" s="2"/>
      <c r="AD99" s="2"/>
      <c r="AE99" s="2"/>
    </row>
    <row r="100" spans="1:31" ht="75.95">
      <c r="A100" s="2" t="s">
        <v>587</v>
      </c>
      <c r="B100" s="2" t="s">
        <v>588</v>
      </c>
      <c r="C100" s="2" t="str">
        <f>sheet13[[#This Row],[Nombre]]&amp;sheet13[[#This Row],[Bp Id]]</f>
        <v>Coren WEBSEC0071</v>
      </c>
      <c r="D100" s="2" t="str">
        <f>VLOOKUP(sheet13[[#This Row],[Columna1]],Sheet2!C:S,4,FALSE)</f>
        <v>Operativo</v>
      </c>
      <c r="E100" s="2" t="s">
        <v>589</v>
      </c>
      <c r="F100" s="2" t="s">
        <v>32</v>
      </c>
      <c r="G100" s="2" t="s">
        <v>76</v>
      </c>
      <c r="H100" s="2" t="s">
        <v>34</v>
      </c>
      <c r="I100" s="2" t="s">
        <v>2348</v>
      </c>
      <c r="J100" s="2" t="s">
        <v>412</v>
      </c>
      <c r="K100" s="2" t="s">
        <v>176</v>
      </c>
      <c r="L100" s="2" t="s">
        <v>411</v>
      </c>
      <c r="M100" s="2" t="s">
        <v>111</v>
      </c>
      <c r="N100" s="2" t="s">
        <v>2343</v>
      </c>
      <c r="O100" s="2" t="s">
        <v>40</v>
      </c>
      <c r="P100" s="2" t="s">
        <v>41</v>
      </c>
      <c r="Q100" s="2" t="s">
        <v>53</v>
      </c>
      <c r="R100" s="2" t="s">
        <v>53</v>
      </c>
      <c r="S100" s="2" t="s">
        <v>41</v>
      </c>
      <c r="T100" s="2"/>
      <c r="U100" s="2" t="s">
        <v>41</v>
      </c>
      <c r="V100" s="2"/>
      <c r="W100" s="3">
        <v>45911</v>
      </c>
      <c r="X100" s="2"/>
      <c r="Y100" s="2"/>
      <c r="Z100" s="2"/>
      <c r="AA100" s="2" t="s">
        <v>147</v>
      </c>
      <c r="AB100" s="2" t="s">
        <v>147</v>
      </c>
      <c r="AC100" s="2" t="s">
        <v>180</v>
      </c>
      <c r="AD100" s="2" t="s">
        <v>129</v>
      </c>
      <c r="AE100" s="2" t="s">
        <v>591</v>
      </c>
    </row>
    <row r="101" spans="1:31" ht="163.5">
      <c r="A101" s="2" t="s">
        <v>592</v>
      </c>
      <c r="B101" s="2" t="s">
        <v>593</v>
      </c>
      <c r="C101" s="2" t="str">
        <f>sheet13[[#This Row],[Nombre]]&amp;sheet13[[#This Row],[Bp Id]]</f>
        <v>CreditLensRIS0004</v>
      </c>
      <c r="D101" s="2" t="str">
        <f>VLOOKUP(sheet13[[#This Row],[Columna1]],Sheet2!C:S,4,FALSE)</f>
        <v>Operativo</v>
      </c>
      <c r="E101" s="2" t="s">
        <v>594</v>
      </c>
      <c r="F101" s="2" t="s">
        <v>32</v>
      </c>
      <c r="G101" s="2" t="s">
        <v>48</v>
      </c>
      <c r="H101" s="2" t="s">
        <v>59</v>
      </c>
      <c r="I101" s="2" t="s">
        <v>320</v>
      </c>
      <c r="J101" s="2" t="s">
        <v>321</v>
      </c>
      <c r="K101" s="2" t="s">
        <v>322</v>
      </c>
      <c r="L101" s="2" t="s">
        <v>595</v>
      </c>
      <c r="M101" s="2" t="s">
        <v>39</v>
      </c>
      <c r="N101" s="2" t="s">
        <v>2343</v>
      </c>
      <c r="O101" s="2" t="s">
        <v>40</v>
      </c>
      <c r="P101" s="2" t="s">
        <v>41</v>
      </c>
      <c r="Q101" s="2" t="s">
        <v>53</v>
      </c>
      <c r="R101" s="2" t="s">
        <v>53</v>
      </c>
      <c r="S101" s="2" t="s">
        <v>41</v>
      </c>
      <c r="T101" s="2"/>
      <c r="U101" s="2" t="s">
        <v>41</v>
      </c>
      <c r="V101" s="2" t="s">
        <v>596</v>
      </c>
      <c r="W101" s="3">
        <v>45200</v>
      </c>
      <c r="X101" s="2" t="s">
        <v>597</v>
      </c>
      <c r="Y101" s="2" t="s">
        <v>959</v>
      </c>
      <c r="Z101" s="2" t="s">
        <v>590</v>
      </c>
      <c r="AA101" s="2" t="s">
        <v>127</v>
      </c>
      <c r="AB101" s="2" t="s">
        <v>127</v>
      </c>
      <c r="AC101" s="2" t="s">
        <v>148</v>
      </c>
      <c r="AD101" s="2" t="s">
        <v>129</v>
      </c>
      <c r="AE101" s="2"/>
    </row>
    <row r="102" spans="1:31" ht="126">
      <c r="A102" s="2" t="s">
        <v>600</v>
      </c>
      <c r="B102" s="2" t="s">
        <v>601</v>
      </c>
      <c r="C102" s="2" t="str">
        <f>sheet13[[#This Row],[Nombre]]&amp;sheet13[[#This Row],[Bp Id]]</f>
        <v>CREDITO EN LINEAPRD0046</v>
      </c>
      <c r="D102" s="2" t="str">
        <f>VLOOKUP(sheet13[[#This Row],[Columna1]],Sheet2!C:S,4,FALSE)</f>
        <v>Operativo</v>
      </c>
      <c r="E102" s="2" t="s">
        <v>602</v>
      </c>
      <c r="F102" s="2" t="s">
        <v>32</v>
      </c>
      <c r="G102" s="2" t="s">
        <v>58</v>
      </c>
      <c r="H102" s="2" t="s">
        <v>59</v>
      </c>
      <c r="I102" s="2" t="s">
        <v>95</v>
      </c>
      <c r="J102" s="2" t="s">
        <v>96</v>
      </c>
      <c r="K102" s="2" t="s">
        <v>603</v>
      </c>
      <c r="L102" s="2" t="s">
        <v>785</v>
      </c>
      <c r="M102" s="2" t="s">
        <v>39</v>
      </c>
      <c r="N102" s="2" t="s">
        <v>2345</v>
      </c>
      <c r="O102" s="2" t="s">
        <v>91</v>
      </c>
      <c r="P102" s="2" t="s">
        <v>41</v>
      </c>
      <c r="Q102" s="2" t="s">
        <v>64</v>
      </c>
      <c r="R102" s="2" t="s">
        <v>64</v>
      </c>
      <c r="S102" s="2" t="s">
        <v>43</v>
      </c>
      <c r="T102" s="2"/>
      <c r="U102" s="2" t="s">
        <v>43</v>
      </c>
      <c r="V102" s="2"/>
      <c r="W102" s="3"/>
      <c r="X102" s="2"/>
      <c r="Y102" s="2"/>
      <c r="Z102" s="2"/>
      <c r="AA102" s="2"/>
      <c r="AB102" s="2"/>
      <c r="AC102" s="2"/>
      <c r="AD102" s="2"/>
      <c r="AE102" s="2"/>
    </row>
    <row r="103" spans="1:31" ht="75.95">
      <c r="A103" s="2" t="s">
        <v>604</v>
      </c>
      <c r="B103" s="2" t="s">
        <v>605</v>
      </c>
      <c r="C103" s="2" t="str">
        <f>sheet13[[#This Row],[Nombre]]&amp;sheet13[[#This Row],[Bp Id]]</f>
        <v>Crédito HipotecarioPRD0047</v>
      </c>
      <c r="D103" s="2" t="str">
        <f>VLOOKUP(sheet13[[#This Row],[Columna1]],Sheet2!C:S,4,FALSE)</f>
        <v>Operativo</v>
      </c>
      <c r="E103" s="2" t="s">
        <v>606</v>
      </c>
      <c r="F103" s="2" t="s">
        <v>32</v>
      </c>
      <c r="G103" s="2" t="s">
        <v>48</v>
      </c>
      <c r="H103" s="2" t="s">
        <v>59</v>
      </c>
      <c r="I103" s="2" t="s">
        <v>95</v>
      </c>
      <c r="J103" s="2" t="s">
        <v>96</v>
      </c>
      <c r="K103" s="2" t="s">
        <v>607</v>
      </c>
      <c r="L103" s="2" t="s">
        <v>98</v>
      </c>
      <c r="M103" s="2" t="s">
        <v>39</v>
      </c>
      <c r="N103" s="2" t="s">
        <v>2345</v>
      </c>
      <c r="O103" s="2" t="s">
        <v>91</v>
      </c>
      <c r="P103" s="2" t="s">
        <v>41</v>
      </c>
      <c r="Q103" s="2" t="s">
        <v>53</v>
      </c>
      <c r="R103" s="2" t="s">
        <v>53</v>
      </c>
      <c r="S103" s="2" t="s">
        <v>43</v>
      </c>
      <c r="T103" s="2"/>
      <c r="U103" s="2" t="s">
        <v>43</v>
      </c>
      <c r="V103" s="2"/>
      <c r="W103" s="3"/>
      <c r="X103" s="2"/>
      <c r="Y103" s="2"/>
      <c r="Z103" s="2"/>
      <c r="AA103" s="2"/>
      <c r="AB103" s="2"/>
      <c r="AC103" s="2"/>
      <c r="AD103" s="2"/>
      <c r="AE103" s="2"/>
    </row>
    <row r="104" spans="1:31" ht="51">
      <c r="A104" s="2" t="s">
        <v>608</v>
      </c>
      <c r="B104" s="2" t="s">
        <v>609</v>
      </c>
      <c r="C104" s="2" t="str">
        <f>sheet13[[#This Row],[Nombre]]&amp;sheet13[[#This Row],[Bp Id]]</f>
        <v>Azure DevopsITM0072</v>
      </c>
      <c r="D104" s="2" t="str">
        <f>VLOOKUP(sheet13[[#This Row],[Columna1]],Sheet2!C:S,4,FALSE)</f>
        <v>Operativo</v>
      </c>
      <c r="E104" s="2" t="s">
        <v>610</v>
      </c>
      <c r="F104" s="2" t="s">
        <v>32</v>
      </c>
      <c r="G104" s="2" t="s">
        <v>48</v>
      </c>
      <c r="H104" s="2" t="s">
        <v>59</v>
      </c>
      <c r="I104" s="2" t="s">
        <v>198</v>
      </c>
      <c r="J104" s="2" t="s">
        <v>199</v>
      </c>
      <c r="K104" s="2" t="s">
        <v>199</v>
      </c>
      <c r="L104" s="2" t="s">
        <v>199</v>
      </c>
      <c r="M104" s="2" t="s">
        <v>52</v>
      </c>
      <c r="N104" s="2" t="s">
        <v>2343</v>
      </c>
      <c r="O104" s="2" t="s">
        <v>40</v>
      </c>
      <c r="P104" s="2" t="s">
        <v>41</v>
      </c>
      <c r="Q104" s="2" t="s">
        <v>64</v>
      </c>
      <c r="R104" s="2" t="s">
        <v>64</v>
      </c>
      <c r="S104" s="2" t="s">
        <v>41</v>
      </c>
      <c r="T104" s="2" t="s">
        <v>2344</v>
      </c>
      <c r="U104" s="2" t="s">
        <v>43</v>
      </c>
      <c r="V104" s="2"/>
      <c r="W104" s="3"/>
      <c r="X104" s="2"/>
      <c r="Y104" s="2"/>
      <c r="Z104" s="2"/>
      <c r="AA104" s="2"/>
      <c r="AB104" s="2"/>
      <c r="AC104" s="2"/>
      <c r="AD104" s="2"/>
      <c r="AE104" s="2"/>
    </row>
    <row r="105" spans="1:31" ht="176.1">
      <c r="A105" s="2" t="s">
        <v>611</v>
      </c>
      <c r="B105" s="2" t="s">
        <v>612</v>
      </c>
      <c r="C105" s="2" t="str">
        <f>sheet13[[#This Row],[Nombre]]&amp;sheet13[[#This Row],[Bp Id]]</f>
        <v>Deuna BackofficeSUP0030</v>
      </c>
      <c r="D105" s="2" t="str">
        <f>VLOOKUP(sheet13[[#This Row],[Columna1]],Sheet2!C:S,4,FALSE)</f>
        <v>Operativo</v>
      </c>
      <c r="E105" s="2" t="s">
        <v>613</v>
      </c>
      <c r="F105" s="2" t="s">
        <v>32</v>
      </c>
      <c r="G105" s="2" t="s">
        <v>58</v>
      </c>
      <c r="H105" s="2" t="s">
        <v>59</v>
      </c>
      <c r="I105" s="2" t="s">
        <v>208</v>
      </c>
      <c r="J105" s="2" t="s">
        <v>209</v>
      </c>
      <c r="K105" s="2" t="s">
        <v>209</v>
      </c>
      <c r="L105" s="2" t="s">
        <v>209</v>
      </c>
      <c r="M105" s="2" t="s">
        <v>39</v>
      </c>
      <c r="N105" s="2" t="s">
        <v>2345</v>
      </c>
      <c r="O105" s="2" t="s">
        <v>91</v>
      </c>
      <c r="P105" s="2" t="s">
        <v>41</v>
      </c>
      <c r="Q105" s="2" t="s">
        <v>64</v>
      </c>
      <c r="R105" s="2" t="s">
        <v>64</v>
      </c>
      <c r="S105" s="2" t="s">
        <v>43</v>
      </c>
      <c r="T105" s="2"/>
      <c r="U105" s="2" t="s">
        <v>43</v>
      </c>
      <c r="V105" s="2"/>
      <c r="W105" s="3"/>
      <c r="X105" s="2"/>
      <c r="Y105" s="2"/>
      <c r="Z105" s="2"/>
      <c r="AA105" s="2"/>
      <c r="AB105" s="2"/>
      <c r="AC105" s="2"/>
      <c r="AD105" s="2"/>
      <c r="AE105" s="2"/>
    </row>
    <row r="106" spans="1:31" ht="150.94999999999999">
      <c r="A106" s="2" t="s">
        <v>614</v>
      </c>
      <c r="B106" s="2" t="s">
        <v>615</v>
      </c>
      <c r="C106" s="2" t="str">
        <f>sheet13[[#This Row],[Nombre]]&amp;sheet13[[#This Row],[Bp Id]]</f>
        <v>BactraderSUP0004</v>
      </c>
      <c r="D106" s="2" t="str">
        <f>VLOOKUP(sheet13[[#This Row],[Columna1]],Sheet2!C:S,4,FALSE)</f>
        <v>Operativo</v>
      </c>
      <c r="E106" s="2" t="s">
        <v>616</v>
      </c>
      <c r="F106" s="2" t="s">
        <v>32</v>
      </c>
      <c r="G106" s="2" t="s">
        <v>48</v>
      </c>
      <c r="H106" s="2" t="s">
        <v>34</v>
      </c>
      <c r="I106" s="2" t="s">
        <v>225</v>
      </c>
      <c r="J106" s="2" t="s">
        <v>226</v>
      </c>
      <c r="K106" s="2" t="s">
        <v>2353</v>
      </c>
      <c r="L106" s="2" t="s">
        <v>2351</v>
      </c>
      <c r="M106" s="2" t="s">
        <v>39</v>
      </c>
      <c r="N106" s="2" t="s">
        <v>2343</v>
      </c>
      <c r="O106" s="2" t="s">
        <v>40</v>
      </c>
      <c r="P106" s="2" t="s">
        <v>41</v>
      </c>
      <c r="Q106" s="2" t="s">
        <v>53</v>
      </c>
      <c r="R106" s="2" t="s">
        <v>53</v>
      </c>
      <c r="S106" s="2" t="s">
        <v>41</v>
      </c>
      <c r="T106" s="2" t="s">
        <v>2344</v>
      </c>
      <c r="U106" s="2" t="s">
        <v>43</v>
      </c>
      <c r="V106" s="2"/>
      <c r="W106" s="3"/>
      <c r="X106" s="2"/>
      <c r="Y106" s="2"/>
      <c r="Z106" s="2"/>
      <c r="AA106" s="2"/>
      <c r="AB106" s="2"/>
      <c r="AC106" s="2"/>
      <c r="AD106" s="2"/>
      <c r="AE106" s="2"/>
    </row>
    <row r="107" spans="1:31" ht="409.6">
      <c r="A107" s="2" t="s">
        <v>618</v>
      </c>
      <c r="B107" s="2" t="s">
        <v>619</v>
      </c>
      <c r="C107" s="2" t="str">
        <f>sheet13[[#This Row],[Nombre]]&amp;sheet13[[#This Row],[Bp Id]]</f>
        <v>BancsCOR0004</v>
      </c>
      <c r="D107" s="2" t="str">
        <f>VLOOKUP(sheet13[[#This Row],[Columna1]],Sheet2!C:S,4,FALSE)</f>
        <v>Operativo</v>
      </c>
      <c r="E107" s="2" t="s">
        <v>620</v>
      </c>
      <c r="F107" s="2" t="s">
        <v>32</v>
      </c>
      <c r="G107" s="2" t="s">
        <v>123</v>
      </c>
      <c r="H107" s="2" t="s">
        <v>34</v>
      </c>
      <c r="I107" s="2" t="s">
        <v>339</v>
      </c>
      <c r="J107" s="2" t="s">
        <v>50</v>
      </c>
      <c r="K107" s="2" t="s">
        <v>405</v>
      </c>
      <c r="L107" s="2" t="s">
        <v>941</v>
      </c>
      <c r="M107" s="2" t="s">
        <v>621</v>
      </c>
      <c r="N107" s="2" t="s">
        <v>2345</v>
      </c>
      <c r="O107" s="2" t="s">
        <v>40</v>
      </c>
      <c r="P107" s="2" t="s">
        <v>43</v>
      </c>
      <c r="Q107" s="2" t="s">
        <v>53</v>
      </c>
      <c r="R107" s="2" t="s">
        <v>53</v>
      </c>
      <c r="S107" s="2" t="s">
        <v>43</v>
      </c>
      <c r="T107" s="2"/>
      <c r="U107" s="2" t="s">
        <v>43</v>
      </c>
      <c r="V107" s="2"/>
      <c r="W107" s="3"/>
      <c r="X107" s="2"/>
      <c r="Y107" s="2"/>
      <c r="Z107" s="2"/>
      <c r="AA107" s="2"/>
      <c r="AB107" s="2"/>
      <c r="AC107" s="2"/>
      <c r="AD107" s="2"/>
      <c r="AE107" s="2"/>
    </row>
    <row r="108" spans="1:31" ht="213.6">
      <c r="A108" s="2" t="s">
        <v>622</v>
      </c>
      <c r="B108" s="2" t="s">
        <v>623</v>
      </c>
      <c r="C108" s="2" t="str">
        <f>sheet13[[#This Row],[Nombre]]&amp;sheet13[[#This Row],[Bp Id]]</f>
        <v>BancsLinkCOR0005</v>
      </c>
      <c r="D108" s="2" t="str">
        <f>VLOOKUP(sheet13[[#This Row],[Columna1]],Sheet2!C:S,4,FALSE)</f>
        <v>Operativo</v>
      </c>
      <c r="E108" s="2" t="s">
        <v>624</v>
      </c>
      <c r="F108" s="2" t="s">
        <v>32</v>
      </c>
      <c r="G108" s="2" t="s">
        <v>123</v>
      </c>
      <c r="H108" s="2" t="s">
        <v>34</v>
      </c>
      <c r="I108" s="2" t="s">
        <v>339</v>
      </c>
      <c r="J108" s="2" t="s">
        <v>50</v>
      </c>
      <c r="K108" s="2" t="s">
        <v>405</v>
      </c>
      <c r="L108" s="2" t="s">
        <v>941</v>
      </c>
      <c r="M108" s="2" t="s">
        <v>39</v>
      </c>
      <c r="N108" s="2" t="s">
        <v>2343</v>
      </c>
      <c r="O108" s="2" t="s">
        <v>40</v>
      </c>
      <c r="P108" s="2" t="s">
        <v>41</v>
      </c>
      <c r="Q108" s="2" t="s">
        <v>42</v>
      </c>
      <c r="R108" s="2" t="s">
        <v>53</v>
      </c>
      <c r="S108" s="2" t="s">
        <v>41</v>
      </c>
      <c r="T108" s="2"/>
      <c r="U108" s="2" t="s">
        <v>41</v>
      </c>
      <c r="V108" s="2" t="s">
        <v>625</v>
      </c>
      <c r="W108" s="3">
        <v>45200</v>
      </c>
      <c r="X108" s="2"/>
      <c r="Y108" s="2" t="s">
        <v>626</v>
      </c>
      <c r="Z108" s="2" t="s">
        <v>252</v>
      </c>
      <c r="AA108" s="2" t="s">
        <v>147</v>
      </c>
      <c r="AB108" s="2" t="s">
        <v>363</v>
      </c>
      <c r="AC108" s="2" t="s">
        <v>180</v>
      </c>
      <c r="AD108" s="2" t="s">
        <v>129</v>
      </c>
      <c r="AE108" s="2" t="s">
        <v>627</v>
      </c>
    </row>
    <row r="109" spans="1:31" ht="63.6">
      <c r="A109" s="2" t="s">
        <v>628</v>
      </c>
      <c r="B109" s="2" t="s">
        <v>629</v>
      </c>
      <c r="C109" s="2" t="str">
        <f>sheet13[[#This Row],[Nombre]]&amp;sheet13[[#This Row],[Bp Id]]</f>
        <v>Banner CampañasCUS0018</v>
      </c>
      <c r="D109" s="2" t="str">
        <f>VLOOKUP(sheet13[[#This Row],[Columna1]],Sheet2!C:S,4,FALSE)</f>
        <v>Operativo</v>
      </c>
      <c r="E109" s="2" t="s">
        <v>630</v>
      </c>
      <c r="F109" s="2" t="s">
        <v>32</v>
      </c>
      <c r="G109" s="2" t="s">
        <v>48</v>
      </c>
      <c r="H109" s="2" t="s">
        <v>59</v>
      </c>
      <c r="I109" s="2" t="s">
        <v>87</v>
      </c>
      <c r="J109" s="2" t="s">
        <v>88</v>
      </c>
      <c r="K109" s="2" t="s">
        <v>479</v>
      </c>
      <c r="L109" s="2" t="s">
        <v>88</v>
      </c>
      <c r="M109" s="2" t="s">
        <v>161</v>
      </c>
      <c r="N109" s="2" t="s">
        <v>2345</v>
      </c>
      <c r="O109" s="2" t="s">
        <v>91</v>
      </c>
      <c r="P109" s="2" t="s">
        <v>43</v>
      </c>
      <c r="Q109" s="2" t="s">
        <v>53</v>
      </c>
      <c r="R109" s="2" t="s">
        <v>53</v>
      </c>
      <c r="S109" s="2" t="s">
        <v>43</v>
      </c>
      <c r="T109" s="2"/>
      <c r="U109" s="2" t="s">
        <v>43</v>
      </c>
      <c r="V109" s="2"/>
      <c r="W109" s="3"/>
      <c r="X109" s="2"/>
      <c r="Y109" s="2"/>
      <c r="Z109" s="2"/>
      <c r="AA109" s="2"/>
      <c r="AB109" s="2"/>
      <c r="AC109" s="2"/>
      <c r="AD109" s="2"/>
      <c r="AE109" s="2"/>
    </row>
    <row r="110" spans="1:31" ht="51">
      <c r="A110" s="2" t="s">
        <v>631</v>
      </c>
      <c r="B110" s="2" t="s">
        <v>632</v>
      </c>
      <c r="C110" s="2" t="str">
        <f>sheet13[[#This Row],[Nombre]]&amp;sheet13[[#This Row],[Bp Id]]</f>
        <v>Banred ON2 (Pago directo)PRD0037</v>
      </c>
      <c r="D110" s="2" t="str">
        <f>VLOOKUP(sheet13[[#This Row],[Columna1]],Sheet2!C:S,4,FALSE)</f>
        <v>Operativo</v>
      </c>
      <c r="E110" s="2" t="s">
        <v>465</v>
      </c>
      <c r="F110" s="2" t="s">
        <v>32</v>
      </c>
      <c r="G110" s="2" t="s">
        <v>48</v>
      </c>
      <c r="H110" s="2" t="s">
        <v>140</v>
      </c>
      <c r="I110" s="2" t="s">
        <v>49</v>
      </c>
      <c r="J110" s="2" t="s">
        <v>50</v>
      </c>
      <c r="K110" s="2" t="s">
        <v>633</v>
      </c>
      <c r="L110" s="2" t="s">
        <v>634</v>
      </c>
      <c r="M110" s="2" t="s">
        <v>39</v>
      </c>
      <c r="N110" s="2" t="s">
        <v>2343</v>
      </c>
      <c r="O110" s="2" t="s">
        <v>40</v>
      </c>
      <c r="P110" s="2" t="s">
        <v>41</v>
      </c>
      <c r="Q110" s="2" t="s">
        <v>53</v>
      </c>
      <c r="R110" s="2" t="s">
        <v>53</v>
      </c>
      <c r="S110" s="2" t="s">
        <v>41</v>
      </c>
      <c r="T110" s="2" t="s">
        <v>2344</v>
      </c>
      <c r="U110" s="2" t="s">
        <v>43</v>
      </c>
      <c r="V110" s="2"/>
      <c r="W110" s="3"/>
      <c r="X110" s="2"/>
      <c r="Y110" s="2"/>
      <c r="Z110" s="2"/>
      <c r="AA110" s="2"/>
      <c r="AB110" s="2"/>
      <c r="AC110" s="2"/>
      <c r="AD110" s="2"/>
      <c r="AE110" s="2"/>
    </row>
    <row r="111" spans="1:31" ht="75.95">
      <c r="A111" s="2" t="s">
        <v>635</v>
      </c>
      <c r="B111" s="2" t="s">
        <v>636</v>
      </c>
      <c r="C111" s="2" t="str">
        <f>sheet13[[#This Row],[Nombre]]&amp;sheet13[[#This Row],[Bp Id]]</f>
        <v>Banred Switch Bono de Desarrollo HumanoPRD0005</v>
      </c>
      <c r="D111" s="2" t="str">
        <f>VLOOKUP(sheet13[[#This Row],[Columna1]],Sheet2!C:S,4,FALSE)</f>
        <v>Retirado</v>
      </c>
      <c r="E111" s="2" t="s">
        <v>139</v>
      </c>
      <c r="F111" s="2" t="s">
        <v>47</v>
      </c>
      <c r="G111" s="2" t="s">
        <v>48</v>
      </c>
      <c r="H111" s="2" t="s">
        <v>140</v>
      </c>
      <c r="I111" s="2" t="s">
        <v>553</v>
      </c>
      <c r="J111" s="2" t="s">
        <v>554</v>
      </c>
      <c r="K111" s="2" t="s">
        <v>555</v>
      </c>
      <c r="L111" s="2" t="s">
        <v>556</v>
      </c>
      <c r="M111" s="2" t="s">
        <v>621</v>
      </c>
      <c r="N111" s="2" t="s">
        <v>2345</v>
      </c>
      <c r="O111" s="2" t="s">
        <v>40</v>
      </c>
      <c r="P111" s="2" t="s">
        <v>43</v>
      </c>
      <c r="Q111" s="2" t="s">
        <v>53</v>
      </c>
      <c r="R111" s="2" t="s">
        <v>53</v>
      </c>
      <c r="S111" s="2" t="s">
        <v>43</v>
      </c>
      <c r="T111" s="2"/>
      <c r="U111" s="2" t="s">
        <v>43</v>
      </c>
      <c r="V111" s="2"/>
      <c r="W111" s="3"/>
      <c r="X111" s="2"/>
      <c r="Y111" s="2"/>
      <c r="Z111" s="2"/>
      <c r="AA111" s="2"/>
      <c r="AB111" s="2"/>
      <c r="AC111" s="2"/>
      <c r="AD111" s="2"/>
      <c r="AE111" s="2"/>
    </row>
    <row r="112" spans="1:31" ht="51">
      <c r="A112" s="2" t="s">
        <v>637</v>
      </c>
      <c r="B112" s="2" t="s">
        <v>638</v>
      </c>
      <c r="C112" s="2" t="str">
        <f>sheet13[[#This Row],[Nombre]]&amp;sheet13[[#This Row],[Bp Id]]</f>
        <v>Banred Switch IESSPRD0006</v>
      </c>
      <c r="D112" s="2" t="str">
        <f>VLOOKUP(sheet13[[#This Row],[Columna1]],Sheet2!C:S,4,FALSE)</f>
        <v>Retirado</v>
      </c>
      <c r="E112" s="2" t="s">
        <v>139</v>
      </c>
      <c r="F112" s="2" t="s">
        <v>47</v>
      </c>
      <c r="G112" s="2" t="s">
        <v>48</v>
      </c>
      <c r="H112" s="2" t="s">
        <v>140</v>
      </c>
      <c r="I112" s="2" t="s">
        <v>553</v>
      </c>
      <c r="J112" s="2" t="s">
        <v>554</v>
      </c>
      <c r="K112" s="2" t="s">
        <v>555</v>
      </c>
      <c r="L112" s="2" t="s">
        <v>556</v>
      </c>
      <c r="M112" s="2" t="s">
        <v>621</v>
      </c>
      <c r="N112" s="2" t="s">
        <v>2345</v>
      </c>
      <c r="O112" s="2" t="s">
        <v>40</v>
      </c>
      <c r="P112" s="2" t="s">
        <v>43</v>
      </c>
      <c r="Q112" s="2" t="s">
        <v>53</v>
      </c>
      <c r="R112" s="2" t="s">
        <v>53</v>
      </c>
      <c r="S112" s="2" t="s">
        <v>43</v>
      </c>
      <c r="T112" s="2"/>
      <c r="U112" s="2" t="s">
        <v>43</v>
      </c>
      <c r="V112" s="2"/>
      <c r="W112" s="3"/>
      <c r="X112" s="2"/>
      <c r="Y112" s="2"/>
      <c r="Z112" s="2"/>
      <c r="AA112" s="2"/>
      <c r="AB112" s="2"/>
      <c r="AC112" s="2"/>
      <c r="AD112" s="2"/>
      <c r="AE112" s="2"/>
    </row>
    <row r="113" spans="1:31" ht="51">
      <c r="A113" s="2" t="s">
        <v>639</v>
      </c>
      <c r="B113" s="2" t="s">
        <v>640</v>
      </c>
      <c r="C113" s="2" t="str">
        <f>sheet13[[#This Row],[Nombre]]&amp;sheet13[[#This Row],[Bp Id]]</f>
        <v>Banred Switch SENAEPRD0007</v>
      </c>
      <c r="D113" s="2" t="str">
        <f>VLOOKUP(sheet13[[#This Row],[Columna1]],Sheet2!C:S,4,FALSE)</f>
        <v>Retirado</v>
      </c>
      <c r="E113" s="2" t="s">
        <v>139</v>
      </c>
      <c r="F113" s="2" t="s">
        <v>47</v>
      </c>
      <c r="G113" s="2" t="s">
        <v>48</v>
      </c>
      <c r="H113" s="2" t="s">
        <v>140</v>
      </c>
      <c r="I113" s="2" t="s">
        <v>553</v>
      </c>
      <c r="J113" s="2" t="s">
        <v>554</v>
      </c>
      <c r="K113" s="2" t="s">
        <v>555</v>
      </c>
      <c r="L113" s="2" t="s">
        <v>556</v>
      </c>
      <c r="M113" s="2" t="s">
        <v>621</v>
      </c>
      <c r="N113" s="2" t="s">
        <v>2345</v>
      </c>
      <c r="O113" s="2" t="s">
        <v>40</v>
      </c>
      <c r="P113" s="2" t="s">
        <v>43</v>
      </c>
      <c r="Q113" s="2" t="s">
        <v>53</v>
      </c>
      <c r="R113" s="2" t="s">
        <v>53</v>
      </c>
      <c r="S113" s="2" t="s">
        <v>43</v>
      </c>
      <c r="T113" s="2"/>
      <c r="U113" s="2" t="s">
        <v>43</v>
      </c>
      <c r="V113" s="2"/>
      <c r="W113" s="3"/>
      <c r="X113" s="2"/>
      <c r="Y113" s="2"/>
      <c r="Z113" s="2"/>
      <c r="AA113" s="2"/>
      <c r="AB113" s="2"/>
      <c r="AC113" s="2"/>
      <c r="AD113" s="2"/>
      <c r="AE113" s="2"/>
    </row>
    <row r="114" spans="1:31" ht="51">
      <c r="A114" s="2" t="s">
        <v>641</v>
      </c>
      <c r="B114" s="2" t="s">
        <v>642</v>
      </c>
      <c r="C114" s="2" t="str">
        <f>sheet13[[#This Row],[Nombre]]&amp;sheet13[[#This Row],[Bp Id]]</f>
        <v>Banred Switch UPPPRD0008</v>
      </c>
      <c r="D114" s="2" t="str">
        <f>VLOOKUP(sheet13[[#This Row],[Columna1]],Sheet2!C:S,4,FALSE)</f>
        <v>Retirado</v>
      </c>
      <c r="E114" s="2" t="s">
        <v>139</v>
      </c>
      <c r="F114" s="2" t="s">
        <v>47</v>
      </c>
      <c r="G114" s="2" t="s">
        <v>48</v>
      </c>
      <c r="H114" s="2" t="s">
        <v>140</v>
      </c>
      <c r="I114" s="2" t="s">
        <v>553</v>
      </c>
      <c r="J114" s="2" t="s">
        <v>554</v>
      </c>
      <c r="K114" s="2" t="s">
        <v>555</v>
      </c>
      <c r="L114" s="2" t="s">
        <v>556</v>
      </c>
      <c r="M114" s="2" t="s">
        <v>621</v>
      </c>
      <c r="N114" s="2" t="s">
        <v>2345</v>
      </c>
      <c r="O114" s="2" t="s">
        <v>40</v>
      </c>
      <c r="P114" s="2" t="s">
        <v>43</v>
      </c>
      <c r="Q114" s="2" t="s">
        <v>53</v>
      </c>
      <c r="R114" s="2" t="s">
        <v>53</v>
      </c>
      <c r="S114" s="2" t="s">
        <v>43</v>
      </c>
      <c r="T114" s="2"/>
      <c r="U114" s="2" t="s">
        <v>43</v>
      </c>
      <c r="V114" s="2"/>
      <c r="W114" s="3"/>
      <c r="X114" s="2"/>
      <c r="Y114" s="2"/>
      <c r="Z114" s="2"/>
      <c r="AA114" s="2"/>
      <c r="AB114" s="2"/>
      <c r="AC114" s="2"/>
      <c r="AD114" s="2"/>
      <c r="AE114" s="2"/>
    </row>
    <row r="115" spans="1:31" ht="351">
      <c r="A115" s="2" t="s">
        <v>643</v>
      </c>
      <c r="B115" s="2" t="s">
        <v>644</v>
      </c>
      <c r="C115" s="2" t="str">
        <f>sheet13[[#This Row],[Nombre]]&amp;sheet13[[#This Row],[Bp Id]]</f>
        <v>Procesamiento Datos OnpremiseDAT0002</v>
      </c>
      <c r="D115" s="2" t="str">
        <f>VLOOKUP(sheet13[[#This Row],[Columna1]],Sheet2!C:S,4,FALSE)</f>
        <v>Operativo</v>
      </c>
      <c r="E115" s="2" t="s">
        <v>645</v>
      </c>
      <c r="F115" s="2" t="s">
        <v>32</v>
      </c>
      <c r="G115" s="2" t="s">
        <v>58</v>
      </c>
      <c r="H115" s="2" t="s">
        <v>34</v>
      </c>
      <c r="I115" s="2" t="s">
        <v>328</v>
      </c>
      <c r="J115" s="2" t="s">
        <v>646</v>
      </c>
      <c r="K115" s="2" t="s">
        <v>575</v>
      </c>
      <c r="L115" s="2" t="s">
        <v>647</v>
      </c>
      <c r="M115" s="2" t="s">
        <v>648</v>
      </c>
      <c r="N115" s="2" t="s">
        <v>2343</v>
      </c>
      <c r="O115" s="2" t="s">
        <v>40</v>
      </c>
      <c r="P115" s="2" t="s">
        <v>41</v>
      </c>
      <c r="Q115" s="2" t="s">
        <v>533</v>
      </c>
      <c r="R115" s="2" t="s">
        <v>42</v>
      </c>
      <c r="S115" s="2" t="s">
        <v>41</v>
      </c>
      <c r="T115" s="2" t="s">
        <v>2344</v>
      </c>
      <c r="U115" s="2" t="s">
        <v>43</v>
      </c>
      <c r="V115" s="2"/>
      <c r="W115" s="3"/>
      <c r="X115" s="2"/>
      <c r="Y115" s="2"/>
      <c r="Z115" s="2"/>
      <c r="AA115" s="2"/>
      <c r="AB115" s="2"/>
      <c r="AC115" s="2"/>
      <c r="AD115" s="2"/>
      <c r="AE115" s="2"/>
    </row>
    <row r="116" spans="1:31" ht="101.1">
      <c r="A116" s="2" t="s">
        <v>649</v>
      </c>
      <c r="B116" s="2" t="s">
        <v>650</v>
      </c>
      <c r="C116" s="2" t="str">
        <f>sheet13[[#This Row],[Nombre]]&amp;sheet13[[#This Row],[Bp Id]]</f>
        <v>BECLEVERRIS0003</v>
      </c>
      <c r="D116" s="2" t="str">
        <f>VLOOKUP(sheet13[[#This Row],[Columna1]],Sheet2!C:S,4,FALSE)</f>
        <v>Operativo</v>
      </c>
      <c r="E116" s="2" t="s">
        <v>651</v>
      </c>
      <c r="F116" s="2" t="s">
        <v>32</v>
      </c>
      <c r="G116" s="2" t="s">
        <v>76</v>
      </c>
      <c r="H116" s="2" t="s">
        <v>59</v>
      </c>
      <c r="I116" s="2" t="s">
        <v>320</v>
      </c>
      <c r="J116" s="2" t="s">
        <v>321</v>
      </c>
      <c r="K116" s="2" t="s">
        <v>322</v>
      </c>
      <c r="L116" s="2" t="s">
        <v>595</v>
      </c>
      <c r="M116" s="2" t="s">
        <v>63</v>
      </c>
      <c r="N116" s="2" t="s">
        <v>2343</v>
      </c>
      <c r="O116" s="2" t="s">
        <v>40</v>
      </c>
      <c r="P116" s="2" t="s">
        <v>41</v>
      </c>
      <c r="Q116" s="2" t="s">
        <v>53</v>
      </c>
      <c r="R116" s="2" t="s">
        <v>53</v>
      </c>
      <c r="S116" s="2" t="s">
        <v>43</v>
      </c>
      <c r="T116" s="2" t="s">
        <v>2344</v>
      </c>
      <c r="U116" s="2" t="s">
        <v>43</v>
      </c>
      <c r="V116" s="2"/>
      <c r="W116" s="3"/>
      <c r="X116" s="2"/>
      <c r="Y116" s="2"/>
      <c r="Z116" s="2"/>
      <c r="AA116" s="2"/>
      <c r="AB116" s="2"/>
      <c r="AC116" s="2"/>
      <c r="AD116" s="2"/>
      <c r="AE116" s="2"/>
    </row>
    <row r="117" spans="1:31" ht="88.5">
      <c r="A117" s="2" t="s">
        <v>652</v>
      </c>
      <c r="B117" s="2" t="s">
        <v>653</v>
      </c>
      <c r="C117" s="2" t="str">
        <f>sheet13[[#This Row],[Nombre]]&amp;sheet13[[#This Row],[Bp Id]]</f>
        <v>Billetera PichinchaCHL0033</v>
      </c>
      <c r="D117" s="2" t="str">
        <f>VLOOKUP(sheet13[[#This Row],[Columna1]],Sheet2!C:S,4,FALSE)</f>
        <v>Operativo</v>
      </c>
      <c r="E117" s="2" t="s">
        <v>654</v>
      </c>
      <c r="F117" s="2" t="s">
        <v>32</v>
      </c>
      <c r="G117" s="2" t="s">
        <v>48</v>
      </c>
      <c r="H117" s="2" t="s">
        <v>59</v>
      </c>
      <c r="I117" s="2" t="s">
        <v>208</v>
      </c>
      <c r="J117" s="2" t="s">
        <v>209</v>
      </c>
      <c r="K117" s="2" t="s">
        <v>209</v>
      </c>
      <c r="L117" s="2" t="s">
        <v>209</v>
      </c>
      <c r="M117" s="2" t="s">
        <v>39</v>
      </c>
      <c r="N117" s="2" t="s">
        <v>2345</v>
      </c>
      <c r="O117" s="2" t="s">
        <v>91</v>
      </c>
      <c r="P117" s="2" t="s">
        <v>41</v>
      </c>
      <c r="Q117" s="2" t="s">
        <v>53</v>
      </c>
      <c r="R117" s="2" t="s">
        <v>53</v>
      </c>
      <c r="S117" s="2" t="s">
        <v>43</v>
      </c>
      <c r="T117" s="2"/>
      <c r="U117" s="2" t="s">
        <v>43</v>
      </c>
      <c r="V117" s="2"/>
      <c r="W117" s="3"/>
      <c r="X117" s="2"/>
      <c r="Y117" s="2"/>
      <c r="Z117" s="2"/>
      <c r="AA117" s="2"/>
      <c r="AB117" s="2"/>
      <c r="AC117" s="2"/>
      <c r="AD117" s="2"/>
      <c r="AE117" s="2"/>
    </row>
    <row r="118" spans="1:31" ht="375.95">
      <c r="A118" s="2" t="s">
        <v>655</v>
      </c>
      <c r="B118" s="2" t="s">
        <v>656</v>
      </c>
      <c r="C118" s="2" t="str">
        <f>sheet13[[#This Row],[Nombre]]&amp;sheet13[[#This Row],[Bp Id]]</f>
        <v>BiocatchSEC0006</v>
      </c>
      <c r="D118" s="2" t="str">
        <f>VLOOKUP(sheet13[[#This Row],[Columna1]],Sheet2!C:S,4,FALSE)</f>
        <v>Operativo</v>
      </c>
      <c r="E118" s="2" t="s">
        <v>657</v>
      </c>
      <c r="F118" s="2" t="s">
        <v>32</v>
      </c>
      <c r="G118" s="2" t="s">
        <v>76</v>
      </c>
      <c r="H118" s="2" t="s">
        <v>59</v>
      </c>
      <c r="I118" s="2" t="s">
        <v>258</v>
      </c>
      <c r="J118" s="2" t="s">
        <v>214</v>
      </c>
      <c r="K118" s="2" t="s">
        <v>658</v>
      </c>
      <c r="L118" s="2" t="s">
        <v>658</v>
      </c>
      <c r="M118" s="2" t="s">
        <v>111</v>
      </c>
      <c r="N118" s="2" t="s">
        <v>2343</v>
      </c>
      <c r="O118" s="2" t="s">
        <v>40</v>
      </c>
      <c r="P118" s="2" t="s">
        <v>43</v>
      </c>
      <c r="Q118" s="2" t="s">
        <v>64</v>
      </c>
      <c r="R118" s="2" t="s">
        <v>42</v>
      </c>
      <c r="S118" s="2" t="s">
        <v>41</v>
      </c>
      <c r="T118" s="2"/>
      <c r="U118" s="2" t="s">
        <v>41</v>
      </c>
      <c r="V118" s="2" t="s">
        <v>659</v>
      </c>
      <c r="W118" s="3">
        <v>45448</v>
      </c>
      <c r="X118" s="2" t="s">
        <v>440</v>
      </c>
      <c r="Y118" s="2" t="s">
        <v>146</v>
      </c>
      <c r="Z118" s="2" t="s">
        <v>626</v>
      </c>
      <c r="AA118" s="2" t="s">
        <v>376</v>
      </c>
      <c r="AB118" s="2" t="s">
        <v>127</v>
      </c>
      <c r="AC118" s="2" t="s">
        <v>661</v>
      </c>
      <c r="AD118" s="2" t="s">
        <v>129</v>
      </c>
      <c r="AE118" s="2"/>
    </row>
    <row r="119" spans="1:31" ht="63.6">
      <c r="A119" s="2" t="s">
        <v>667</v>
      </c>
      <c r="B119" s="2" t="s">
        <v>668</v>
      </c>
      <c r="C119" s="2" t="str">
        <f>sheet13[[#This Row],[Nombre]]&amp;sheet13[[#This Row],[Bp Id]]</f>
        <v>BMC TSSAITM0076</v>
      </c>
      <c r="D119" s="2" t="str">
        <f>VLOOKUP(sheet13[[#This Row],[Columna1]],Sheet2!C:S,4,FALSE)</f>
        <v>Operativo</v>
      </c>
      <c r="E119" s="2" t="s">
        <v>669</v>
      </c>
      <c r="F119" s="2" t="s">
        <v>32</v>
      </c>
      <c r="G119" s="2" t="s">
        <v>48</v>
      </c>
      <c r="H119" s="2" t="s">
        <v>34</v>
      </c>
      <c r="I119" s="2" t="s">
        <v>670</v>
      </c>
      <c r="J119" s="2" t="s">
        <v>450</v>
      </c>
      <c r="K119" s="2" t="s">
        <v>672</v>
      </c>
      <c r="L119" s="2" t="s">
        <v>672</v>
      </c>
      <c r="M119" s="2" t="s">
        <v>52</v>
      </c>
      <c r="N119" s="2" t="s">
        <v>2343</v>
      </c>
      <c r="O119" s="2" t="s">
        <v>40</v>
      </c>
      <c r="P119" s="2" t="s">
        <v>41</v>
      </c>
      <c r="Q119" s="2" t="s">
        <v>53</v>
      </c>
      <c r="R119" s="2" t="s">
        <v>53</v>
      </c>
      <c r="S119" s="2" t="s">
        <v>43</v>
      </c>
      <c r="T119" s="2" t="s">
        <v>2344</v>
      </c>
      <c r="U119" s="2" t="s">
        <v>43</v>
      </c>
      <c r="V119" s="2"/>
      <c r="W119" s="3"/>
      <c r="X119" s="2"/>
      <c r="Y119" s="2"/>
      <c r="Z119" s="2"/>
      <c r="AA119" s="2"/>
      <c r="AB119" s="2"/>
      <c r="AC119" s="2"/>
      <c r="AD119" s="2"/>
      <c r="AE119" s="2"/>
    </row>
    <row r="120" spans="1:31" ht="213.6">
      <c r="A120" s="2" t="s">
        <v>673</v>
      </c>
      <c r="B120" s="2" t="s">
        <v>674</v>
      </c>
      <c r="C120" s="2" t="str">
        <f>sheet13[[#This Row],[Nombre]]&amp;sheet13[[#This Row],[Bp Id]]</f>
        <v>BP-MOVILCHL0007</v>
      </c>
      <c r="D120" s="2" t="str">
        <f>VLOOKUP(sheet13[[#This Row],[Columna1]],Sheet2!C:S,4,FALSE)</f>
        <v>Operativo</v>
      </c>
      <c r="E120" s="2" t="s">
        <v>675</v>
      </c>
      <c r="F120" s="2" t="s">
        <v>32</v>
      </c>
      <c r="G120" s="2" t="s">
        <v>33</v>
      </c>
      <c r="H120" s="2" t="s">
        <v>59</v>
      </c>
      <c r="I120" s="2" t="s">
        <v>35</v>
      </c>
      <c r="J120" s="2" t="s">
        <v>394</v>
      </c>
      <c r="K120" s="2" t="s">
        <v>395</v>
      </c>
      <c r="L120" s="2" t="s">
        <v>394</v>
      </c>
      <c r="M120" s="2" t="s">
        <v>39</v>
      </c>
      <c r="N120" s="2" t="s">
        <v>2345</v>
      </c>
      <c r="O120" s="2" t="s">
        <v>91</v>
      </c>
      <c r="P120" s="2" t="s">
        <v>41</v>
      </c>
      <c r="Q120" s="2" t="s">
        <v>53</v>
      </c>
      <c r="R120" s="2" t="s">
        <v>53</v>
      </c>
      <c r="S120" s="2" t="s">
        <v>43</v>
      </c>
      <c r="T120" s="2"/>
      <c r="U120" s="2" t="s">
        <v>43</v>
      </c>
      <c r="V120" s="2"/>
      <c r="W120" s="3"/>
      <c r="X120" s="2"/>
      <c r="Y120" s="2"/>
      <c r="Z120" s="2"/>
      <c r="AA120" s="2"/>
      <c r="AB120" s="2"/>
      <c r="AC120" s="2"/>
      <c r="AD120" s="2"/>
      <c r="AE120" s="2"/>
    </row>
    <row r="121" spans="1:31" ht="409.6">
      <c r="A121" s="2" t="s">
        <v>676</v>
      </c>
      <c r="B121" s="2" t="s">
        <v>677</v>
      </c>
      <c r="C121" s="2" t="str">
        <f>sheet13[[#This Row],[Nombre]]&amp;sheet13[[#This Row],[Bp Id]]</f>
        <v>BPOneCHL0045</v>
      </c>
      <c r="D121" s="2" t="str">
        <f>VLOOKUP(sheet13[[#This Row],[Columna1]],Sheet2!C:S,4,FALSE)</f>
        <v>Operativo</v>
      </c>
      <c r="E121" s="2" t="s">
        <v>678</v>
      </c>
      <c r="F121" s="2" t="s">
        <v>32</v>
      </c>
      <c r="G121" s="2" t="s">
        <v>123</v>
      </c>
      <c r="H121" s="2" t="s">
        <v>59</v>
      </c>
      <c r="I121" s="2" t="s">
        <v>35</v>
      </c>
      <c r="J121" s="2" t="s">
        <v>36</v>
      </c>
      <c r="K121" s="2" t="s">
        <v>844</v>
      </c>
      <c r="L121" s="2" t="s">
        <v>680</v>
      </c>
      <c r="M121" s="2" t="s">
        <v>39</v>
      </c>
      <c r="N121" s="2" t="s">
        <v>2343</v>
      </c>
      <c r="O121" s="2" t="s">
        <v>40</v>
      </c>
      <c r="P121" s="2" t="s">
        <v>43</v>
      </c>
      <c r="Q121" s="2" t="s">
        <v>64</v>
      </c>
      <c r="R121" s="2" t="s">
        <v>64</v>
      </c>
      <c r="S121" s="2" t="s">
        <v>43</v>
      </c>
      <c r="T121" s="2" t="s">
        <v>2344</v>
      </c>
      <c r="U121" s="2" t="s">
        <v>43</v>
      </c>
      <c r="V121" s="2" t="s">
        <v>681</v>
      </c>
      <c r="W121" s="3">
        <v>45993</v>
      </c>
      <c r="X121" s="2" t="s">
        <v>682</v>
      </c>
      <c r="Y121" s="2"/>
      <c r="Z121" s="2"/>
      <c r="AA121" s="2"/>
      <c r="AB121" s="2"/>
      <c r="AC121" s="2"/>
      <c r="AD121" s="2"/>
      <c r="AE121" s="2" t="s">
        <v>683</v>
      </c>
    </row>
    <row r="122" spans="1:31" ht="201">
      <c r="A122" s="2" t="s">
        <v>684</v>
      </c>
      <c r="B122" s="2" t="s">
        <v>685</v>
      </c>
      <c r="C122" s="2" t="str">
        <f>sheet13[[#This Row],[Nombre]]&amp;sheet13[[#This Row],[Bp Id]]</f>
        <v>Bridger Insight XG EnterpriseGOB0011</v>
      </c>
      <c r="D122" s="2" t="str">
        <f>VLOOKUP(sheet13[[#This Row],[Columna1]],Sheet2!C:S,4,FALSE)</f>
        <v>Operativo</v>
      </c>
      <c r="E122" s="2" t="s">
        <v>686</v>
      </c>
      <c r="F122" s="2" t="s">
        <v>32</v>
      </c>
      <c r="G122" s="2" t="s">
        <v>123</v>
      </c>
      <c r="H122" s="2" t="s">
        <v>59</v>
      </c>
      <c r="I122" s="2" t="s">
        <v>225</v>
      </c>
      <c r="J122" s="2" t="s">
        <v>226</v>
      </c>
      <c r="K122" s="2" t="s">
        <v>687</v>
      </c>
      <c r="L122" s="2" t="s">
        <v>228</v>
      </c>
      <c r="M122" s="2" t="s">
        <v>39</v>
      </c>
      <c r="N122" s="2" t="s">
        <v>2343</v>
      </c>
      <c r="O122" s="2" t="s">
        <v>40</v>
      </c>
      <c r="P122" s="2" t="s">
        <v>41</v>
      </c>
      <c r="Q122" s="2" t="s">
        <v>64</v>
      </c>
      <c r="R122" s="2" t="s">
        <v>53</v>
      </c>
      <c r="S122" s="2" t="s">
        <v>41</v>
      </c>
      <c r="T122" s="2"/>
      <c r="U122" s="2" t="s">
        <v>41</v>
      </c>
      <c r="V122" s="2"/>
      <c r="W122" s="3">
        <v>45834</v>
      </c>
      <c r="X122" s="2"/>
      <c r="Y122" s="2" t="s">
        <v>187</v>
      </c>
      <c r="Z122" s="2" t="s">
        <v>253</v>
      </c>
      <c r="AA122" s="2" t="s">
        <v>127</v>
      </c>
      <c r="AB122" s="2" t="s">
        <v>127</v>
      </c>
      <c r="AC122" s="2" t="s">
        <v>180</v>
      </c>
      <c r="AD122" s="2" t="s">
        <v>415</v>
      </c>
      <c r="AE122" s="2" t="s">
        <v>688</v>
      </c>
    </row>
    <row r="123" spans="1:31" ht="409.6">
      <c r="A123" s="2" t="s">
        <v>689</v>
      </c>
      <c r="B123" s="2" t="s">
        <v>690</v>
      </c>
      <c r="C123" s="2" t="str">
        <f>sheet13[[#This Row],[Nombre]]&amp;sheet13[[#This Row],[Bp Id]]</f>
        <v>Cadenas de ValorPRD0062</v>
      </c>
      <c r="D123" s="2" t="str">
        <f>VLOOKUP(sheet13[[#This Row],[Columna1]],Sheet2!C:S,4,FALSE)</f>
        <v>Operativo</v>
      </c>
      <c r="E123" s="2" t="s">
        <v>691</v>
      </c>
      <c r="F123" s="2" t="s">
        <v>32</v>
      </c>
      <c r="G123" s="2" t="s">
        <v>48</v>
      </c>
      <c r="H123" s="2" t="s">
        <v>59</v>
      </c>
      <c r="I123" s="2" t="s">
        <v>116</v>
      </c>
      <c r="J123" s="2" t="s">
        <v>62</v>
      </c>
      <c r="K123" s="2" t="s">
        <v>117</v>
      </c>
      <c r="L123" s="2" t="s">
        <v>118</v>
      </c>
      <c r="M123" s="2" t="s">
        <v>39</v>
      </c>
      <c r="N123" s="2" t="s">
        <v>2345</v>
      </c>
      <c r="O123" s="2" t="s">
        <v>91</v>
      </c>
      <c r="P123" s="2" t="s">
        <v>41</v>
      </c>
      <c r="Q123" s="2" t="s">
        <v>53</v>
      </c>
      <c r="R123" s="2" t="s">
        <v>53</v>
      </c>
      <c r="S123" s="2" t="s">
        <v>43</v>
      </c>
      <c r="T123" s="2"/>
      <c r="U123" s="2" t="s">
        <v>43</v>
      </c>
      <c r="V123" s="2"/>
      <c r="W123" s="3"/>
      <c r="X123" s="2"/>
      <c r="Y123" s="2"/>
      <c r="Z123" s="2"/>
      <c r="AA123" s="2"/>
      <c r="AB123" s="2"/>
      <c r="AC123" s="2"/>
      <c r="AD123" s="2"/>
      <c r="AE123" s="2"/>
    </row>
    <row r="124" spans="1:31" ht="409.6">
      <c r="A124" s="2" t="s">
        <v>692</v>
      </c>
      <c r="B124" s="2" t="s">
        <v>693</v>
      </c>
      <c r="C124" s="2" t="str">
        <f>sheet13[[#This Row],[Nombre]]&amp;sheet13[[#This Row],[Bp Id]]</f>
        <v>CAFServer (TOTEM)PAY0003</v>
      </c>
      <c r="D124" s="2" t="str">
        <f>VLOOKUP(sheet13[[#This Row],[Columna1]],Sheet2!C:S,4,FALSE)</f>
        <v>Operativo</v>
      </c>
      <c r="E124" s="2" t="s">
        <v>694</v>
      </c>
      <c r="F124" s="2" t="s">
        <v>32</v>
      </c>
      <c r="G124" s="2" t="s">
        <v>123</v>
      </c>
      <c r="H124" s="2" t="s">
        <v>34</v>
      </c>
      <c r="I124" s="2" t="s">
        <v>141</v>
      </c>
      <c r="J124" s="2" t="s">
        <v>151</v>
      </c>
      <c r="K124" s="2" t="s">
        <v>564</v>
      </c>
      <c r="L124" s="2" t="s">
        <v>565</v>
      </c>
      <c r="M124" s="2" t="s">
        <v>39</v>
      </c>
      <c r="N124" s="2" t="s">
        <v>2343</v>
      </c>
      <c r="O124" s="2" t="s">
        <v>40</v>
      </c>
      <c r="P124" s="2" t="s">
        <v>43</v>
      </c>
      <c r="Q124" s="2" t="s">
        <v>53</v>
      </c>
      <c r="R124" s="2" t="s">
        <v>53</v>
      </c>
      <c r="S124" s="2" t="s">
        <v>43</v>
      </c>
      <c r="T124" s="2" t="s">
        <v>2344</v>
      </c>
      <c r="U124" s="2" t="s">
        <v>43</v>
      </c>
      <c r="V124" s="2" t="s">
        <v>695</v>
      </c>
      <c r="W124" s="3">
        <v>45945</v>
      </c>
      <c r="X124" s="2" t="s">
        <v>163</v>
      </c>
      <c r="Y124" s="2"/>
      <c r="Z124" s="2"/>
      <c r="AA124" s="2"/>
      <c r="AB124" s="2"/>
      <c r="AC124" s="2" t="s">
        <v>696</v>
      </c>
      <c r="AD124" s="2"/>
      <c r="AE124" s="2"/>
    </row>
    <row r="125" spans="1:31" ht="313.5">
      <c r="A125" s="2" t="s">
        <v>697</v>
      </c>
      <c r="B125" s="2" t="s">
        <v>698</v>
      </c>
      <c r="C125" s="2" t="str">
        <f>sheet13[[#This Row],[Nombre]]&amp;sheet13[[#This Row],[Bp Id]]</f>
        <v>Calificación CrediticiaRIS0018</v>
      </c>
      <c r="D125" s="2" t="str">
        <f>VLOOKUP(sheet13[[#This Row],[Columna1]],Sheet2!C:S,4,FALSE)</f>
        <v>Operativo</v>
      </c>
      <c r="E125" s="2" t="s">
        <v>699</v>
      </c>
      <c r="F125" s="2" t="s">
        <v>32</v>
      </c>
      <c r="G125" s="2" t="s">
        <v>48</v>
      </c>
      <c r="H125" s="2" t="s">
        <v>59</v>
      </c>
      <c r="I125" s="2" t="s">
        <v>320</v>
      </c>
      <c r="J125" s="2" t="s">
        <v>321</v>
      </c>
      <c r="K125" s="2" t="s">
        <v>2354</v>
      </c>
      <c r="L125" s="2" t="s">
        <v>595</v>
      </c>
      <c r="M125" s="2" t="s">
        <v>63</v>
      </c>
      <c r="N125" s="2" t="s">
        <v>2343</v>
      </c>
      <c r="O125" s="2" t="s">
        <v>40</v>
      </c>
      <c r="P125" s="2" t="s">
        <v>41</v>
      </c>
      <c r="Q125" s="2" t="s">
        <v>64</v>
      </c>
      <c r="R125" s="2" t="s">
        <v>53</v>
      </c>
      <c r="S125" s="2" t="s">
        <v>43</v>
      </c>
      <c r="T125" s="2" t="s">
        <v>2344</v>
      </c>
      <c r="U125" s="2" t="s">
        <v>43</v>
      </c>
      <c r="V125" s="2"/>
      <c r="W125" s="3"/>
      <c r="X125" s="2"/>
      <c r="Y125" s="2"/>
      <c r="Z125" s="2"/>
      <c r="AA125" s="2"/>
      <c r="AB125" s="2"/>
      <c r="AC125" s="2"/>
      <c r="AD125" s="2"/>
      <c r="AE125" s="2"/>
    </row>
    <row r="126" spans="1:31" ht="63.6">
      <c r="A126" s="2" t="s">
        <v>700</v>
      </c>
      <c r="B126" s="2" t="s">
        <v>701</v>
      </c>
      <c r="C126" s="2" t="str">
        <f>sheet13[[#This Row],[Nombre]]&amp;sheet13[[#This Row],[Bp Id]]</f>
        <v>Callme backCUS0003</v>
      </c>
      <c r="D126" s="2" t="str">
        <f>VLOOKUP(sheet13[[#This Row],[Columna1]],Sheet2!C:S,4,FALSE)</f>
        <v>Operativo</v>
      </c>
      <c r="E126" s="2" t="s">
        <v>139</v>
      </c>
      <c r="F126" s="2" t="s">
        <v>32</v>
      </c>
      <c r="G126" s="2" t="s">
        <v>48</v>
      </c>
      <c r="H126" s="2" t="s">
        <v>59</v>
      </c>
      <c r="I126" s="2" t="s">
        <v>87</v>
      </c>
      <c r="J126" s="2" t="s">
        <v>88</v>
      </c>
      <c r="K126" s="2" t="s">
        <v>479</v>
      </c>
      <c r="L126" s="2" t="s">
        <v>88</v>
      </c>
      <c r="M126" s="2" t="s">
        <v>161</v>
      </c>
      <c r="N126" s="2" t="s">
        <v>2345</v>
      </c>
      <c r="O126" s="2" t="s">
        <v>40</v>
      </c>
      <c r="P126" s="2" t="s">
        <v>43</v>
      </c>
      <c r="Q126" s="2" t="s">
        <v>53</v>
      </c>
      <c r="R126" s="2" t="s">
        <v>53</v>
      </c>
      <c r="S126" s="2" t="s">
        <v>43</v>
      </c>
      <c r="T126" s="2"/>
      <c r="U126" s="2" t="s">
        <v>43</v>
      </c>
      <c r="V126" s="2"/>
      <c r="W126" s="3"/>
      <c r="X126" s="2"/>
      <c r="Y126" s="2"/>
      <c r="Z126" s="2"/>
      <c r="AA126" s="2"/>
      <c r="AB126" s="2"/>
      <c r="AC126" s="2"/>
      <c r="AD126" s="2"/>
      <c r="AE126" s="2"/>
    </row>
    <row r="127" spans="1:31" ht="63.6">
      <c r="A127" s="2" t="s">
        <v>702</v>
      </c>
      <c r="B127" s="2" t="s">
        <v>703</v>
      </c>
      <c r="C127" s="2" t="str">
        <f>sheet13[[#This Row],[Nombre]]&amp;sheet13[[#This Row],[Bp Id]]</f>
        <v>Campañas SMS AnywayCUS0004</v>
      </c>
      <c r="D127" s="2" t="str">
        <f>VLOOKUP(sheet13[[#This Row],[Columna1]],Sheet2!C:S,4,FALSE)</f>
        <v>Retirado</v>
      </c>
      <c r="E127" s="2" t="s">
        <v>465</v>
      </c>
      <c r="F127" s="2" t="s">
        <v>47</v>
      </c>
      <c r="G127" s="2" t="s">
        <v>48</v>
      </c>
      <c r="H127" s="2" t="s">
        <v>140</v>
      </c>
      <c r="I127" s="2" t="s">
        <v>134</v>
      </c>
      <c r="J127" s="2" t="s">
        <v>88</v>
      </c>
      <c r="K127" s="2" t="s">
        <v>479</v>
      </c>
      <c r="L127" s="2" t="s">
        <v>480</v>
      </c>
      <c r="M127" s="2" t="s">
        <v>39</v>
      </c>
      <c r="N127" s="2" t="s">
        <v>2345</v>
      </c>
      <c r="O127" s="2" t="s">
        <v>40</v>
      </c>
      <c r="P127" s="2" t="s">
        <v>43</v>
      </c>
      <c r="Q127" s="2" t="s">
        <v>704</v>
      </c>
      <c r="R127" s="2" t="s">
        <v>53</v>
      </c>
      <c r="S127" s="2" t="s">
        <v>43</v>
      </c>
      <c r="T127" s="2"/>
      <c r="U127" s="2" t="s">
        <v>43</v>
      </c>
      <c r="V127" s="2"/>
      <c r="W127" s="3"/>
      <c r="X127" s="2"/>
      <c r="Y127" s="2"/>
      <c r="Z127" s="2"/>
      <c r="AA127" s="2"/>
      <c r="AB127" s="2"/>
      <c r="AC127" s="2"/>
      <c r="AD127" s="2"/>
      <c r="AE127" s="2"/>
    </row>
    <row r="128" spans="1:31" ht="313.5">
      <c r="A128" s="2" t="s">
        <v>705</v>
      </c>
      <c r="B128" s="2" t="s">
        <v>706</v>
      </c>
      <c r="C128" s="2" t="str">
        <f>sheet13[[#This Row],[Nombre]]&amp;sheet13[[#This Row],[Bp Id]]</f>
        <v>CapturadeFirmasTIE0004</v>
      </c>
      <c r="D128" s="2" t="str">
        <f>VLOOKUP(sheet13[[#This Row],[Columna1]],Sheet2!C:S,4,FALSE)</f>
        <v>Operativo</v>
      </c>
      <c r="E128" s="2" t="s">
        <v>707</v>
      </c>
      <c r="F128" s="2" t="s">
        <v>32</v>
      </c>
      <c r="G128" s="2" t="s">
        <v>76</v>
      </c>
      <c r="H128" s="2" t="s">
        <v>59</v>
      </c>
      <c r="I128" s="2" t="s">
        <v>487</v>
      </c>
      <c r="J128" s="2" t="s">
        <v>488</v>
      </c>
      <c r="K128" s="2" t="s">
        <v>489</v>
      </c>
      <c r="L128" s="2" t="s">
        <v>490</v>
      </c>
      <c r="M128" s="2" t="s">
        <v>39</v>
      </c>
      <c r="N128" s="2" t="s">
        <v>2343</v>
      </c>
      <c r="O128" s="2" t="s">
        <v>40</v>
      </c>
      <c r="P128" s="2" t="s">
        <v>41</v>
      </c>
      <c r="Q128" s="2" t="s">
        <v>246</v>
      </c>
      <c r="R128" s="2" t="s">
        <v>247</v>
      </c>
      <c r="S128" s="2" t="s">
        <v>41</v>
      </c>
      <c r="T128" s="2" t="s">
        <v>2344</v>
      </c>
      <c r="U128" s="2" t="s">
        <v>43</v>
      </c>
      <c r="V128" s="2"/>
      <c r="W128" s="3"/>
      <c r="X128" s="2"/>
      <c r="Y128" s="2"/>
      <c r="Z128" s="2"/>
      <c r="AA128" s="2"/>
      <c r="AB128" s="2"/>
      <c r="AC128" s="2"/>
      <c r="AD128" s="2"/>
      <c r="AE128" s="2"/>
    </row>
    <row r="129" spans="1:31" ht="101.1">
      <c r="A129" s="2" t="s">
        <v>708</v>
      </c>
      <c r="B129" s="2" t="s">
        <v>709</v>
      </c>
      <c r="C129" s="2" t="str">
        <f>sheet13[[#This Row],[Nombre]]&amp;sheet13[[#This Row],[Bp Id]]</f>
        <v>CAR Sectorial DigitalPRD0010</v>
      </c>
      <c r="D129" s="2" t="str">
        <f>VLOOKUP(sheet13[[#This Row],[Columna1]],Sheet2!C:S,4,FALSE)</f>
        <v>Operativo</v>
      </c>
      <c r="E129" s="2" t="s">
        <v>710</v>
      </c>
      <c r="F129" s="2" t="s">
        <v>32</v>
      </c>
      <c r="G129" s="2" t="s">
        <v>48</v>
      </c>
      <c r="H129" s="2" t="s">
        <v>59</v>
      </c>
      <c r="I129" s="2" t="s">
        <v>320</v>
      </c>
      <c r="J129" s="2" t="s">
        <v>321</v>
      </c>
      <c r="K129" s="2" t="s">
        <v>322</v>
      </c>
      <c r="L129" s="2" t="s">
        <v>323</v>
      </c>
      <c r="M129" s="2" t="s">
        <v>63</v>
      </c>
      <c r="N129" s="2" t="s">
        <v>2343</v>
      </c>
      <c r="O129" s="2" t="s">
        <v>40</v>
      </c>
      <c r="P129" s="2" t="s">
        <v>41</v>
      </c>
      <c r="Q129" s="2" t="s">
        <v>53</v>
      </c>
      <c r="R129" s="2" t="s">
        <v>53</v>
      </c>
      <c r="S129" s="2" t="s">
        <v>43</v>
      </c>
      <c r="T129" s="2" t="s">
        <v>2344</v>
      </c>
      <c r="U129" s="2" t="s">
        <v>43</v>
      </c>
      <c r="V129" s="2"/>
      <c r="W129" s="3"/>
      <c r="X129" s="2"/>
      <c r="Y129" s="2"/>
      <c r="Z129" s="2"/>
      <c r="AA129" s="2"/>
      <c r="AB129" s="2"/>
      <c r="AC129" s="2"/>
      <c r="AD129" s="2"/>
      <c r="AE129" s="2"/>
    </row>
    <row r="130" spans="1:31" ht="251.1">
      <c r="A130" s="2" t="s">
        <v>711</v>
      </c>
      <c r="B130" s="2" t="s">
        <v>712</v>
      </c>
      <c r="C130" s="2" t="str">
        <f>sheet13[[#This Row],[Nombre]]&amp;sheet13[[#This Row],[Bp Id]]</f>
        <v>CardHolderPAY0004</v>
      </c>
      <c r="D130" s="2" t="str">
        <f>VLOOKUP(sheet13[[#This Row],[Columna1]],Sheet2!C:S,4,FALSE)</f>
        <v>Operativo</v>
      </c>
      <c r="E130" s="2" t="s">
        <v>713</v>
      </c>
      <c r="F130" s="2" t="s">
        <v>32</v>
      </c>
      <c r="G130" s="2" t="s">
        <v>76</v>
      </c>
      <c r="H130" s="2" t="s">
        <v>34</v>
      </c>
      <c r="I130" s="2" t="s">
        <v>141</v>
      </c>
      <c r="J130" s="2" t="s">
        <v>151</v>
      </c>
      <c r="K130" s="2" t="s">
        <v>564</v>
      </c>
      <c r="L130" s="2" t="s">
        <v>565</v>
      </c>
      <c r="M130" s="2" t="s">
        <v>39</v>
      </c>
      <c r="N130" s="2" t="s">
        <v>2343</v>
      </c>
      <c r="O130" s="2" t="s">
        <v>40</v>
      </c>
      <c r="P130" s="2" t="s">
        <v>41</v>
      </c>
      <c r="Q130" s="2" t="s">
        <v>42</v>
      </c>
      <c r="R130" s="2" t="s">
        <v>53</v>
      </c>
      <c r="S130" s="2" t="s">
        <v>41</v>
      </c>
      <c r="T130" s="2"/>
      <c r="U130" s="2" t="s">
        <v>41</v>
      </c>
      <c r="V130" s="2" t="s">
        <v>714</v>
      </c>
      <c r="W130" s="3">
        <v>45199</v>
      </c>
      <c r="X130" s="2"/>
      <c r="Y130" s="2" t="s">
        <v>100</v>
      </c>
      <c r="Z130" s="2"/>
      <c r="AA130" s="2"/>
      <c r="AB130" s="2"/>
      <c r="AC130" s="2"/>
      <c r="AD130" s="2"/>
      <c r="AE130" s="2" t="s">
        <v>715</v>
      </c>
    </row>
    <row r="131" spans="1:31" ht="51">
      <c r="A131" s="2" t="s">
        <v>716</v>
      </c>
      <c r="B131" s="2" t="s">
        <v>717</v>
      </c>
      <c r="C131" s="2" t="str">
        <f>sheet13[[#This Row],[Nombre]]&amp;sheet13[[#This Row],[Bp Id]]</f>
        <v>CARTERA_CASTIGADARIS0020</v>
      </c>
      <c r="D131" s="2" t="str">
        <f>VLOOKUP(sheet13[[#This Row],[Columna1]],Sheet2!C:S,4,FALSE)</f>
        <v>Operativo</v>
      </c>
      <c r="E131" s="2" t="s">
        <v>432</v>
      </c>
      <c r="F131" s="2" t="s">
        <v>32</v>
      </c>
      <c r="G131" s="2" t="s">
        <v>48</v>
      </c>
      <c r="H131" s="2" t="s">
        <v>34</v>
      </c>
      <c r="I131" s="2" t="s">
        <v>320</v>
      </c>
      <c r="J131" s="2" t="s">
        <v>321</v>
      </c>
      <c r="K131" s="2" t="s">
        <v>322</v>
      </c>
      <c r="L131" s="2" t="s">
        <v>323</v>
      </c>
      <c r="M131" s="2" t="s">
        <v>39</v>
      </c>
      <c r="N131" s="2" t="s">
        <v>2343</v>
      </c>
      <c r="O131" s="2" t="s">
        <v>40</v>
      </c>
      <c r="P131" s="2" t="s">
        <v>41</v>
      </c>
      <c r="Q131" s="2" t="s">
        <v>247</v>
      </c>
      <c r="R131" s="2" t="s">
        <v>247</v>
      </c>
      <c r="S131" s="2" t="s">
        <v>41</v>
      </c>
      <c r="T131" s="2" t="s">
        <v>2344</v>
      </c>
      <c r="U131" s="2" t="s">
        <v>43</v>
      </c>
      <c r="V131" s="2"/>
      <c r="W131" s="3"/>
      <c r="X131" s="2"/>
      <c r="Y131" s="2"/>
      <c r="Z131" s="2"/>
      <c r="AA131" s="2"/>
      <c r="AB131" s="2"/>
      <c r="AC131" s="2"/>
      <c r="AD131" s="2"/>
      <c r="AE131" s="2"/>
    </row>
    <row r="132" spans="1:31" ht="138.6">
      <c r="A132" s="2" t="s">
        <v>718</v>
      </c>
      <c r="B132" s="2" t="s">
        <v>719</v>
      </c>
      <c r="C132" s="2" t="str">
        <f>sheet13[[#This Row],[Nombre]]&amp;sheet13[[#This Row],[Bp Id]]</f>
        <v>CashAppPRD0011</v>
      </c>
      <c r="D132" s="2" t="str">
        <f>VLOOKUP(sheet13[[#This Row],[Columna1]],Sheet2!C:S,4,FALSE)</f>
        <v>Retirado</v>
      </c>
      <c r="E132" s="2" t="s">
        <v>720</v>
      </c>
      <c r="F132" s="2" t="s">
        <v>47</v>
      </c>
      <c r="G132" s="2" t="s">
        <v>48</v>
      </c>
      <c r="H132" s="2" t="s">
        <v>59</v>
      </c>
      <c r="I132" s="2" t="s">
        <v>553</v>
      </c>
      <c r="J132" s="2" t="s">
        <v>50</v>
      </c>
      <c r="K132" s="2" t="s">
        <v>721</v>
      </c>
      <c r="L132" s="2" t="s">
        <v>722</v>
      </c>
      <c r="M132" s="2" t="s">
        <v>296</v>
      </c>
      <c r="N132" s="2" t="s">
        <v>2345</v>
      </c>
      <c r="O132" s="2" t="s">
        <v>40</v>
      </c>
      <c r="P132" s="2" t="s">
        <v>43</v>
      </c>
      <c r="Q132" s="2" t="s">
        <v>723</v>
      </c>
      <c r="R132" s="2" t="s">
        <v>53</v>
      </c>
      <c r="S132" s="2" t="s">
        <v>43</v>
      </c>
      <c r="T132" s="2"/>
      <c r="U132" s="2" t="s">
        <v>43</v>
      </c>
      <c r="V132" s="2"/>
      <c r="W132" s="3"/>
      <c r="X132" s="2"/>
      <c r="Y132" s="2"/>
      <c r="Z132" s="2"/>
      <c r="AA132" s="2"/>
      <c r="AB132" s="2"/>
      <c r="AC132" s="2"/>
      <c r="AD132" s="2"/>
      <c r="AE132" s="2"/>
    </row>
    <row r="133" spans="1:31" ht="101.1">
      <c r="A133" s="2" t="s">
        <v>724</v>
      </c>
      <c r="B133" s="2" t="s">
        <v>725</v>
      </c>
      <c r="C133" s="2" t="str">
        <f>sheet13[[#This Row],[Nombre]]&amp;sheet13[[#This Row],[Bp Id]]</f>
        <v>CashManagementPRD0012</v>
      </c>
      <c r="D133" s="2" t="str">
        <f>VLOOKUP(sheet13[[#This Row],[Columna1]],Sheet2!C:S,4,FALSE)</f>
        <v>Operativo</v>
      </c>
      <c r="E133" s="2" t="s">
        <v>726</v>
      </c>
      <c r="F133" s="2" t="s">
        <v>32</v>
      </c>
      <c r="G133" s="2" t="s">
        <v>33</v>
      </c>
      <c r="H133" s="2" t="s">
        <v>34</v>
      </c>
      <c r="I133" s="2" t="s">
        <v>116</v>
      </c>
      <c r="J133" s="2" t="s">
        <v>62</v>
      </c>
      <c r="K133" s="2" t="s">
        <v>721</v>
      </c>
      <c r="L133" s="2" t="s">
        <v>62</v>
      </c>
      <c r="M133" s="2" t="s">
        <v>39</v>
      </c>
      <c r="N133" s="2" t="s">
        <v>2343</v>
      </c>
      <c r="O133" s="2" t="s">
        <v>40</v>
      </c>
      <c r="P133" s="2" t="s">
        <v>41</v>
      </c>
      <c r="Q133" s="2" t="s">
        <v>42</v>
      </c>
      <c r="R133" s="2" t="s">
        <v>53</v>
      </c>
      <c r="S133" s="2" t="s">
        <v>41</v>
      </c>
      <c r="T133" s="2"/>
      <c r="U133" s="2" t="s">
        <v>41</v>
      </c>
      <c r="V133" s="2" t="s">
        <v>727</v>
      </c>
      <c r="W133" s="3">
        <v>45200</v>
      </c>
      <c r="X133" s="2" t="s">
        <v>728</v>
      </c>
      <c r="Y133" s="2" t="s">
        <v>262</v>
      </c>
      <c r="Z133" s="2" t="s">
        <v>146</v>
      </c>
      <c r="AA133" s="2" t="s">
        <v>147</v>
      </c>
      <c r="AB133" s="2" t="s">
        <v>147</v>
      </c>
      <c r="AC133" s="2" t="s">
        <v>180</v>
      </c>
      <c r="AD133" s="2" t="s">
        <v>129</v>
      </c>
      <c r="AE133" s="2" t="s">
        <v>729</v>
      </c>
    </row>
    <row r="134" spans="1:31" ht="409.6">
      <c r="A134" s="2" t="s">
        <v>730</v>
      </c>
      <c r="B134" s="2" t="s">
        <v>731</v>
      </c>
      <c r="C134" s="2" t="str">
        <f>sheet13[[#This Row],[Nombre]]&amp;sheet13[[#This Row],[Bp Id]]</f>
        <v>CelonisTIE0022</v>
      </c>
      <c r="D134" s="2" t="str">
        <f>VLOOKUP(sheet13[[#This Row],[Columna1]],Sheet2!C:S,4,FALSE)</f>
        <v>Operativo</v>
      </c>
      <c r="E134" s="2" t="s">
        <v>732</v>
      </c>
      <c r="F134" s="2" t="s">
        <v>32</v>
      </c>
      <c r="G134" s="2" t="s">
        <v>48</v>
      </c>
      <c r="H134" s="2" t="s">
        <v>59</v>
      </c>
      <c r="I134" s="2" t="s">
        <v>487</v>
      </c>
      <c r="J134" s="2" t="s">
        <v>488</v>
      </c>
      <c r="K134" s="2" t="s">
        <v>733</v>
      </c>
      <c r="L134" s="2" t="s">
        <v>490</v>
      </c>
      <c r="M134" s="2" t="s">
        <v>63</v>
      </c>
      <c r="N134" s="2" t="s">
        <v>2343</v>
      </c>
      <c r="O134" s="2" t="s">
        <v>40</v>
      </c>
      <c r="P134" s="2" t="s">
        <v>43</v>
      </c>
      <c r="Q134" s="2" t="s">
        <v>64</v>
      </c>
      <c r="R134" s="2" t="s">
        <v>64</v>
      </c>
      <c r="S134" s="2" t="s">
        <v>41</v>
      </c>
      <c r="T134" s="2" t="s">
        <v>2344</v>
      </c>
      <c r="U134" s="2" t="s">
        <v>43</v>
      </c>
      <c r="V134" s="2" t="s">
        <v>734</v>
      </c>
      <c r="W134" s="3">
        <v>46062</v>
      </c>
      <c r="X134" s="2" t="s">
        <v>735</v>
      </c>
      <c r="Y134" s="2"/>
      <c r="Z134" s="2"/>
      <c r="AA134" s="2"/>
      <c r="AB134" s="2"/>
      <c r="AC134" s="2" t="s">
        <v>736</v>
      </c>
      <c r="AD134" s="2"/>
      <c r="AE134" s="2"/>
    </row>
    <row r="135" spans="1:31" ht="75.95">
      <c r="A135" s="2" t="s">
        <v>737</v>
      </c>
      <c r="B135" s="2" t="s">
        <v>738</v>
      </c>
      <c r="C135" s="2" t="str">
        <f>sheet13[[#This Row],[Nombre]]&amp;sheet13[[#This Row],[Bp Id]]</f>
        <v>CheqscanPAY0002</v>
      </c>
      <c r="D135" s="2" t="str">
        <f>VLOOKUP(sheet13[[#This Row],[Columna1]],Sheet2!C:S,4,FALSE)</f>
        <v>Operativo</v>
      </c>
      <c r="E135" s="2" t="s">
        <v>739</v>
      </c>
      <c r="F135" s="2" t="s">
        <v>32</v>
      </c>
      <c r="G135" s="2" t="s">
        <v>123</v>
      </c>
      <c r="H135" s="2" t="s">
        <v>34</v>
      </c>
      <c r="I135" s="2" t="s">
        <v>167</v>
      </c>
      <c r="J135" s="2" t="s">
        <v>96</v>
      </c>
      <c r="K135" s="2" t="s">
        <v>740</v>
      </c>
      <c r="L135" s="2" t="s">
        <v>169</v>
      </c>
      <c r="M135" s="2" t="s">
        <v>39</v>
      </c>
      <c r="N135" s="2" t="s">
        <v>2343</v>
      </c>
      <c r="O135" s="2" t="s">
        <v>40</v>
      </c>
      <c r="P135" s="2" t="s">
        <v>41</v>
      </c>
      <c r="Q135" s="2" t="s">
        <v>53</v>
      </c>
      <c r="R135" s="2" t="s">
        <v>53</v>
      </c>
      <c r="S135" s="2" t="s">
        <v>41</v>
      </c>
      <c r="T135" s="2"/>
      <c r="U135" s="2" t="s">
        <v>41</v>
      </c>
      <c r="V135" s="2" t="s">
        <v>119</v>
      </c>
      <c r="W135" s="3">
        <v>45199</v>
      </c>
      <c r="X135" s="2"/>
      <c r="Y135" s="2" t="s">
        <v>100</v>
      </c>
      <c r="Z135" s="2"/>
      <c r="AA135" s="2"/>
      <c r="AB135" s="2"/>
      <c r="AC135" s="2"/>
      <c r="AD135" s="2"/>
      <c r="AE135" s="2"/>
    </row>
    <row r="136" spans="1:31" ht="51">
      <c r="A136" s="2" t="s">
        <v>741</v>
      </c>
      <c r="B136" s="2" t="s">
        <v>742</v>
      </c>
      <c r="C136" s="2" t="str">
        <f>sheet13[[#This Row],[Nombre]]&amp;sheet13[[#This Row],[Bp Id]]</f>
        <v>Cheque Image ClientCHL0009</v>
      </c>
      <c r="D136" s="2" t="str">
        <f>VLOOKUP(sheet13[[#This Row],[Columna1]],Sheet2!C:S,4,FALSE)</f>
        <v>Retirado</v>
      </c>
      <c r="E136" s="2" t="s">
        <v>465</v>
      </c>
      <c r="F136" s="2" t="s">
        <v>47</v>
      </c>
      <c r="G136" s="2" t="s">
        <v>48</v>
      </c>
      <c r="H136" s="2" t="s">
        <v>34</v>
      </c>
      <c r="I136" s="2" t="s">
        <v>35</v>
      </c>
      <c r="J136" s="2" t="s">
        <v>349</v>
      </c>
      <c r="K136" s="2" t="s">
        <v>381</v>
      </c>
      <c r="L136" s="2" t="s">
        <v>350</v>
      </c>
      <c r="M136" s="2" t="s">
        <v>63</v>
      </c>
      <c r="N136" s="2" t="s">
        <v>2345</v>
      </c>
      <c r="O136" s="2" t="s">
        <v>40</v>
      </c>
      <c r="P136" s="2" t="s">
        <v>41</v>
      </c>
      <c r="Q136" s="2" t="s">
        <v>53</v>
      </c>
      <c r="R136" s="2" t="s">
        <v>53</v>
      </c>
      <c r="S136" s="2" t="s">
        <v>43</v>
      </c>
      <c r="T136" s="2"/>
      <c r="U136" s="2" t="s">
        <v>43</v>
      </c>
      <c r="V136" s="2"/>
      <c r="W136" s="3"/>
      <c r="X136" s="2"/>
      <c r="Y136" s="2"/>
      <c r="Z136" s="2"/>
      <c r="AA136" s="2"/>
      <c r="AB136" s="2"/>
      <c r="AC136" s="2"/>
      <c r="AD136" s="2"/>
      <c r="AE136" s="2"/>
    </row>
    <row r="137" spans="1:31" ht="201">
      <c r="A137" s="2" t="s">
        <v>743</v>
      </c>
      <c r="B137" s="2" t="s">
        <v>744</v>
      </c>
      <c r="C137" s="2" t="str">
        <f>sheet13[[#This Row],[Nombre]]&amp;sheet13[[#This Row],[Bp Id]]</f>
        <v>ACL Robotics EnterpriseGOB0010</v>
      </c>
      <c r="D137" s="2" t="str">
        <f>VLOOKUP(sheet13[[#This Row],[Columna1]],Sheet2!C:S,4,FALSE)</f>
        <v>Operativo</v>
      </c>
      <c r="E137" s="2" t="s">
        <v>745</v>
      </c>
      <c r="F137" s="2" t="s">
        <v>32</v>
      </c>
      <c r="G137" s="2" t="s">
        <v>48</v>
      </c>
      <c r="H137" s="2" t="s">
        <v>59</v>
      </c>
      <c r="I137" s="2" t="s">
        <v>225</v>
      </c>
      <c r="J137" s="2" t="s">
        <v>226</v>
      </c>
      <c r="K137" s="2" t="s">
        <v>227</v>
      </c>
      <c r="L137" s="2" t="s">
        <v>228</v>
      </c>
      <c r="M137" s="2" t="s">
        <v>63</v>
      </c>
      <c r="N137" s="2" t="s">
        <v>2343</v>
      </c>
      <c r="O137" s="2" t="s">
        <v>40</v>
      </c>
      <c r="P137" s="2" t="s">
        <v>41</v>
      </c>
      <c r="Q137" s="2" t="s">
        <v>42</v>
      </c>
      <c r="R137" s="2" t="s">
        <v>42</v>
      </c>
      <c r="S137" s="2" t="s">
        <v>43</v>
      </c>
      <c r="T137" s="2" t="s">
        <v>2344</v>
      </c>
      <c r="U137" s="2" t="s">
        <v>43</v>
      </c>
      <c r="V137" s="2"/>
      <c r="W137" s="3"/>
      <c r="X137" s="2"/>
      <c r="Y137" s="2"/>
      <c r="Z137" s="2"/>
      <c r="AA137" s="2"/>
      <c r="AB137" s="2"/>
      <c r="AC137" s="2"/>
      <c r="AD137" s="2"/>
      <c r="AE137" s="2"/>
    </row>
    <row r="138" spans="1:31" ht="75.95">
      <c r="A138" s="2" t="s">
        <v>42</v>
      </c>
      <c r="B138" s="2" t="s">
        <v>746</v>
      </c>
      <c r="C138" s="2" t="str">
        <f>sheet13[[#This Row],[Nombre]]&amp;sheet13[[#This Row],[Bp Id]]</f>
        <v>Active DirectorySEC0047</v>
      </c>
      <c r="D138" s="2" t="str">
        <f>VLOOKUP(sheet13[[#This Row],[Columna1]],Sheet2!C:S,4,FALSE)</f>
        <v>Operativo</v>
      </c>
      <c r="E138" s="2" t="s">
        <v>747</v>
      </c>
      <c r="F138" s="2" t="s">
        <v>32</v>
      </c>
      <c r="G138" s="2" t="s">
        <v>123</v>
      </c>
      <c r="H138" s="2" t="s">
        <v>34</v>
      </c>
      <c r="I138" s="2" t="s">
        <v>68</v>
      </c>
      <c r="J138" s="2" t="s">
        <v>69</v>
      </c>
      <c r="K138" s="2" t="s">
        <v>82</v>
      </c>
      <c r="L138" s="2" t="s">
        <v>335</v>
      </c>
      <c r="M138" s="2" t="s">
        <v>111</v>
      </c>
      <c r="N138" s="2" t="s">
        <v>2343</v>
      </c>
      <c r="O138" s="2" t="s">
        <v>40</v>
      </c>
      <c r="P138" s="2" t="s">
        <v>43</v>
      </c>
      <c r="Q138" s="2" t="s">
        <v>42</v>
      </c>
      <c r="R138" s="2" t="s">
        <v>42</v>
      </c>
      <c r="S138" s="2" t="s">
        <v>41</v>
      </c>
      <c r="T138" s="2"/>
      <c r="U138" s="2" t="s">
        <v>41</v>
      </c>
      <c r="V138" s="2" t="s">
        <v>748</v>
      </c>
      <c r="W138" s="3">
        <v>45200</v>
      </c>
      <c r="X138" s="2"/>
      <c r="Y138" s="2" t="s">
        <v>125</v>
      </c>
      <c r="Z138" s="2" t="s">
        <v>626</v>
      </c>
      <c r="AA138" s="2" t="s">
        <v>147</v>
      </c>
      <c r="AB138" s="2" t="s">
        <v>311</v>
      </c>
      <c r="AC138" s="2" t="s">
        <v>263</v>
      </c>
      <c r="AD138" s="2" t="s">
        <v>129</v>
      </c>
      <c r="AE138" s="2" t="s">
        <v>749</v>
      </c>
    </row>
    <row r="139" spans="1:31" ht="409.6">
      <c r="A139" s="2" t="s">
        <v>750</v>
      </c>
      <c r="B139" s="2" t="s">
        <v>751</v>
      </c>
      <c r="C139" s="2" t="str">
        <f>sheet13[[#This Row],[Nombre]]&amp;sheet13[[#This Row],[Bp Id]]</f>
        <v>Administración de ContratosSUP0038</v>
      </c>
      <c r="D139" s="2" t="str">
        <f>VLOOKUP(sheet13[[#This Row],[Columna1]],Sheet2!C:S,4,FALSE)</f>
        <v>Operativo</v>
      </c>
      <c r="E139" s="2" t="s">
        <v>752</v>
      </c>
      <c r="F139" s="2" t="s">
        <v>32</v>
      </c>
      <c r="G139" s="2" t="s">
        <v>48</v>
      </c>
      <c r="H139" s="2" t="s">
        <v>34</v>
      </c>
      <c r="I139" s="2" t="s">
        <v>225</v>
      </c>
      <c r="J139" s="2" t="s">
        <v>226</v>
      </c>
      <c r="K139" s="2" t="s">
        <v>753</v>
      </c>
      <c r="L139" s="2" t="s">
        <v>268</v>
      </c>
      <c r="M139" s="2" t="s">
        <v>39</v>
      </c>
      <c r="N139" s="2" t="s">
        <v>2343</v>
      </c>
      <c r="O139" s="2" t="s">
        <v>40</v>
      </c>
      <c r="P139" s="2" t="s">
        <v>43</v>
      </c>
      <c r="Q139" s="2" t="s">
        <v>53</v>
      </c>
      <c r="R139" s="2" t="s">
        <v>53</v>
      </c>
      <c r="S139" s="2" t="s">
        <v>43</v>
      </c>
      <c r="T139" s="2" t="s">
        <v>2344</v>
      </c>
      <c r="U139" s="2" t="s">
        <v>43</v>
      </c>
      <c r="V139" s="2" t="s">
        <v>754</v>
      </c>
      <c r="W139" s="3"/>
      <c r="X139" s="2"/>
      <c r="Y139" s="2"/>
      <c r="Z139" s="2"/>
      <c r="AA139" s="2"/>
      <c r="AB139" s="2"/>
      <c r="AC139" s="2"/>
      <c r="AD139" s="2"/>
      <c r="AE139" s="2"/>
    </row>
    <row r="140" spans="1:31" ht="409.6">
      <c r="A140" s="2" t="s">
        <v>755</v>
      </c>
      <c r="B140" s="2" t="s">
        <v>756</v>
      </c>
      <c r="C140" s="2" t="str">
        <f>sheet13[[#This Row],[Nombre]]&amp;sheet13[[#This Row],[Bp Id]]</f>
        <v>Administrador de CréditoRIS0001</v>
      </c>
      <c r="D140" s="2" t="str">
        <f>VLOOKUP(sheet13[[#This Row],[Columna1]],Sheet2!C:S,4,FALSE)</f>
        <v>Operativo</v>
      </c>
      <c r="E140" s="2" t="s">
        <v>757</v>
      </c>
      <c r="F140" s="2" t="s">
        <v>32</v>
      </c>
      <c r="G140" s="2" t="s">
        <v>48</v>
      </c>
      <c r="H140" s="2" t="s">
        <v>34</v>
      </c>
      <c r="I140" s="2" t="s">
        <v>320</v>
      </c>
      <c r="J140" s="2" t="s">
        <v>321</v>
      </c>
      <c r="K140" s="2" t="s">
        <v>321</v>
      </c>
      <c r="L140" s="2" t="s">
        <v>323</v>
      </c>
      <c r="M140" s="2" t="s">
        <v>39</v>
      </c>
      <c r="N140" s="2" t="s">
        <v>2343</v>
      </c>
      <c r="O140" s="2" t="s">
        <v>40</v>
      </c>
      <c r="P140" s="2" t="s">
        <v>43</v>
      </c>
      <c r="Q140" s="2" t="s">
        <v>42</v>
      </c>
      <c r="R140" s="2" t="s">
        <v>42</v>
      </c>
      <c r="S140" s="2" t="s">
        <v>41</v>
      </c>
      <c r="T140" s="2"/>
      <c r="U140" s="2" t="s">
        <v>41</v>
      </c>
      <c r="V140" s="2" t="s">
        <v>748</v>
      </c>
      <c r="W140" s="3">
        <v>45200</v>
      </c>
      <c r="X140" s="2"/>
      <c r="Y140" s="2" t="s">
        <v>125</v>
      </c>
      <c r="Z140" s="2" t="s">
        <v>262</v>
      </c>
      <c r="AA140" s="2" t="s">
        <v>147</v>
      </c>
      <c r="AB140" s="2" t="s">
        <v>127</v>
      </c>
      <c r="AC140" s="2" t="s">
        <v>263</v>
      </c>
      <c r="AD140" s="2" t="s">
        <v>129</v>
      </c>
      <c r="AE140" s="2" t="s">
        <v>759</v>
      </c>
    </row>
    <row r="141" spans="1:31" ht="351">
      <c r="A141" s="2" t="s">
        <v>760</v>
      </c>
      <c r="B141" s="2" t="s">
        <v>761</v>
      </c>
      <c r="C141" s="2" t="str">
        <f>sheet13[[#This Row],[Nombre]]&amp;sheet13[[#This Row],[Bp Id]]</f>
        <v>Administrador de Débitos AutomáticosRIS0013</v>
      </c>
      <c r="D141" s="2" t="str">
        <f>VLOOKUP(sheet13[[#This Row],[Columna1]],Sheet2!C:S,4,FALSE)</f>
        <v>Operativo</v>
      </c>
      <c r="E141" s="2" t="s">
        <v>762</v>
      </c>
      <c r="F141" s="2" t="s">
        <v>32</v>
      </c>
      <c r="G141" s="2" t="s">
        <v>48</v>
      </c>
      <c r="H141" s="2" t="s">
        <v>59</v>
      </c>
      <c r="I141" s="2" t="s">
        <v>320</v>
      </c>
      <c r="J141" s="2" t="s">
        <v>321</v>
      </c>
      <c r="K141" s="2" t="s">
        <v>322</v>
      </c>
      <c r="L141" s="2" t="s">
        <v>323</v>
      </c>
      <c r="M141" s="2" t="s">
        <v>39</v>
      </c>
      <c r="N141" s="2" t="s">
        <v>2343</v>
      </c>
      <c r="O141" s="2" t="s">
        <v>40</v>
      </c>
      <c r="P141" s="2"/>
      <c r="Q141" s="2"/>
      <c r="R141" s="2"/>
      <c r="S141" s="2"/>
      <c r="T141" s="2" t="s">
        <v>2344</v>
      </c>
      <c r="U141" s="2" t="s">
        <v>2345</v>
      </c>
      <c r="V141" s="2"/>
      <c r="W141" s="3"/>
      <c r="X141" s="2"/>
      <c r="Y141" s="2"/>
      <c r="Z141" s="2"/>
      <c r="AA141" s="2"/>
      <c r="AB141" s="2"/>
      <c r="AC141" s="2"/>
      <c r="AD141" s="2"/>
      <c r="AE141" s="2"/>
    </row>
    <row r="142" spans="1:31" ht="276">
      <c r="A142" s="2" t="s">
        <v>763</v>
      </c>
      <c r="B142" s="2" t="s">
        <v>764</v>
      </c>
      <c r="C142" s="2" t="str">
        <f>sheet13[[#This Row],[Nombre]]&amp;sheet13[[#This Row],[Bp Id]]</f>
        <v>Administrador de Líneas de CréditoRIS0002</v>
      </c>
      <c r="D142" s="2" t="str">
        <f>VLOOKUP(sheet13[[#This Row],[Columna1]],Sheet2!C:S,4,FALSE)</f>
        <v>Operativo</v>
      </c>
      <c r="E142" s="2" t="s">
        <v>765</v>
      </c>
      <c r="F142" s="2" t="s">
        <v>32</v>
      </c>
      <c r="G142" s="2" t="s">
        <v>48</v>
      </c>
      <c r="H142" s="2" t="s">
        <v>34</v>
      </c>
      <c r="I142" s="2" t="s">
        <v>320</v>
      </c>
      <c r="J142" s="2" t="s">
        <v>321</v>
      </c>
      <c r="K142" s="2" t="s">
        <v>321</v>
      </c>
      <c r="L142" s="2" t="s">
        <v>323</v>
      </c>
      <c r="M142" s="2" t="s">
        <v>39</v>
      </c>
      <c r="N142" s="2" t="s">
        <v>2343</v>
      </c>
      <c r="O142" s="2" t="s">
        <v>40</v>
      </c>
      <c r="P142" s="2" t="s">
        <v>41</v>
      </c>
      <c r="Q142" s="2" t="s">
        <v>53</v>
      </c>
      <c r="R142" s="2" t="s">
        <v>53</v>
      </c>
      <c r="S142" s="2" t="s">
        <v>41</v>
      </c>
      <c r="T142" s="2"/>
      <c r="U142" s="2" t="s">
        <v>41</v>
      </c>
      <c r="V142" s="2" t="s">
        <v>119</v>
      </c>
      <c r="W142" s="3">
        <v>45199</v>
      </c>
      <c r="X142" s="2"/>
      <c r="Y142" s="2" t="s">
        <v>100</v>
      </c>
      <c r="Z142" s="2"/>
      <c r="AA142" s="2" t="s">
        <v>147</v>
      </c>
      <c r="AB142" s="2" t="s">
        <v>147</v>
      </c>
      <c r="AC142" s="2"/>
      <c r="AD142" s="2"/>
      <c r="AE142" s="2"/>
    </row>
    <row r="143" spans="1:31" ht="338.45">
      <c r="A143" s="2" t="s">
        <v>766</v>
      </c>
      <c r="B143" s="2" t="s">
        <v>767</v>
      </c>
      <c r="C143" s="2" t="str">
        <f>sheet13[[#This Row],[Nombre]]&amp;sheet13[[#This Row],[Bp Id]]</f>
        <v>Administrador de ParámetrosPRD0034</v>
      </c>
      <c r="D143" s="2" t="str">
        <f>VLOOKUP(sheet13[[#This Row],[Columna1]],Sheet2!C:S,4,FALSE)</f>
        <v>Operativo</v>
      </c>
      <c r="E143" s="2" t="s">
        <v>768</v>
      </c>
      <c r="F143" s="2" t="s">
        <v>32</v>
      </c>
      <c r="G143" s="2" t="s">
        <v>76</v>
      </c>
      <c r="H143" s="2" t="s">
        <v>34</v>
      </c>
      <c r="I143" s="2" t="s">
        <v>141</v>
      </c>
      <c r="J143" s="2" t="s">
        <v>151</v>
      </c>
      <c r="K143" s="2" t="s">
        <v>769</v>
      </c>
      <c r="L143" s="2" t="s">
        <v>770</v>
      </c>
      <c r="M143" s="2" t="s">
        <v>39</v>
      </c>
      <c r="N143" s="2" t="s">
        <v>2343</v>
      </c>
      <c r="O143" s="2" t="s">
        <v>40</v>
      </c>
      <c r="P143" s="2" t="s">
        <v>41</v>
      </c>
      <c r="Q143" s="2" t="s">
        <v>42</v>
      </c>
      <c r="R143" s="2" t="s">
        <v>247</v>
      </c>
      <c r="S143" s="2" t="s">
        <v>41</v>
      </c>
      <c r="T143" s="2" t="s">
        <v>2344</v>
      </c>
      <c r="U143" s="2" t="s">
        <v>43</v>
      </c>
      <c r="V143" s="2"/>
      <c r="W143" s="3"/>
      <c r="X143" s="2"/>
      <c r="Y143" s="2"/>
      <c r="Z143" s="2"/>
      <c r="AA143" s="2"/>
      <c r="AB143" s="2"/>
      <c r="AC143" s="2" t="s">
        <v>771</v>
      </c>
      <c r="AD143" s="2"/>
      <c r="AE143" s="2" t="s">
        <v>264</v>
      </c>
    </row>
    <row r="144" spans="1:31" ht="113.45">
      <c r="A144" s="2" t="s">
        <v>772</v>
      </c>
      <c r="B144" s="2" t="s">
        <v>773</v>
      </c>
      <c r="C144" s="2" t="str">
        <f>sheet13[[#This Row],[Nombre]]&amp;sheet13[[#This Row],[Bp Id]]</f>
        <v>Administrador de ReportesGOB0001</v>
      </c>
      <c r="D144" s="2" t="str">
        <f>VLOOKUP(sheet13[[#This Row],[Columna1]],Sheet2!C:S,4,FALSE)</f>
        <v>Retirado</v>
      </c>
      <c r="E144" s="2" t="s">
        <v>774</v>
      </c>
      <c r="F144" s="2" t="s">
        <v>47</v>
      </c>
      <c r="G144" s="2" t="s">
        <v>48</v>
      </c>
      <c r="H144" s="2" t="s">
        <v>34</v>
      </c>
      <c r="I144" s="2" t="s">
        <v>328</v>
      </c>
      <c r="J144" s="2" t="s">
        <v>329</v>
      </c>
      <c r="K144" s="2" t="s">
        <v>646</v>
      </c>
      <c r="L144" s="2" t="s">
        <v>775</v>
      </c>
      <c r="M144" s="2" t="s">
        <v>39</v>
      </c>
      <c r="N144" s="2" t="s">
        <v>2345</v>
      </c>
      <c r="O144" s="2" t="s">
        <v>40</v>
      </c>
      <c r="P144" s="2" t="s">
        <v>41</v>
      </c>
      <c r="Q144" s="2"/>
      <c r="R144" s="2"/>
      <c r="S144" s="2" t="s">
        <v>41</v>
      </c>
      <c r="T144" s="2" t="str">
        <f>VLOOKUP(sheet13[[#This Row],[Nombre]],[1]Hoja1!A:B,2,FALSE)</f>
        <v>FASE 2</v>
      </c>
      <c r="U144" s="2" t="s">
        <v>43</v>
      </c>
      <c r="V144" s="2" t="s">
        <v>193</v>
      </c>
      <c r="W144" s="3"/>
      <c r="X144" s="2"/>
      <c r="Y144" s="2"/>
      <c r="Z144" s="2"/>
      <c r="AA144" s="2"/>
      <c r="AB144" s="2"/>
      <c r="AC144" s="2"/>
      <c r="AD144" s="2"/>
      <c r="AE144" s="2"/>
    </row>
    <row r="145" spans="1:31" ht="213.6">
      <c r="A145" s="2" t="s">
        <v>776</v>
      </c>
      <c r="B145" s="2" t="s">
        <v>777</v>
      </c>
      <c r="C145" s="2" t="str">
        <f>sheet13[[#This Row],[Nombre]]&amp;sheet13[[#This Row],[Bp Id]]</f>
        <v>Administrador OmnicanalCHL0003</v>
      </c>
      <c r="D145" s="2" t="str">
        <f>VLOOKUP(sheet13[[#This Row],[Columna1]],Sheet2!C:S,4,FALSE)</f>
        <v>Operativo</v>
      </c>
      <c r="E145" s="2" t="s">
        <v>778</v>
      </c>
      <c r="F145" s="2" t="s">
        <v>32</v>
      </c>
      <c r="G145" s="2" t="s">
        <v>76</v>
      </c>
      <c r="H145" s="2" t="s">
        <v>34</v>
      </c>
      <c r="I145" s="2" t="s">
        <v>35</v>
      </c>
      <c r="J145" s="2" t="s">
        <v>394</v>
      </c>
      <c r="K145" s="2" t="s">
        <v>395</v>
      </c>
      <c r="L145" s="2" t="s">
        <v>394</v>
      </c>
      <c r="M145" s="2" t="s">
        <v>39</v>
      </c>
      <c r="N145" s="2" t="s">
        <v>2343</v>
      </c>
      <c r="O145" s="2" t="s">
        <v>40</v>
      </c>
      <c r="P145" s="2" t="s">
        <v>43</v>
      </c>
      <c r="Q145" s="2" t="s">
        <v>42</v>
      </c>
      <c r="R145" s="2" t="s">
        <v>42</v>
      </c>
      <c r="S145" s="2" t="s">
        <v>41</v>
      </c>
      <c r="T145" s="2"/>
      <c r="U145" s="2" t="s">
        <v>41</v>
      </c>
      <c r="V145" s="2" t="s">
        <v>779</v>
      </c>
      <c r="W145" s="3">
        <v>45200</v>
      </c>
      <c r="X145" s="2" t="s">
        <v>780</v>
      </c>
      <c r="Y145" s="2" t="s">
        <v>125</v>
      </c>
      <c r="Z145" s="2" t="s">
        <v>262</v>
      </c>
      <c r="AA145" s="2" t="s">
        <v>147</v>
      </c>
      <c r="AB145" s="2" t="s">
        <v>127</v>
      </c>
      <c r="AC145" s="2" t="s">
        <v>263</v>
      </c>
      <c r="AD145" s="2" t="s">
        <v>129</v>
      </c>
      <c r="AE145" s="2" t="s">
        <v>781</v>
      </c>
    </row>
    <row r="146" spans="1:31" ht="313.5">
      <c r="A146" s="2" t="s">
        <v>782</v>
      </c>
      <c r="B146" s="2" t="s">
        <v>783</v>
      </c>
      <c r="C146" s="2" t="str">
        <f>sheet13[[#This Row],[Nombre]]&amp;sheet13[[#This Row],[Bp Id]]</f>
        <v>Administrador ReferenciasPRD0001</v>
      </c>
      <c r="D146" s="2" t="str">
        <f>VLOOKUP(sheet13[[#This Row],[Columna1]],Sheet2!C:S,4,FALSE)</f>
        <v>Retirado</v>
      </c>
      <c r="E146" s="2" t="s">
        <v>784</v>
      </c>
      <c r="F146" s="2" t="s">
        <v>47</v>
      </c>
      <c r="G146" s="2" t="s">
        <v>48</v>
      </c>
      <c r="H146" s="2" t="s">
        <v>34</v>
      </c>
      <c r="I146" s="2" t="s">
        <v>553</v>
      </c>
      <c r="J146" s="2" t="s">
        <v>554</v>
      </c>
      <c r="K146" s="2" t="s">
        <v>117</v>
      </c>
      <c r="L146" s="2" t="s">
        <v>785</v>
      </c>
      <c r="M146" s="2" t="s">
        <v>39</v>
      </c>
      <c r="N146" s="2" t="s">
        <v>2345</v>
      </c>
      <c r="O146" s="2" t="s">
        <v>40</v>
      </c>
      <c r="P146" s="2" t="s">
        <v>41</v>
      </c>
      <c r="Q146" s="2" t="s">
        <v>53</v>
      </c>
      <c r="R146" s="2" t="s">
        <v>53</v>
      </c>
      <c r="S146" s="2" t="s">
        <v>41</v>
      </c>
      <c r="T146" s="2"/>
      <c r="U146" s="2" t="s">
        <v>41</v>
      </c>
      <c r="V146" s="2" t="s">
        <v>786</v>
      </c>
      <c r="W146" s="3">
        <v>45199</v>
      </c>
      <c r="X146" s="2"/>
      <c r="Y146" s="2" t="s">
        <v>100</v>
      </c>
      <c r="Z146" s="2"/>
      <c r="AA146" s="2"/>
      <c r="AB146" s="2"/>
      <c r="AC146" s="2"/>
      <c r="AD146" s="2"/>
      <c r="AE146" s="2"/>
    </row>
    <row r="147" spans="1:31" ht="225.95">
      <c r="A147" s="2" t="s">
        <v>787</v>
      </c>
      <c r="B147" s="2" t="s">
        <v>788</v>
      </c>
      <c r="C147" s="2" t="str">
        <f>sheet13[[#This Row],[Nombre]]&amp;sheet13[[#This Row],[Bp Id]]</f>
        <v>Operación de Estructuras Normativas UAFE / RMLGOB0002</v>
      </c>
      <c r="D147" s="2" t="str">
        <f>VLOOKUP(sheet13[[#This Row],[Columna1]],Sheet2!C:S,4,FALSE)</f>
        <v>Operativo</v>
      </c>
      <c r="E147" s="2" t="s">
        <v>789</v>
      </c>
      <c r="F147" s="2" t="s">
        <v>32</v>
      </c>
      <c r="G147" s="2" t="s">
        <v>48</v>
      </c>
      <c r="H147" s="2" t="s">
        <v>34</v>
      </c>
      <c r="I147" s="2" t="s">
        <v>328</v>
      </c>
      <c r="J147" s="2" t="s">
        <v>329</v>
      </c>
      <c r="K147" s="2" t="s">
        <v>790</v>
      </c>
      <c r="L147" s="2" t="s">
        <v>775</v>
      </c>
      <c r="M147" s="2" t="s">
        <v>39</v>
      </c>
      <c r="N147" s="2" t="s">
        <v>2343</v>
      </c>
      <c r="O147" s="2" t="s">
        <v>40</v>
      </c>
      <c r="P147" s="2" t="s">
        <v>43</v>
      </c>
      <c r="Q147" s="2" t="s">
        <v>247</v>
      </c>
      <c r="R147" s="2" t="s">
        <v>247</v>
      </c>
      <c r="S147" s="2" t="s">
        <v>43</v>
      </c>
      <c r="T147" s="2" t="s">
        <v>2344</v>
      </c>
      <c r="U147" s="2" t="s">
        <v>43</v>
      </c>
      <c r="V147" s="2" t="s">
        <v>791</v>
      </c>
      <c r="W147" s="3"/>
      <c r="X147" s="2"/>
      <c r="Y147" s="2"/>
      <c r="Z147" s="2"/>
      <c r="AA147" s="2"/>
      <c r="AB147" s="2"/>
      <c r="AC147" s="2"/>
      <c r="AD147" s="2"/>
      <c r="AE147" s="2"/>
    </row>
    <row r="148" spans="1:31" ht="101.1">
      <c r="A148" s="2" t="s">
        <v>792</v>
      </c>
      <c r="B148" s="2" t="s">
        <v>793</v>
      </c>
      <c r="C148" s="2" t="str">
        <f>sheet13[[#This Row],[Nombre]]&amp;sheet13[[#This Row],[Bp Id]]</f>
        <v>Adobe suiteEDC0001</v>
      </c>
      <c r="D148" s="2" t="str">
        <f>VLOOKUP(sheet13[[#This Row],[Columna1]],Sheet2!C:S,4,FALSE)</f>
        <v>Operativo</v>
      </c>
      <c r="E148" s="2" t="s">
        <v>794</v>
      </c>
      <c r="F148" s="2" t="s">
        <v>32</v>
      </c>
      <c r="G148" s="2" t="s">
        <v>48</v>
      </c>
      <c r="H148" s="2" t="s">
        <v>59</v>
      </c>
      <c r="I148" s="2" t="s">
        <v>294</v>
      </c>
      <c r="J148" s="2" t="s">
        <v>88</v>
      </c>
      <c r="K148" s="2" t="s">
        <v>295</v>
      </c>
      <c r="L148" s="2" t="s">
        <v>295</v>
      </c>
      <c r="M148" s="2" t="s">
        <v>296</v>
      </c>
      <c r="N148" s="2" t="s">
        <v>2343</v>
      </c>
      <c r="O148" s="2" t="s">
        <v>40</v>
      </c>
      <c r="P148" s="2" t="s">
        <v>41</v>
      </c>
      <c r="Q148" s="2" t="s">
        <v>53</v>
      </c>
      <c r="R148" s="2" t="s">
        <v>53</v>
      </c>
      <c r="S148" s="2" t="s">
        <v>43</v>
      </c>
      <c r="T148" s="2" t="s">
        <v>2344</v>
      </c>
      <c r="U148" s="2" t="s">
        <v>43</v>
      </c>
      <c r="V148" s="2"/>
      <c r="W148" s="3"/>
      <c r="X148" s="2"/>
      <c r="Y148" s="2"/>
      <c r="Z148" s="2"/>
      <c r="AA148" s="2"/>
      <c r="AB148" s="2"/>
      <c r="AC148" s="2"/>
      <c r="AD148" s="2"/>
      <c r="AE148" s="2"/>
    </row>
    <row r="149" spans="1:31" ht="75.95">
      <c r="A149" s="2" t="s">
        <v>795</v>
      </c>
      <c r="B149" s="2" t="s">
        <v>796</v>
      </c>
      <c r="C149" s="2" t="str">
        <f>sheet13[[#This Row],[Nombre]]&amp;sheet13[[#This Row],[Bp Id]]</f>
        <v>Akamai WAFSEC0002</v>
      </c>
      <c r="D149" s="2" t="str">
        <f>VLOOKUP(sheet13[[#This Row],[Columna1]],Sheet2!C:S,4,FALSE)</f>
        <v>Operativo</v>
      </c>
      <c r="E149" s="2" t="s">
        <v>139</v>
      </c>
      <c r="F149" s="2" t="s">
        <v>32</v>
      </c>
      <c r="G149" s="2" t="s">
        <v>123</v>
      </c>
      <c r="H149" s="2" t="s">
        <v>59</v>
      </c>
      <c r="I149" s="2" t="s">
        <v>2348</v>
      </c>
      <c r="J149" s="2" t="s">
        <v>2349</v>
      </c>
      <c r="K149" s="2" t="s">
        <v>176</v>
      </c>
      <c r="L149" s="2" t="s">
        <v>218</v>
      </c>
      <c r="M149" s="2" t="s">
        <v>111</v>
      </c>
      <c r="N149" s="2" t="s">
        <v>2343</v>
      </c>
      <c r="O149" s="2" t="s">
        <v>40</v>
      </c>
      <c r="P149" s="2" t="s">
        <v>41</v>
      </c>
      <c r="Q149" s="2" t="s">
        <v>64</v>
      </c>
      <c r="R149" s="2" t="s">
        <v>53</v>
      </c>
      <c r="S149" s="2" t="s">
        <v>41</v>
      </c>
      <c r="T149" s="2"/>
      <c r="U149" s="2" t="s">
        <v>41</v>
      </c>
      <c r="V149" s="2"/>
      <c r="W149" s="3">
        <v>45730</v>
      </c>
      <c r="X149" s="2"/>
      <c r="Y149" s="2" t="s">
        <v>252</v>
      </c>
      <c r="Z149" s="2" t="s">
        <v>100</v>
      </c>
      <c r="AA149" s="2" t="s">
        <v>127</v>
      </c>
      <c r="AB149" s="2" t="s">
        <v>127</v>
      </c>
      <c r="AC149" s="2" t="s">
        <v>180</v>
      </c>
      <c r="AD149" s="2" t="s">
        <v>129</v>
      </c>
      <c r="AE149" s="2" t="s">
        <v>797</v>
      </c>
    </row>
    <row r="150" spans="1:31" ht="75.95">
      <c r="A150" s="2" t="s">
        <v>798</v>
      </c>
      <c r="B150" s="2" t="s">
        <v>799</v>
      </c>
      <c r="C150" s="2" t="str">
        <f>sheet13[[#This Row],[Nombre]]&amp;sheet13[[#This Row],[Bp Id]]</f>
        <v>AlarmnetSEC0043</v>
      </c>
      <c r="D150" s="2" t="str">
        <f>VLOOKUP(sheet13[[#This Row],[Columna1]],Sheet2!C:S,4,FALSE)</f>
        <v>Operativo</v>
      </c>
      <c r="E150" s="2" t="s">
        <v>800</v>
      </c>
      <c r="F150" s="2" t="s">
        <v>32</v>
      </c>
      <c r="G150" s="2" t="s">
        <v>48</v>
      </c>
      <c r="H150" s="2" t="s">
        <v>34</v>
      </c>
      <c r="I150" s="2" t="s">
        <v>2348</v>
      </c>
      <c r="J150" s="2" t="s">
        <v>546</v>
      </c>
      <c r="K150" s="2" t="s">
        <v>176</v>
      </c>
      <c r="L150" s="2" t="s">
        <v>412</v>
      </c>
      <c r="M150" s="2" t="s">
        <v>63</v>
      </c>
      <c r="N150" s="2" t="s">
        <v>2343</v>
      </c>
      <c r="O150" s="2" t="s">
        <v>40</v>
      </c>
      <c r="P150" s="2" t="s">
        <v>41</v>
      </c>
      <c r="Q150" s="2" t="s">
        <v>53</v>
      </c>
      <c r="R150" s="2" t="s">
        <v>53</v>
      </c>
      <c r="S150" s="2" t="s">
        <v>43</v>
      </c>
      <c r="T150" s="2" t="s">
        <v>2344</v>
      </c>
      <c r="U150" s="2" t="s">
        <v>43</v>
      </c>
      <c r="V150" s="2"/>
      <c r="W150" s="3"/>
      <c r="X150" s="2"/>
      <c r="Y150" s="2"/>
      <c r="Z150" s="2"/>
      <c r="AA150" s="2"/>
      <c r="AB150" s="2"/>
      <c r="AC150" s="2"/>
      <c r="AD150" s="2"/>
      <c r="AE150" s="2"/>
    </row>
    <row r="151" spans="1:31" ht="63.6">
      <c r="A151" s="2" t="s">
        <v>801</v>
      </c>
      <c r="B151" s="2" t="s">
        <v>802</v>
      </c>
      <c r="C151" s="2" t="str">
        <f>sheet13[[#This Row],[Nombre]]&amp;sheet13[[#This Row],[Bp Id]]</f>
        <v>FIREEYE AFO_DSEC0067</v>
      </c>
      <c r="D151" s="2" t="str">
        <f>VLOOKUP(sheet13[[#This Row],[Columna1]],Sheet2!C:S,4,FALSE)</f>
        <v>Retirado</v>
      </c>
      <c r="E151" s="2" t="s">
        <v>432</v>
      </c>
      <c r="F151" s="2" t="s">
        <v>47</v>
      </c>
      <c r="G151" s="2" t="s">
        <v>48</v>
      </c>
      <c r="H151" s="2" t="s">
        <v>34</v>
      </c>
      <c r="I151" s="2" t="s">
        <v>2346</v>
      </c>
      <c r="J151" s="2" t="s">
        <v>176</v>
      </c>
      <c r="K151" s="2"/>
      <c r="L151" s="2" t="s">
        <v>803</v>
      </c>
      <c r="M151" s="2" t="s">
        <v>111</v>
      </c>
      <c r="N151" s="2" t="s">
        <v>2345</v>
      </c>
      <c r="O151" s="2" t="s">
        <v>40</v>
      </c>
      <c r="P151" s="2" t="s">
        <v>41</v>
      </c>
      <c r="Q151" s="2" t="s">
        <v>42</v>
      </c>
      <c r="R151" s="2" t="s">
        <v>42</v>
      </c>
      <c r="S151" s="2" t="s">
        <v>41</v>
      </c>
      <c r="T151" s="2"/>
      <c r="U151" s="2" t="s">
        <v>43</v>
      </c>
      <c r="V151" s="2"/>
      <c r="W151" s="3"/>
      <c r="X151" s="2"/>
      <c r="Y151" s="2"/>
      <c r="Z151" s="2"/>
      <c r="AA151" s="2"/>
      <c r="AB151" s="2"/>
      <c r="AC151" s="2"/>
      <c r="AD151" s="2"/>
      <c r="AE151" s="2"/>
    </row>
    <row r="152" spans="1:31" ht="288.60000000000002">
      <c r="A152" s="2" t="s">
        <v>804</v>
      </c>
      <c r="B152" s="2" t="s">
        <v>805</v>
      </c>
      <c r="C152" s="2" t="str">
        <f>sheet13[[#This Row],[Nombre]]&amp;sheet13[[#This Row],[Bp Id]]</f>
        <v>FiremonSEC0021</v>
      </c>
      <c r="D152" s="2" t="str">
        <f>VLOOKUP(sheet13[[#This Row],[Columna1]],Sheet2!C:S,4,FALSE)</f>
        <v>Operativo</v>
      </c>
      <c r="E152" s="2" t="s">
        <v>806</v>
      </c>
      <c r="F152" s="2" t="s">
        <v>32</v>
      </c>
      <c r="G152" s="2" t="s">
        <v>48</v>
      </c>
      <c r="H152" s="2" t="s">
        <v>34</v>
      </c>
      <c r="I152" s="2" t="s">
        <v>2348</v>
      </c>
      <c r="J152" s="2" t="s">
        <v>177</v>
      </c>
      <c r="K152" s="2" t="s">
        <v>176</v>
      </c>
      <c r="L152" s="2" t="s">
        <v>219</v>
      </c>
      <c r="M152" s="2" t="s">
        <v>111</v>
      </c>
      <c r="N152" s="2" t="s">
        <v>2343</v>
      </c>
      <c r="O152" s="2" t="s">
        <v>40</v>
      </c>
      <c r="P152" s="2" t="s">
        <v>41</v>
      </c>
      <c r="Q152" s="2" t="s">
        <v>53</v>
      </c>
      <c r="R152" s="2" t="s">
        <v>53</v>
      </c>
      <c r="S152" s="2" t="s">
        <v>41</v>
      </c>
      <c r="T152" s="2"/>
      <c r="U152" s="2" t="s">
        <v>41</v>
      </c>
      <c r="V152" s="2"/>
      <c r="W152" s="3">
        <v>45665</v>
      </c>
      <c r="X152" s="2"/>
      <c r="Y152" s="2"/>
      <c r="Z152" s="2"/>
      <c r="AA152" s="2" t="s">
        <v>127</v>
      </c>
      <c r="AB152" s="2" t="s">
        <v>127</v>
      </c>
      <c r="AC152" s="2" t="s">
        <v>180</v>
      </c>
      <c r="AD152" s="2"/>
      <c r="AE152" s="2" t="s">
        <v>807</v>
      </c>
    </row>
    <row r="153" spans="1:31" ht="126">
      <c r="A153" s="2" t="s">
        <v>808</v>
      </c>
      <c r="B153" s="2" t="s">
        <v>809</v>
      </c>
      <c r="C153" s="2" t="str">
        <f>sheet13[[#This Row],[Nombre]]&amp;sheet13[[#This Row],[Bp Id]]</f>
        <v>Firma ElectrónicaEDC0009</v>
      </c>
      <c r="D153" s="2" t="str">
        <f>VLOOKUP(sheet13[[#This Row],[Columna1]],Sheet2!C:S,4,FALSE)</f>
        <v>Operativo</v>
      </c>
      <c r="E153" s="2" t="s">
        <v>810</v>
      </c>
      <c r="F153" s="2" t="s">
        <v>32</v>
      </c>
      <c r="G153" s="2" t="s">
        <v>48</v>
      </c>
      <c r="H153" s="2" t="s">
        <v>34</v>
      </c>
      <c r="I153" s="2" t="s">
        <v>487</v>
      </c>
      <c r="J153" s="2" t="s">
        <v>488</v>
      </c>
      <c r="K153" s="2" t="s">
        <v>489</v>
      </c>
      <c r="L153" s="2" t="s">
        <v>490</v>
      </c>
      <c r="M153" s="2" t="s">
        <v>161</v>
      </c>
      <c r="N153" s="2" t="s">
        <v>2345</v>
      </c>
      <c r="O153" s="2" t="s">
        <v>40</v>
      </c>
      <c r="P153" s="2" t="s">
        <v>41</v>
      </c>
      <c r="Q153" s="2" t="s">
        <v>42</v>
      </c>
      <c r="R153" s="2" t="s">
        <v>42</v>
      </c>
      <c r="S153" s="2" t="s">
        <v>43</v>
      </c>
      <c r="T153" s="2"/>
      <c r="U153" s="2" t="s">
        <v>43</v>
      </c>
      <c r="V153" s="2"/>
      <c r="W153" s="3"/>
      <c r="X153" s="2"/>
      <c r="Y153" s="2"/>
      <c r="Z153" s="2"/>
      <c r="AA153" s="2"/>
      <c r="AB153" s="2"/>
      <c r="AC153" s="2"/>
      <c r="AD153" s="2"/>
      <c r="AE153" s="2"/>
    </row>
    <row r="154" spans="1:31" ht="163.5">
      <c r="A154" s="2" t="s">
        <v>811</v>
      </c>
      <c r="B154" s="2" t="s">
        <v>812</v>
      </c>
      <c r="C154" s="2" t="str">
        <f>sheet13[[#This Row],[Nombre]]&amp;sheet13[[#This Row],[Bp Id]]</f>
        <v>FLUID ARMSEC0054</v>
      </c>
      <c r="D154" s="2" t="str">
        <f>VLOOKUP(sheet13[[#This Row],[Columna1]],Sheet2!C:S,4,FALSE)</f>
        <v>Retirado</v>
      </c>
      <c r="E154" s="2" t="s">
        <v>813</v>
      </c>
      <c r="F154" s="2" t="s">
        <v>47</v>
      </c>
      <c r="G154" s="2" t="s">
        <v>58</v>
      </c>
      <c r="H154" s="2" t="s">
        <v>140</v>
      </c>
      <c r="I154" s="2" t="s">
        <v>2346</v>
      </c>
      <c r="J154" s="2" t="s">
        <v>814</v>
      </c>
      <c r="K154" s="2" t="s">
        <v>815</v>
      </c>
      <c r="L154" s="2" t="s">
        <v>814</v>
      </c>
      <c r="M154" s="2" t="s">
        <v>111</v>
      </c>
      <c r="N154" s="2" t="s">
        <v>2345</v>
      </c>
      <c r="O154" s="2" t="s">
        <v>40</v>
      </c>
      <c r="P154" s="2" t="s">
        <v>41</v>
      </c>
      <c r="Q154" s="2" t="s">
        <v>53</v>
      </c>
      <c r="R154" s="2" t="s">
        <v>53</v>
      </c>
      <c r="S154" s="2" t="s">
        <v>41</v>
      </c>
      <c r="T154" s="2"/>
      <c r="U154" s="2" t="s">
        <v>43</v>
      </c>
      <c r="V154" s="2"/>
      <c r="W154" s="3"/>
      <c r="X154" s="2"/>
      <c r="Y154" s="2"/>
      <c r="Z154" s="2"/>
      <c r="AA154" s="2"/>
      <c r="AB154" s="2"/>
      <c r="AC154" s="2"/>
      <c r="AD154" s="2"/>
      <c r="AE154" s="2"/>
    </row>
    <row r="155" spans="1:31" ht="238.5">
      <c r="A155" s="2" t="s">
        <v>816</v>
      </c>
      <c r="B155" s="2" t="s">
        <v>817</v>
      </c>
      <c r="C155" s="2" t="str">
        <f>sheet13[[#This Row],[Nombre]]&amp;sheet13[[#This Row],[Bp Id]]</f>
        <v>Forcepoint DLPSEC0022</v>
      </c>
      <c r="D155" s="2" t="str">
        <f>VLOOKUP(sheet13[[#This Row],[Columna1]],Sheet2!C:S,4,FALSE)</f>
        <v>Operativo</v>
      </c>
      <c r="E155" s="2" t="s">
        <v>818</v>
      </c>
      <c r="F155" s="2" t="s">
        <v>32</v>
      </c>
      <c r="G155" s="2" t="s">
        <v>48</v>
      </c>
      <c r="H155" s="2" t="s">
        <v>34</v>
      </c>
      <c r="I155" s="2" t="s">
        <v>2348</v>
      </c>
      <c r="J155" s="2" t="s">
        <v>218</v>
      </c>
      <c r="K155" s="2" t="s">
        <v>176</v>
      </c>
      <c r="L155" s="2" t="s">
        <v>219</v>
      </c>
      <c r="M155" s="2" t="s">
        <v>111</v>
      </c>
      <c r="N155" s="2" t="s">
        <v>2343</v>
      </c>
      <c r="O155" s="2" t="s">
        <v>40</v>
      </c>
      <c r="P155" s="2" t="s">
        <v>41</v>
      </c>
      <c r="Q155" s="2" t="s">
        <v>42</v>
      </c>
      <c r="R155" s="2" t="s">
        <v>53</v>
      </c>
      <c r="S155" s="2" t="s">
        <v>41</v>
      </c>
      <c r="T155" s="2"/>
      <c r="U155" s="2" t="s">
        <v>41</v>
      </c>
      <c r="V155" s="2" t="s">
        <v>819</v>
      </c>
      <c r="W155" s="3">
        <v>45657</v>
      </c>
      <c r="X155" s="2" t="s">
        <v>820</v>
      </c>
      <c r="Y155" s="2" t="s">
        <v>375</v>
      </c>
      <c r="Z155" s="2" t="s">
        <v>253</v>
      </c>
      <c r="AA155" s="2" t="s">
        <v>127</v>
      </c>
      <c r="AB155" s="2" t="s">
        <v>127</v>
      </c>
      <c r="AC155" s="2" t="s">
        <v>180</v>
      </c>
      <c r="AD155" s="2" t="s">
        <v>129</v>
      </c>
      <c r="AE155" s="2" t="s">
        <v>821</v>
      </c>
    </row>
    <row r="156" spans="1:31" ht="63.6">
      <c r="A156" s="2" t="s">
        <v>822</v>
      </c>
      <c r="B156" s="2" t="s">
        <v>823</v>
      </c>
      <c r="C156" s="2" t="str">
        <f>sheet13[[#This Row],[Nombre]]&amp;sheet13[[#This Row],[Bp Id]]</f>
        <v>Formularios del PortalCUS0009</v>
      </c>
      <c r="D156" s="2" t="str">
        <f>VLOOKUP(sheet13[[#This Row],[Columna1]],Sheet2!C:S,4,FALSE)</f>
        <v>Retirado</v>
      </c>
      <c r="E156" s="2" t="s">
        <v>139</v>
      </c>
      <c r="F156" s="2" t="s">
        <v>47</v>
      </c>
      <c r="G156" s="2" t="s">
        <v>48</v>
      </c>
      <c r="H156" s="2" t="s">
        <v>59</v>
      </c>
      <c r="I156" s="2" t="s">
        <v>134</v>
      </c>
      <c r="J156" s="2" t="s">
        <v>88</v>
      </c>
      <c r="K156" s="2" t="s">
        <v>135</v>
      </c>
      <c r="L156" s="2" t="s">
        <v>480</v>
      </c>
      <c r="M156" s="2" t="s">
        <v>161</v>
      </c>
      <c r="N156" s="2" t="s">
        <v>2345</v>
      </c>
      <c r="O156" s="2" t="s">
        <v>40</v>
      </c>
      <c r="P156" s="2" t="s">
        <v>43</v>
      </c>
      <c r="Q156" s="2" t="s">
        <v>53</v>
      </c>
      <c r="R156" s="2" t="s">
        <v>53</v>
      </c>
      <c r="S156" s="2" t="s">
        <v>43</v>
      </c>
      <c r="T156" s="2"/>
      <c r="U156" s="2" t="s">
        <v>43</v>
      </c>
      <c r="V156" s="2"/>
      <c r="W156" s="3"/>
      <c r="X156" s="2"/>
      <c r="Y156" s="2"/>
      <c r="Z156" s="2"/>
      <c r="AA156" s="2"/>
      <c r="AB156" s="2"/>
      <c r="AC156" s="2"/>
      <c r="AD156" s="2"/>
      <c r="AE156" s="2"/>
    </row>
    <row r="157" spans="1:31" ht="409.6">
      <c r="A157" s="2" t="s">
        <v>824</v>
      </c>
      <c r="B157" s="2" t="s">
        <v>825</v>
      </c>
      <c r="C157" s="2" t="str">
        <f>sheet13[[#This Row],[Nombre]]&amp;sheet13[[#This Row],[Bp Id]]</f>
        <v>FortifySEC0023</v>
      </c>
      <c r="D157" s="2" t="str">
        <f>VLOOKUP(sheet13[[#This Row],[Columna1]],Sheet2!C:S,4,FALSE)</f>
        <v>Retirado</v>
      </c>
      <c r="E157" s="2" t="s">
        <v>826</v>
      </c>
      <c r="F157" s="2" t="s">
        <v>47</v>
      </c>
      <c r="G157" s="2" t="s">
        <v>76</v>
      </c>
      <c r="H157" s="2" t="s">
        <v>34</v>
      </c>
      <c r="I157" s="2" t="s">
        <v>2346</v>
      </c>
      <c r="J157" s="2" t="s">
        <v>272</v>
      </c>
      <c r="K157" s="2" t="s">
        <v>176</v>
      </c>
      <c r="L157" s="2" t="s">
        <v>214</v>
      </c>
      <c r="M157" s="2" t="s">
        <v>111</v>
      </c>
      <c r="N157" s="2" t="s">
        <v>2345</v>
      </c>
      <c r="O157" s="2" t="s">
        <v>40</v>
      </c>
      <c r="P157" s="2" t="s">
        <v>41</v>
      </c>
      <c r="Q157" s="2" t="s">
        <v>53</v>
      </c>
      <c r="R157" s="2" t="s">
        <v>53</v>
      </c>
      <c r="S157" s="2" t="s">
        <v>41</v>
      </c>
      <c r="T157" s="2"/>
      <c r="U157" s="2" t="s">
        <v>43</v>
      </c>
      <c r="V157" s="2"/>
      <c r="W157" s="3"/>
      <c r="X157" s="2"/>
      <c r="Y157" s="2"/>
      <c r="Z157" s="2"/>
      <c r="AA157" s="2"/>
      <c r="AB157" s="2"/>
      <c r="AC157" s="2"/>
      <c r="AD157" s="2"/>
      <c r="AE157" s="2"/>
    </row>
    <row r="158" spans="1:31" ht="75.95">
      <c r="A158" s="2" t="s">
        <v>827</v>
      </c>
      <c r="B158" s="2" t="s">
        <v>828</v>
      </c>
      <c r="C158" s="2" t="str">
        <f>sheet13[[#This Row],[Nombre]]&amp;sheet13[[#This Row],[Bp Id]]</f>
        <v>FrontifyEDC0003</v>
      </c>
      <c r="D158" s="2" t="str">
        <f>VLOOKUP(sheet13[[#This Row],[Columna1]],Sheet2!C:S,4,FALSE)</f>
        <v>Operativo</v>
      </c>
      <c r="E158" s="2" t="s">
        <v>829</v>
      </c>
      <c r="F158" s="2" t="s">
        <v>32</v>
      </c>
      <c r="G158" s="2" t="s">
        <v>48</v>
      </c>
      <c r="H158" s="2" t="s">
        <v>59</v>
      </c>
      <c r="I158" s="2" t="s">
        <v>294</v>
      </c>
      <c r="J158" s="2" t="s">
        <v>88</v>
      </c>
      <c r="K158" s="2" t="s">
        <v>295</v>
      </c>
      <c r="L158" s="2" t="s">
        <v>136</v>
      </c>
      <c r="M158" s="2" t="s">
        <v>296</v>
      </c>
      <c r="N158" s="2" t="s">
        <v>2343</v>
      </c>
      <c r="O158" s="2" t="s">
        <v>40</v>
      </c>
      <c r="P158" s="2" t="s">
        <v>41</v>
      </c>
      <c r="Q158" s="2" t="s">
        <v>64</v>
      </c>
      <c r="R158" s="2" t="s">
        <v>64</v>
      </c>
      <c r="S158" s="2" t="s">
        <v>43</v>
      </c>
      <c r="T158" s="2" t="s">
        <v>2344</v>
      </c>
      <c r="U158" s="2" t="s">
        <v>43</v>
      </c>
      <c r="V158" s="2"/>
      <c r="W158" s="3"/>
      <c r="X158" s="2"/>
      <c r="Y158" s="2"/>
      <c r="Z158" s="2"/>
      <c r="AA158" s="2"/>
      <c r="AB158" s="2"/>
      <c r="AC158" s="2"/>
      <c r="AD158" s="2"/>
      <c r="AE158" s="2"/>
    </row>
    <row r="159" spans="1:31" ht="409.6">
      <c r="A159" s="2" t="s">
        <v>830</v>
      </c>
      <c r="B159" s="2" t="s">
        <v>831</v>
      </c>
      <c r="C159" s="2" t="str">
        <f>sheet13[[#This Row],[Nombre]]&amp;sheet13[[#This Row],[Bp Id]]</f>
        <v>GAFCOR0007</v>
      </c>
      <c r="D159" s="2" t="str">
        <f>VLOOKUP(sheet13[[#This Row],[Columna1]],Sheet2!C:S,4,FALSE)</f>
        <v>Operativo</v>
      </c>
      <c r="E159" s="2" t="s">
        <v>832</v>
      </c>
      <c r="F159" s="2" t="s">
        <v>32</v>
      </c>
      <c r="G159" s="2" t="s">
        <v>76</v>
      </c>
      <c r="H159" s="2" t="s">
        <v>34</v>
      </c>
      <c r="I159" s="2" t="s">
        <v>339</v>
      </c>
      <c r="J159" s="2" t="s">
        <v>50</v>
      </c>
      <c r="K159" s="2" t="s">
        <v>833</v>
      </c>
      <c r="L159" s="2" t="s">
        <v>941</v>
      </c>
      <c r="M159" s="2" t="s">
        <v>39</v>
      </c>
      <c r="N159" s="2" t="s">
        <v>2343</v>
      </c>
      <c r="O159" s="2" t="s">
        <v>40</v>
      </c>
      <c r="P159" s="2" t="s">
        <v>41</v>
      </c>
      <c r="Q159" s="2" t="s">
        <v>53</v>
      </c>
      <c r="R159" s="2" t="s">
        <v>53</v>
      </c>
      <c r="S159" s="2" t="s">
        <v>41</v>
      </c>
      <c r="T159" s="2"/>
      <c r="U159" s="2" t="s">
        <v>41</v>
      </c>
      <c r="V159" s="2"/>
      <c r="W159" s="3">
        <v>45200</v>
      </c>
      <c r="X159" s="2"/>
      <c r="Y159" s="2" t="s">
        <v>146</v>
      </c>
      <c r="Z159" s="2" t="s">
        <v>590</v>
      </c>
      <c r="AA159" s="2" t="s">
        <v>147</v>
      </c>
      <c r="AB159" s="2" t="s">
        <v>147</v>
      </c>
      <c r="AC159" s="2" t="s">
        <v>180</v>
      </c>
      <c r="AD159" s="2" t="s">
        <v>129</v>
      </c>
      <c r="AE159" s="2" t="s">
        <v>834</v>
      </c>
    </row>
    <row r="160" spans="1:31" ht="126">
      <c r="A160" s="2" t="s">
        <v>835</v>
      </c>
      <c r="B160" s="2" t="s">
        <v>836</v>
      </c>
      <c r="C160" s="2" t="str">
        <f>sheet13[[#This Row],[Nombre]]&amp;sheet13[[#This Row],[Bp Id]]</f>
        <v>GEENERASUP0007</v>
      </c>
      <c r="D160" s="2" t="str">
        <f>VLOOKUP(sheet13[[#This Row],[Columna1]],Sheet2!C:S,4,FALSE)</f>
        <v>Operativo</v>
      </c>
      <c r="E160" s="2" t="s">
        <v>837</v>
      </c>
      <c r="F160" s="2" t="s">
        <v>32</v>
      </c>
      <c r="G160" s="2" t="s">
        <v>58</v>
      </c>
      <c r="H160" s="2" t="s">
        <v>59</v>
      </c>
      <c r="I160" s="2" t="s">
        <v>225</v>
      </c>
      <c r="J160" s="2" t="s">
        <v>226</v>
      </c>
      <c r="K160" s="2" t="s">
        <v>300</v>
      </c>
      <c r="L160" s="2" t="s">
        <v>268</v>
      </c>
      <c r="M160" s="2" t="s">
        <v>39</v>
      </c>
      <c r="N160" s="2" t="s">
        <v>2343</v>
      </c>
      <c r="O160" s="2" t="s">
        <v>40</v>
      </c>
      <c r="P160" s="2" t="s">
        <v>41</v>
      </c>
      <c r="Q160" s="2" t="s">
        <v>42</v>
      </c>
      <c r="R160" s="2" t="s">
        <v>53</v>
      </c>
      <c r="S160" s="2" t="s">
        <v>41</v>
      </c>
      <c r="T160" s="2"/>
      <c r="U160" s="2" t="s">
        <v>41</v>
      </c>
      <c r="V160" s="2"/>
      <c r="W160" s="3">
        <v>45200</v>
      </c>
      <c r="X160" s="2" t="s">
        <v>838</v>
      </c>
      <c r="Y160" s="2" t="s">
        <v>252</v>
      </c>
      <c r="Z160" s="2" t="s">
        <v>369</v>
      </c>
      <c r="AA160" s="2" t="s">
        <v>839</v>
      </c>
      <c r="AB160" s="2" t="s">
        <v>127</v>
      </c>
      <c r="AC160" s="2" t="s">
        <v>180</v>
      </c>
      <c r="AD160" s="2" t="s">
        <v>415</v>
      </c>
      <c r="AE160" s="2" t="s">
        <v>840</v>
      </c>
    </row>
    <row r="161" spans="1:31" ht="176.1">
      <c r="A161" s="2" t="s">
        <v>841</v>
      </c>
      <c r="B161" s="2" t="s">
        <v>842</v>
      </c>
      <c r="C161" s="2" t="str">
        <f>sheet13[[#This Row],[Nombre]]&amp;sheet13[[#This Row],[Bp Id]]</f>
        <v>Genesys CloudCHL0040</v>
      </c>
      <c r="D161" s="2" t="str">
        <f>VLOOKUP(sheet13[[#This Row],[Columna1]],Sheet2!C:S,4,FALSE)</f>
        <v>Operativo</v>
      </c>
      <c r="E161" s="2" t="s">
        <v>843</v>
      </c>
      <c r="F161" s="2" t="s">
        <v>32</v>
      </c>
      <c r="G161" s="2" t="s">
        <v>33</v>
      </c>
      <c r="H161" s="2" t="s">
        <v>59</v>
      </c>
      <c r="I161" s="2" t="s">
        <v>35</v>
      </c>
      <c r="J161" s="2" t="s">
        <v>36</v>
      </c>
      <c r="K161" s="2" t="s">
        <v>2355</v>
      </c>
      <c r="L161" s="2" t="s">
        <v>36</v>
      </c>
      <c r="M161" s="2" t="s">
        <v>39</v>
      </c>
      <c r="N161" s="2" t="s">
        <v>2343</v>
      </c>
      <c r="O161" s="2" t="s">
        <v>40</v>
      </c>
      <c r="P161" s="2" t="s">
        <v>43</v>
      </c>
      <c r="Q161" s="2" t="s">
        <v>42</v>
      </c>
      <c r="R161" s="2" t="s">
        <v>42</v>
      </c>
      <c r="S161" s="2" t="s">
        <v>41</v>
      </c>
      <c r="T161" s="2"/>
      <c r="U161" s="2" t="s">
        <v>41</v>
      </c>
      <c r="V161" s="2" t="s">
        <v>845</v>
      </c>
      <c r="W161" s="3">
        <v>45200</v>
      </c>
      <c r="X161" s="2"/>
      <c r="Y161" s="2" t="s">
        <v>126</v>
      </c>
      <c r="Z161" s="2" t="s">
        <v>375</v>
      </c>
      <c r="AA161" s="2" t="s">
        <v>363</v>
      </c>
      <c r="AB161" s="2" t="s">
        <v>127</v>
      </c>
      <c r="AC161" s="2" t="s">
        <v>263</v>
      </c>
      <c r="AD161" s="2" t="s">
        <v>129</v>
      </c>
      <c r="AE161" s="2"/>
    </row>
    <row r="162" spans="1:31" ht="113.45">
      <c r="A162" s="2" t="s">
        <v>846</v>
      </c>
      <c r="B162" s="2" t="s">
        <v>847</v>
      </c>
      <c r="C162" s="2" t="str">
        <f>sheet13[[#This Row],[Nombre]]&amp;sheet13[[#This Row],[Bp Id]]</f>
        <v>Gestión de Liquidez 2.0SUP0009</v>
      </c>
      <c r="D162" s="2" t="str">
        <f>VLOOKUP(sheet13[[#This Row],[Columna1]],Sheet2!C:S,4,FALSE)</f>
        <v>Operativo</v>
      </c>
      <c r="E162" s="2" t="s">
        <v>848</v>
      </c>
      <c r="F162" s="2" t="s">
        <v>32</v>
      </c>
      <c r="G162" s="2" t="s">
        <v>76</v>
      </c>
      <c r="H162" s="2" t="s">
        <v>59</v>
      </c>
      <c r="I162" s="2" t="s">
        <v>225</v>
      </c>
      <c r="J162" s="2" t="s">
        <v>226</v>
      </c>
      <c r="K162" s="2" t="s">
        <v>2353</v>
      </c>
      <c r="L162" s="2" t="s">
        <v>2351</v>
      </c>
      <c r="M162" s="2" t="s">
        <v>39</v>
      </c>
      <c r="N162" s="2" t="s">
        <v>2343</v>
      </c>
      <c r="O162" s="2" t="s">
        <v>40</v>
      </c>
      <c r="P162" s="2" t="s">
        <v>41</v>
      </c>
      <c r="Q162" s="2" t="s">
        <v>64</v>
      </c>
      <c r="R162" s="2" t="s">
        <v>64</v>
      </c>
      <c r="S162" s="2" t="s">
        <v>41</v>
      </c>
      <c r="T162" s="2"/>
      <c r="U162" s="2" t="s">
        <v>41</v>
      </c>
      <c r="V162" s="2" t="s">
        <v>849</v>
      </c>
      <c r="W162" s="3">
        <v>46067</v>
      </c>
      <c r="X162" s="2" t="s">
        <v>850</v>
      </c>
      <c r="Y162" s="2"/>
      <c r="Z162" s="2" t="s">
        <v>959</v>
      </c>
      <c r="AA162" s="2"/>
      <c r="AB162" s="2"/>
      <c r="AC162" s="2"/>
      <c r="AD162" s="2"/>
      <c r="AE162" s="2"/>
    </row>
    <row r="163" spans="1:31" ht="101.1">
      <c r="A163" s="2" t="s">
        <v>852</v>
      </c>
      <c r="B163" s="2" t="s">
        <v>853</v>
      </c>
      <c r="C163" s="2" t="str">
        <f>sheet13[[#This Row],[Nombre]]&amp;sheet13[[#This Row],[Bp Id]]</f>
        <v>Gestión del EfectivoSUP0032</v>
      </c>
      <c r="D163" s="2" t="str">
        <f>VLOOKUP(sheet13[[#This Row],[Columna1]],Sheet2!C:S,4,FALSE)</f>
        <v>Operativo</v>
      </c>
      <c r="E163" s="2" t="s">
        <v>854</v>
      </c>
      <c r="F163" s="2" t="s">
        <v>32</v>
      </c>
      <c r="G163" s="2" t="s">
        <v>76</v>
      </c>
      <c r="H163" s="2" t="s">
        <v>59</v>
      </c>
      <c r="I163" s="2" t="s">
        <v>225</v>
      </c>
      <c r="J163" s="2" t="s">
        <v>226</v>
      </c>
      <c r="K163" s="2" t="s">
        <v>268</v>
      </c>
      <c r="L163" s="2" t="s">
        <v>268</v>
      </c>
      <c r="M163" s="2" t="s">
        <v>39</v>
      </c>
      <c r="N163" s="2" t="s">
        <v>2343</v>
      </c>
      <c r="O163" s="2" t="s">
        <v>40</v>
      </c>
      <c r="P163" s="2" t="s">
        <v>41</v>
      </c>
      <c r="Q163" s="2" t="s">
        <v>64</v>
      </c>
      <c r="R163" s="2" t="s">
        <v>42</v>
      </c>
      <c r="S163" s="2" t="s">
        <v>41</v>
      </c>
      <c r="T163" s="2"/>
      <c r="U163" s="2" t="s">
        <v>41</v>
      </c>
      <c r="V163" s="2" t="s">
        <v>855</v>
      </c>
      <c r="W163" s="3">
        <v>46028</v>
      </c>
      <c r="X163" s="2" t="s">
        <v>856</v>
      </c>
      <c r="Y163" s="2" t="s">
        <v>187</v>
      </c>
      <c r="Z163" s="2" t="s">
        <v>125</v>
      </c>
      <c r="AA163" s="2" t="s">
        <v>376</v>
      </c>
      <c r="AB163" s="2" t="s">
        <v>127</v>
      </c>
      <c r="AC163" s="2" t="s">
        <v>263</v>
      </c>
      <c r="AD163" s="2" t="s">
        <v>129</v>
      </c>
      <c r="AE163" s="2" t="s">
        <v>857</v>
      </c>
    </row>
    <row r="164" spans="1:31" ht="63.6">
      <c r="A164" s="2" t="s">
        <v>858</v>
      </c>
      <c r="B164" s="2" t="s">
        <v>859</v>
      </c>
      <c r="C164" s="2" t="str">
        <f>sheet13[[#This Row],[Nombre]]&amp;sheet13[[#This Row],[Bp Id]]</f>
        <v>Gestion Identidades-WSO2 InternaSEC0024</v>
      </c>
      <c r="D164" s="2" t="str">
        <f>VLOOKUP(sheet13[[#This Row],[Columna1]],Sheet2!C:S,4,FALSE)</f>
        <v>Operativo</v>
      </c>
      <c r="E164" s="2" t="s">
        <v>860</v>
      </c>
      <c r="F164" s="2" t="s">
        <v>32</v>
      </c>
      <c r="G164" s="2" t="s">
        <v>48</v>
      </c>
      <c r="H164" s="2" t="s">
        <v>34</v>
      </c>
      <c r="I164" s="2" t="s">
        <v>2348</v>
      </c>
      <c r="J164" s="2" t="s">
        <v>185</v>
      </c>
      <c r="K164" s="2" t="s">
        <v>176</v>
      </c>
      <c r="L164" s="2" t="s">
        <v>2349</v>
      </c>
      <c r="M164" s="2" t="s">
        <v>111</v>
      </c>
      <c r="N164" s="2" t="s">
        <v>2343</v>
      </c>
      <c r="O164" s="2" t="s">
        <v>40</v>
      </c>
      <c r="P164" s="2" t="s">
        <v>41</v>
      </c>
      <c r="Q164" s="2" t="s">
        <v>42</v>
      </c>
      <c r="R164" s="2" t="s">
        <v>42</v>
      </c>
      <c r="S164" s="2" t="s">
        <v>43</v>
      </c>
      <c r="T164" s="2" t="s">
        <v>2344</v>
      </c>
      <c r="U164" s="2" t="s">
        <v>43</v>
      </c>
      <c r="V164" s="2" t="s">
        <v>861</v>
      </c>
      <c r="W164" s="3"/>
      <c r="X164" s="2"/>
      <c r="Y164" s="2"/>
      <c r="Z164" s="2"/>
      <c r="AA164" s="2"/>
      <c r="AB164" s="2"/>
      <c r="AC164" s="2"/>
      <c r="AD164" s="2"/>
      <c r="AE164" s="2"/>
    </row>
    <row r="165" spans="1:31" ht="401.1">
      <c r="A165" s="2" t="s">
        <v>862</v>
      </c>
      <c r="B165" s="2" t="s">
        <v>863</v>
      </c>
      <c r="C165" s="2" t="str">
        <f>sheet13[[#This Row],[Nombre]]&amp;sheet13[[#This Row],[Bp Id]]</f>
        <v>Go Anywhere GatewayINT0002</v>
      </c>
      <c r="D165" s="2" t="str">
        <f>VLOOKUP(sheet13[[#This Row],[Columna1]],Sheet2!C:S,4,FALSE)</f>
        <v>Operativo</v>
      </c>
      <c r="E165" s="2" t="s">
        <v>864</v>
      </c>
      <c r="F165" s="2" t="s">
        <v>32</v>
      </c>
      <c r="G165" s="2" t="s">
        <v>48</v>
      </c>
      <c r="H165" s="2" t="s">
        <v>34</v>
      </c>
      <c r="I165" s="2" t="s">
        <v>670</v>
      </c>
      <c r="J165" s="2" t="s">
        <v>450</v>
      </c>
      <c r="K165" s="2" t="s">
        <v>865</v>
      </c>
      <c r="L165" s="2" t="s">
        <v>672</v>
      </c>
      <c r="M165" s="2" t="s">
        <v>52</v>
      </c>
      <c r="N165" s="2" t="s">
        <v>2343</v>
      </c>
      <c r="O165" s="2" t="s">
        <v>40</v>
      </c>
      <c r="P165" s="2" t="s">
        <v>41</v>
      </c>
      <c r="Q165" s="2" t="s">
        <v>42</v>
      </c>
      <c r="R165" s="2" t="s">
        <v>42</v>
      </c>
      <c r="S165" s="2" t="s">
        <v>43</v>
      </c>
      <c r="T165" s="2" t="s">
        <v>2344</v>
      </c>
      <c r="U165" s="2" t="s">
        <v>43</v>
      </c>
      <c r="V165" s="2"/>
      <c r="W165" s="3"/>
      <c r="X165" s="2"/>
      <c r="Y165" s="2"/>
      <c r="Z165" s="2"/>
      <c r="AA165" s="2"/>
      <c r="AB165" s="2"/>
      <c r="AC165" s="2"/>
      <c r="AD165" s="2"/>
      <c r="AE165" s="2"/>
    </row>
    <row r="166" spans="1:31" ht="338.45">
      <c r="A166" s="2" t="s">
        <v>866</v>
      </c>
      <c r="B166" s="2" t="s">
        <v>867</v>
      </c>
      <c r="C166" s="2" t="str">
        <f>sheet13[[#This Row],[Nombre]]&amp;sheet13[[#This Row],[Bp Id]]</f>
        <v>Go Anywhere MFTINT0003</v>
      </c>
      <c r="D166" s="2" t="str">
        <f>VLOOKUP(sheet13[[#This Row],[Columna1]],Sheet2!C:S,4,FALSE)</f>
        <v>Operativo</v>
      </c>
      <c r="E166" s="2" t="s">
        <v>868</v>
      </c>
      <c r="F166" s="2" t="s">
        <v>32</v>
      </c>
      <c r="G166" s="2" t="s">
        <v>48</v>
      </c>
      <c r="H166" s="2" t="s">
        <v>34</v>
      </c>
      <c r="I166" s="2" t="s">
        <v>670</v>
      </c>
      <c r="J166" s="2" t="s">
        <v>450</v>
      </c>
      <c r="K166" s="2" t="s">
        <v>865</v>
      </c>
      <c r="L166" s="2" t="s">
        <v>869</v>
      </c>
      <c r="M166" s="2" t="s">
        <v>52</v>
      </c>
      <c r="N166" s="2" t="s">
        <v>2343</v>
      </c>
      <c r="O166" s="2" t="s">
        <v>40</v>
      </c>
      <c r="P166" s="2" t="s">
        <v>41</v>
      </c>
      <c r="Q166" s="2" t="s">
        <v>64</v>
      </c>
      <c r="R166" s="2" t="s">
        <v>53</v>
      </c>
      <c r="S166" s="2" t="s">
        <v>41</v>
      </c>
      <c r="T166" s="2"/>
      <c r="U166" s="2" t="s">
        <v>41</v>
      </c>
      <c r="V166" s="2"/>
      <c r="W166" s="3">
        <v>45200</v>
      </c>
      <c r="X166" s="2" t="s">
        <v>870</v>
      </c>
      <c r="Y166" s="2" t="s">
        <v>626</v>
      </c>
      <c r="Z166" s="2" t="s">
        <v>125</v>
      </c>
      <c r="AA166" s="2" t="s">
        <v>311</v>
      </c>
      <c r="AB166" s="2" t="s">
        <v>311</v>
      </c>
      <c r="AC166" s="2" t="s">
        <v>180</v>
      </c>
      <c r="AD166" s="2" t="s">
        <v>129</v>
      </c>
      <c r="AE166" s="2" t="s">
        <v>871</v>
      </c>
    </row>
    <row r="167" spans="1:31" ht="409.6">
      <c r="A167" s="2" t="s">
        <v>872</v>
      </c>
      <c r="B167" s="2" t="s">
        <v>873</v>
      </c>
      <c r="C167" s="2" t="str">
        <f>sheet13[[#This Row],[Nombre]]&amp;sheet13[[#This Row],[Bp Id]]</f>
        <v>Golden GateDAT0017</v>
      </c>
      <c r="D167" s="2" t="str">
        <f>VLOOKUP(sheet13[[#This Row],[Columna1]],Sheet2!C:S,4,FALSE)</f>
        <v>Operativo</v>
      </c>
      <c r="E167" s="2" t="s">
        <v>874</v>
      </c>
      <c r="F167" s="2" t="s">
        <v>32</v>
      </c>
      <c r="G167" s="2" t="s">
        <v>123</v>
      </c>
      <c r="H167" s="2" t="s">
        <v>34</v>
      </c>
      <c r="I167" s="2" t="s">
        <v>68</v>
      </c>
      <c r="J167" s="2" t="s">
        <v>69</v>
      </c>
      <c r="K167" s="2" t="s">
        <v>70</v>
      </c>
      <c r="L167" s="2" t="s">
        <v>875</v>
      </c>
      <c r="M167" s="2" t="s">
        <v>648</v>
      </c>
      <c r="N167" s="2" t="s">
        <v>2343</v>
      </c>
      <c r="O167" s="2" t="s">
        <v>40</v>
      </c>
      <c r="P167" s="2" t="s">
        <v>43</v>
      </c>
      <c r="Q167" s="2" t="s">
        <v>53</v>
      </c>
      <c r="R167" s="2" t="s">
        <v>53</v>
      </c>
      <c r="S167" s="2" t="s">
        <v>43</v>
      </c>
      <c r="T167" s="2" t="s">
        <v>2344</v>
      </c>
      <c r="U167" s="2" t="s">
        <v>43</v>
      </c>
      <c r="V167" s="2" t="s">
        <v>876</v>
      </c>
      <c r="W167" s="3">
        <v>45976</v>
      </c>
      <c r="X167" s="2" t="s">
        <v>877</v>
      </c>
      <c r="Y167" s="2"/>
      <c r="Z167" s="2"/>
      <c r="AA167" s="2"/>
      <c r="AB167" s="2"/>
      <c r="AC167" s="2"/>
      <c r="AD167" s="2"/>
      <c r="AE167" s="2"/>
    </row>
    <row r="168" spans="1:31" ht="63.6">
      <c r="A168" s="2" t="s">
        <v>878</v>
      </c>
      <c r="B168" s="2" t="s">
        <v>879</v>
      </c>
      <c r="C168" s="2" t="str">
        <f>sheet13[[#This Row],[Nombre]]&amp;sheet13[[#This Row],[Bp Id]]</f>
        <v>Google AnalyticsEDC0004</v>
      </c>
      <c r="D168" s="2" t="str">
        <f>VLOOKUP(sheet13[[#This Row],[Columna1]],Sheet2!C:S,4,FALSE)</f>
        <v>Operativo</v>
      </c>
      <c r="E168" s="2" t="s">
        <v>139</v>
      </c>
      <c r="F168" s="2" t="s">
        <v>32</v>
      </c>
      <c r="G168" s="2" t="s">
        <v>58</v>
      </c>
      <c r="H168" s="2" t="s">
        <v>59</v>
      </c>
      <c r="I168" s="2" t="s">
        <v>294</v>
      </c>
      <c r="J168" s="2" t="s">
        <v>880</v>
      </c>
      <c r="K168" s="2"/>
      <c r="L168" s="2"/>
      <c r="M168" s="2" t="s">
        <v>63</v>
      </c>
      <c r="N168" s="2" t="s">
        <v>2343</v>
      </c>
      <c r="O168" s="2" t="s">
        <v>40</v>
      </c>
      <c r="P168" s="2" t="s">
        <v>41</v>
      </c>
      <c r="Q168" s="2" t="s">
        <v>53</v>
      </c>
      <c r="R168" s="2" t="s">
        <v>53</v>
      </c>
      <c r="S168" s="2" t="s">
        <v>43</v>
      </c>
      <c r="T168" s="2" t="s">
        <v>2344</v>
      </c>
      <c r="U168" s="2" t="s">
        <v>43</v>
      </c>
      <c r="V168" s="2"/>
      <c r="W168" s="3"/>
      <c r="X168" s="2"/>
      <c r="Y168" s="2"/>
      <c r="Z168" s="2"/>
      <c r="AA168" s="2"/>
      <c r="AB168" s="2"/>
      <c r="AC168" s="2"/>
      <c r="AD168" s="2"/>
      <c r="AE168" s="2"/>
    </row>
    <row r="169" spans="1:31" ht="409.6">
      <c r="A169" s="2" t="s">
        <v>881</v>
      </c>
      <c r="B169" s="2" t="s">
        <v>882</v>
      </c>
      <c r="C169" s="2" t="str">
        <f>sheet13[[#This Row],[Nombre]]&amp;sheet13[[#This Row],[Bp Id]]</f>
        <v>GrafanaITM0023</v>
      </c>
      <c r="D169" s="2" t="str">
        <f>VLOOKUP(sheet13[[#This Row],[Columna1]],Sheet2!C:S,4,FALSE)</f>
        <v>Operativo</v>
      </c>
      <c r="E169" s="2" t="s">
        <v>883</v>
      </c>
      <c r="F169" s="2" t="s">
        <v>32</v>
      </c>
      <c r="G169" s="2" t="s">
        <v>76</v>
      </c>
      <c r="H169" s="2" t="s">
        <v>34</v>
      </c>
      <c r="I169" s="2" t="s">
        <v>449</v>
      </c>
      <c r="J169" s="2" t="s">
        <v>884</v>
      </c>
      <c r="K169" s="2" t="s">
        <v>885</v>
      </c>
      <c r="L169" s="2" t="s">
        <v>884</v>
      </c>
      <c r="M169" s="2" t="s">
        <v>52</v>
      </c>
      <c r="N169" s="2" t="s">
        <v>2343</v>
      </c>
      <c r="O169" s="2" t="s">
        <v>40</v>
      </c>
      <c r="P169" s="2" t="s">
        <v>41</v>
      </c>
      <c r="Q169" s="2" t="s">
        <v>53</v>
      </c>
      <c r="R169" s="2" t="s">
        <v>53</v>
      </c>
      <c r="S169" s="2" t="s">
        <v>41</v>
      </c>
      <c r="T169" s="2" t="str">
        <f>VLOOKUP(sheet13[[#This Row],[Nombre]],[1]Hoja1!A:B,2,FALSE)</f>
        <v>FASE 2</v>
      </c>
      <c r="U169" s="2" t="s">
        <v>43</v>
      </c>
      <c r="V169" s="2"/>
      <c r="W169" s="3"/>
      <c r="X169" s="2"/>
      <c r="Y169" s="2"/>
      <c r="Z169" s="2"/>
      <c r="AA169" s="2"/>
      <c r="AB169" s="2"/>
      <c r="AC169" s="2"/>
      <c r="AD169" s="2"/>
      <c r="AE169" s="2"/>
    </row>
    <row r="170" spans="1:31" ht="88.5">
      <c r="A170" s="2" t="s">
        <v>886</v>
      </c>
      <c r="B170" s="2" t="s">
        <v>887</v>
      </c>
      <c r="C170" s="2" t="str">
        <f>sheet13[[#This Row],[Nombre]]&amp;sheet13[[#This Row],[Bp Id]]</f>
        <v>HCIITM0063</v>
      </c>
      <c r="D170" s="2" t="str">
        <f>VLOOKUP(sheet13[[#This Row],[Columna1]],Sheet2!C:S,4,FALSE)</f>
        <v>Retirado</v>
      </c>
      <c r="E170" s="2" t="s">
        <v>888</v>
      </c>
      <c r="F170" s="2" t="s">
        <v>47</v>
      </c>
      <c r="G170" s="2" t="s">
        <v>48</v>
      </c>
      <c r="H170" s="2" t="s">
        <v>34</v>
      </c>
      <c r="I170" s="2" t="s">
        <v>68</v>
      </c>
      <c r="J170" s="2" t="s">
        <v>236</v>
      </c>
      <c r="K170" s="2" t="s">
        <v>586</v>
      </c>
      <c r="L170" s="2" t="s">
        <v>586</v>
      </c>
      <c r="M170" s="2" t="s">
        <v>161</v>
      </c>
      <c r="N170" s="2" t="s">
        <v>2345</v>
      </c>
      <c r="O170" s="2" t="s">
        <v>40</v>
      </c>
      <c r="P170" s="2" t="s">
        <v>41</v>
      </c>
      <c r="Q170" s="2" t="s">
        <v>53</v>
      </c>
      <c r="R170" s="2" t="s">
        <v>53</v>
      </c>
      <c r="S170" s="2" t="s">
        <v>43</v>
      </c>
      <c r="T170" s="2"/>
      <c r="U170" s="2" t="s">
        <v>43</v>
      </c>
      <c r="V170" s="2"/>
      <c r="W170" s="3"/>
      <c r="X170" s="2"/>
      <c r="Y170" s="2"/>
      <c r="Z170" s="2"/>
      <c r="AA170" s="2"/>
      <c r="AB170" s="2"/>
      <c r="AC170" s="2"/>
      <c r="AD170" s="2"/>
      <c r="AE170" s="2"/>
    </row>
    <row r="171" spans="1:31" ht="63.6">
      <c r="A171" s="2" t="s">
        <v>889</v>
      </c>
      <c r="B171" s="2" t="s">
        <v>890</v>
      </c>
      <c r="C171" s="2" t="str">
        <f>sheet13[[#This Row],[Nombre]]&amp;sheet13[[#This Row],[Bp Id]]</f>
        <v>HCP AnywhereITM0024</v>
      </c>
      <c r="D171" s="2" t="str">
        <f>VLOOKUP(sheet13[[#This Row],[Columna1]],Sheet2!C:S,4,FALSE)</f>
        <v>Operativo</v>
      </c>
      <c r="E171" s="2" t="s">
        <v>891</v>
      </c>
      <c r="F171" s="2" t="s">
        <v>32</v>
      </c>
      <c r="G171" s="2" t="s">
        <v>48</v>
      </c>
      <c r="H171" s="2" t="s">
        <v>34</v>
      </c>
      <c r="I171" s="2" t="s">
        <v>68</v>
      </c>
      <c r="J171" s="2" t="s">
        <v>69</v>
      </c>
      <c r="K171" s="2" t="s">
        <v>70</v>
      </c>
      <c r="L171" s="2" t="s">
        <v>586</v>
      </c>
      <c r="M171" s="2" t="s">
        <v>52</v>
      </c>
      <c r="N171" s="2" t="s">
        <v>2343</v>
      </c>
      <c r="O171" s="2" t="s">
        <v>40</v>
      </c>
      <c r="P171" s="2" t="s">
        <v>41</v>
      </c>
      <c r="Q171" s="2" t="s">
        <v>533</v>
      </c>
      <c r="R171" s="2" t="s">
        <v>42</v>
      </c>
      <c r="S171" s="2" t="s">
        <v>43</v>
      </c>
      <c r="T171" s="2" t="s">
        <v>2344</v>
      </c>
      <c r="U171" s="2" t="s">
        <v>43</v>
      </c>
      <c r="V171" s="2"/>
      <c r="W171" s="3"/>
      <c r="X171" s="2"/>
      <c r="Y171" s="2"/>
      <c r="Z171" s="2"/>
      <c r="AA171" s="2"/>
      <c r="AB171" s="2"/>
      <c r="AC171" s="2"/>
      <c r="AD171" s="2"/>
      <c r="AE171" s="2"/>
    </row>
    <row r="172" spans="1:31" ht="113.45">
      <c r="A172" s="2" t="s">
        <v>892</v>
      </c>
      <c r="B172" s="2" t="s">
        <v>893</v>
      </c>
      <c r="C172" s="2" t="str">
        <f>sheet13[[#This Row],[Nombre]]&amp;sheet13[[#This Row],[Bp Id]]</f>
        <v>Hitachi AdministratorITM0025</v>
      </c>
      <c r="D172" s="2" t="str">
        <f>VLOOKUP(sheet13[[#This Row],[Columna1]],Sheet2!C:S,4,FALSE)</f>
        <v>Operativo</v>
      </c>
      <c r="E172" s="2" t="s">
        <v>894</v>
      </c>
      <c r="F172" s="2" t="s">
        <v>32</v>
      </c>
      <c r="G172" s="2" t="s">
        <v>48</v>
      </c>
      <c r="H172" s="2" t="s">
        <v>34</v>
      </c>
      <c r="I172" s="2" t="s">
        <v>68</v>
      </c>
      <c r="J172" s="2" t="s">
        <v>69</v>
      </c>
      <c r="K172" s="2" t="s">
        <v>70</v>
      </c>
      <c r="L172" s="2" t="s">
        <v>586</v>
      </c>
      <c r="M172" s="2" t="s">
        <v>52</v>
      </c>
      <c r="N172" s="2" t="s">
        <v>2343</v>
      </c>
      <c r="O172" s="2" t="s">
        <v>40</v>
      </c>
      <c r="P172" s="2" t="s">
        <v>41</v>
      </c>
      <c r="Q172" s="2" t="s">
        <v>53</v>
      </c>
      <c r="R172" s="2" t="s">
        <v>53</v>
      </c>
      <c r="S172" s="2" t="s">
        <v>43</v>
      </c>
      <c r="T172" s="2" t="s">
        <v>2344</v>
      </c>
      <c r="U172" s="2" t="s">
        <v>43</v>
      </c>
      <c r="V172" s="2"/>
      <c r="W172" s="3"/>
      <c r="X172" s="2"/>
      <c r="Y172" s="2"/>
      <c r="Z172" s="2"/>
      <c r="AA172" s="2"/>
      <c r="AB172" s="2"/>
      <c r="AC172" s="2"/>
      <c r="AD172" s="2"/>
      <c r="AE172" s="2"/>
    </row>
    <row r="173" spans="1:31" ht="75.95">
      <c r="A173" s="2" t="s">
        <v>895</v>
      </c>
      <c r="B173" s="2" t="s">
        <v>896</v>
      </c>
      <c r="C173" s="2" t="str">
        <f>sheet13[[#This Row],[Nombre]]&amp;sheet13[[#This Row],[Bp Id]]</f>
        <v>Home FolderITM0026</v>
      </c>
      <c r="D173" s="2" t="str">
        <f>VLOOKUP(sheet13[[#This Row],[Columna1]],Sheet2!C:S,4,FALSE)</f>
        <v>Operativo</v>
      </c>
      <c r="E173" s="2" t="s">
        <v>897</v>
      </c>
      <c r="F173" s="2" t="s">
        <v>32</v>
      </c>
      <c r="G173" s="2" t="s">
        <v>48</v>
      </c>
      <c r="H173" s="2" t="s">
        <v>34</v>
      </c>
      <c r="I173" s="2" t="s">
        <v>68</v>
      </c>
      <c r="J173" s="2" t="s">
        <v>69</v>
      </c>
      <c r="K173" s="2" t="s">
        <v>82</v>
      </c>
      <c r="L173" s="2" t="s">
        <v>898</v>
      </c>
      <c r="M173" s="2" t="s">
        <v>52</v>
      </c>
      <c r="N173" s="2" t="s">
        <v>2343</v>
      </c>
      <c r="O173" s="2" t="s">
        <v>40</v>
      </c>
      <c r="P173" s="2" t="s">
        <v>41</v>
      </c>
      <c r="Q173" s="2" t="s">
        <v>42</v>
      </c>
      <c r="R173" s="2" t="s">
        <v>42</v>
      </c>
      <c r="S173" s="2" t="s">
        <v>43</v>
      </c>
      <c r="T173" s="2" t="s">
        <v>2344</v>
      </c>
      <c r="U173" s="2" t="s">
        <v>43</v>
      </c>
      <c r="V173" s="2"/>
      <c r="W173" s="3"/>
      <c r="X173" s="2"/>
      <c r="Y173" s="2"/>
      <c r="Z173" s="2"/>
      <c r="AA173" s="2"/>
      <c r="AB173" s="2"/>
      <c r="AC173" s="2"/>
      <c r="AD173" s="2"/>
      <c r="AE173" s="2"/>
    </row>
    <row r="174" spans="1:31" ht="51">
      <c r="A174" s="2" t="s">
        <v>899</v>
      </c>
      <c r="B174" s="2" t="s">
        <v>900</v>
      </c>
      <c r="C174" s="2" t="str">
        <f>sheet13[[#This Row],[Nombre]]&amp;sheet13[[#This Row],[Bp Id]]</f>
        <v>HopexITM0027</v>
      </c>
      <c r="D174" s="2" t="str">
        <f>VLOOKUP(sheet13[[#This Row],[Columna1]],Sheet2!C:S,4,FALSE)</f>
        <v>Operativo</v>
      </c>
      <c r="E174" s="2" t="s">
        <v>139</v>
      </c>
      <c r="F174" s="2" t="s">
        <v>32</v>
      </c>
      <c r="G174" s="2" t="s">
        <v>48</v>
      </c>
      <c r="H174" s="2" t="s">
        <v>59</v>
      </c>
      <c r="I174" s="2" t="s">
        <v>60</v>
      </c>
      <c r="J174" s="2" t="s">
        <v>901</v>
      </c>
      <c r="K174" s="2" t="s">
        <v>902</v>
      </c>
      <c r="L174" s="2" t="s">
        <v>901</v>
      </c>
      <c r="M174" s="2" t="s">
        <v>296</v>
      </c>
      <c r="N174" s="2" t="s">
        <v>2343</v>
      </c>
      <c r="O174" s="2" t="s">
        <v>40</v>
      </c>
      <c r="P174" s="2" t="s">
        <v>41</v>
      </c>
      <c r="Q174" s="2" t="s">
        <v>53</v>
      </c>
      <c r="R174" s="2" t="s">
        <v>53</v>
      </c>
      <c r="S174" s="2" t="s">
        <v>43</v>
      </c>
      <c r="T174" s="2" t="s">
        <v>2344</v>
      </c>
      <c r="U174" s="2" t="s">
        <v>43</v>
      </c>
      <c r="V174" s="2"/>
      <c r="W174" s="3"/>
      <c r="X174" s="2"/>
      <c r="Y174" s="2"/>
      <c r="Z174" s="2"/>
      <c r="AA174" s="2"/>
      <c r="AB174" s="2"/>
      <c r="AC174" s="2"/>
      <c r="AD174" s="2"/>
      <c r="AE174" s="2"/>
    </row>
    <row r="175" spans="1:31" ht="113.45">
      <c r="A175" s="2" t="s">
        <v>903</v>
      </c>
      <c r="B175" s="2" t="s">
        <v>904</v>
      </c>
      <c r="C175" s="2" t="str">
        <f>sheet13[[#This Row],[Nombre]]&amp;sheet13[[#This Row],[Bp Id]]</f>
        <v>Horas extrasSUP0010</v>
      </c>
      <c r="D175" s="2" t="str">
        <f>VLOOKUP(sheet13[[#This Row],[Columna1]],Sheet2!C:S,4,FALSE)</f>
        <v>Operativo</v>
      </c>
      <c r="E175" s="2" t="s">
        <v>905</v>
      </c>
      <c r="F175" s="2" t="s">
        <v>32</v>
      </c>
      <c r="G175" s="2" t="s">
        <v>48</v>
      </c>
      <c r="H175" s="2" t="s">
        <v>34</v>
      </c>
      <c r="I175" s="2" t="s">
        <v>225</v>
      </c>
      <c r="J175" s="2" t="s">
        <v>226</v>
      </c>
      <c r="K175" s="2" t="s">
        <v>1779</v>
      </c>
      <c r="L175" s="2" t="s">
        <v>228</v>
      </c>
      <c r="M175" s="2" t="s">
        <v>63</v>
      </c>
      <c r="N175" s="2" t="s">
        <v>2343</v>
      </c>
      <c r="O175" s="2" t="s">
        <v>40</v>
      </c>
      <c r="P175" s="2" t="s">
        <v>41</v>
      </c>
      <c r="Q175" s="2" t="s">
        <v>53</v>
      </c>
      <c r="R175" s="2" t="s">
        <v>53</v>
      </c>
      <c r="S175" s="2" t="s">
        <v>43</v>
      </c>
      <c r="T175" s="2" t="s">
        <v>2344</v>
      </c>
      <c r="U175" s="2" t="s">
        <v>43</v>
      </c>
      <c r="V175" s="2"/>
      <c r="W175" s="3"/>
      <c r="X175" s="2"/>
      <c r="Y175" s="2"/>
      <c r="Z175" s="2"/>
      <c r="AA175" s="2"/>
      <c r="AB175" s="2"/>
      <c r="AC175" s="2"/>
      <c r="AD175" s="2"/>
      <c r="AE175" s="2"/>
    </row>
    <row r="176" spans="1:31" ht="88.5">
      <c r="A176" s="2" t="s">
        <v>906</v>
      </c>
      <c r="B176" s="2" t="s">
        <v>907</v>
      </c>
      <c r="C176" s="2" t="str">
        <f>sheet13[[#This Row],[Nombre]]&amp;sheet13[[#This Row],[Bp Id]]</f>
        <v>Host Integration ServerITM0028</v>
      </c>
      <c r="D176" s="2" t="str">
        <f>VLOOKUP(sheet13[[#This Row],[Columna1]],Sheet2!C:S,4,FALSE)</f>
        <v>Retirado</v>
      </c>
      <c r="E176" s="2" t="s">
        <v>908</v>
      </c>
      <c r="F176" s="2" t="s">
        <v>47</v>
      </c>
      <c r="G176" s="2" t="s">
        <v>48</v>
      </c>
      <c r="H176" s="2" t="s">
        <v>34</v>
      </c>
      <c r="I176" s="2" t="s">
        <v>68</v>
      </c>
      <c r="J176" s="2" t="s">
        <v>236</v>
      </c>
      <c r="K176" s="2" t="s">
        <v>82</v>
      </c>
      <c r="L176" s="2" t="s">
        <v>82</v>
      </c>
      <c r="M176" s="2" t="s">
        <v>52</v>
      </c>
      <c r="N176" s="2" t="s">
        <v>2345</v>
      </c>
      <c r="O176" s="2" t="s">
        <v>40</v>
      </c>
      <c r="P176" s="2" t="s">
        <v>41</v>
      </c>
      <c r="Q176" s="2" t="s">
        <v>53</v>
      </c>
      <c r="R176" s="2" t="s">
        <v>53</v>
      </c>
      <c r="S176" s="2" t="s">
        <v>43</v>
      </c>
      <c r="T176" s="2"/>
      <c r="U176" s="2" t="s">
        <v>43</v>
      </c>
      <c r="V176" s="2"/>
      <c r="W176" s="3"/>
      <c r="X176" s="2"/>
      <c r="Y176" s="2"/>
      <c r="Z176" s="2"/>
      <c r="AA176" s="2"/>
      <c r="AB176" s="2"/>
      <c r="AC176" s="2"/>
      <c r="AD176" s="2"/>
      <c r="AE176" s="2"/>
    </row>
    <row r="177" spans="1:31" ht="101.1">
      <c r="A177" s="2" t="s">
        <v>909</v>
      </c>
      <c r="B177" s="2" t="s">
        <v>910</v>
      </c>
      <c r="C177" s="2" t="str">
        <f>sheet13[[#This Row],[Nombre]]&amp;sheet13[[#This Row],[Bp Id]]</f>
        <v>HotjarEDC0005</v>
      </c>
      <c r="D177" s="2" t="str">
        <f>VLOOKUP(sheet13[[#This Row],[Columna1]],Sheet2!C:S,4,FALSE)</f>
        <v>Retirado</v>
      </c>
      <c r="E177" s="2" t="s">
        <v>911</v>
      </c>
      <c r="F177" s="2" t="s">
        <v>47</v>
      </c>
      <c r="G177" s="2" t="s">
        <v>48</v>
      </c>
      <c r="H177" s="2" t="s">
        <v>59</v>
      </c>
      <c r="I177" s="2" t="s">
        <v>294</v>
      </c>
      <c r="J177" s="2" t="s">
        <v>880</v>
      </c>
      <c r="K177" s="2" t="s">
        <v>880</v>
      </c>
      <c r="L177" s="2" t="s">
        <v>880</v>
      </c>
      <c r="M177" s="2" t="s">
        <v>63</v>
      </c>
      <c r="N177" s="2" t="s">
        <v>2345</v>
      </c>
      <c r="O177" s="2" t="s">
        <v>40</v>
      </c>
      <c r="P177" s="2" t="s">
        <v>41</v>
      </c>
      <c r="Q177" s="2" t="s">
        <v>53</v>
      </c>
      <c r="R177" s="2" t="s">
        <v>53</v>
      </c>
      <c r="S177" s="2" t="s">
        <v>43</v>
      </c>
      <c r="T177" s="2"/>
      <c r="U177" s="2" t="s">
        <v>43</v>
      </c>
      <c r="V177" s="2"/>
      <c r="W177" s="3"/>
      <c r="X177" s="2"/>
      <c r="Y177" s="2"/>
      <c r="Z177" s="2"/>
      <c r="AA177" s="2"/>
      <c r="AB177" s="2"/>
      <c r="AC177" s="2"/>
      <c r="AD177" s="2"/>
      <c r="AE177" s="2"/>
    </row>
    <row r="178" spans="1:31" ht="313.5">
      <c r="A178" s="2" t="s">
        <v>912</v>
      </c>
      <c r="B178" s="2" t="s">
        <v>913</v>
      </c>
      <c r="C178" s="2" t="str">
        <f>sheet13[[#This Row],[Nombre]]&amp;sheet13[[#This Row],[Bp Id]]</f>
        <v>IAM- Gestion de Gobierno de identidadesSEC0079</v>
      </c>
      <c r="D178" s="2" t="str">
        <f>VLOOKUP(sheet13[[#This Row],[Columna1]],Sheet2!C:S,4,FALSE)</f>
        <v>Operativo</v>
      </c>
      <c r="E178" s="2" t="s">
        <v>914</v>
      </c>
      <c r="F178" s="2" t="s">
        <v>32</v>
      </c>
      <c r="G178" s="2" t="s">
        <v>48</v>
      </c>
      <c r="H178" s="2" t="s">
        <v>59</v>
      </c>
      <c r="I178" s="2" t="s">
        <v>2346</v>
      </c>
      <c r="J178" s="2" t="s">
        <v>915</v>
      </c>
      <c r="K178" s="2" t="s">
        <v>916</v>
      </c>
      <c r="L178" s="2" t="s">
        <v>915</v>
      </c>
      <c r="M178" s="2" t="s">
        <v>111</v>
      </c>
      <c r="N178" s="2" t="s">
        <v>2343</v>
      </c>
      <c r="O178" s="2" t="s">
        <v>40</v>
      </c>
      <c r="P178" s="2" t="s">
        <v>41</v>
      </c>
      <c r="Q178" s="2" t="s">
        <v>64</v>
      </c>
      <c r="R178" s="2" t="s">
        <v>53</v>
      </c>
      <c r="S178" s="2" t="s">
        <v>41</v>
      </c>
      <c r="T178" s="2"/>
      <c r="U178" s="2" t="s">
        <v>41</v>
      </c>
      <c r="V178" s="2"/>
      <c r="W178" s="3">
        <v>46077</v>
      </c>
      <c r="X178" s="2"/>
      <c r="Y178" s="2" t="s">
        <v>101</v>
      </c>
      <c r="Z178" s="2" t="s">
        <v>100</v>
      </c>
      <c r="AA178" s="2" t="s">
        <v>127</v>
      </c>
      <c r="AB178" s="2" t="s">
        <v>127</v>
      </c>
      <c r="AC178" s="2" t="s">
        <v>180</v>
      </c>
      <c r="AD178" s="2" t="s">
        <v>129</v>
      </c>
      <c r="AE178" s="2" t="s">
        <v>917</v>
      </c>
    </row>
    <row r="179" spans="1:31" ht="75.95">
      <c r="A179" s="2" t="s">
        <v>918</v>
      </c>
      <c r="B179" s="2" t="s">
        <v>919</v>
      </c>
      <c r="C179" s="2" t="str">
        <f>sheet13[[#This Row],[Nombre]]&amp;sheet13[[#This Row],[Bp Id]]</f>
        <v>IBM Business Process Manager (BPM) 6.0TIE0005</v>
      </c>
      <c r="D179" s="2" t="str">
        <f>VLOOKUP(sheet13[[#This Row],[Columna1]],Sheet2!C:S,4,FALSE)</f>
        <v>Retirado</v>
      </c>
      <c r="E179" s="2" t="s">
        <v>920</v>
      </c>
      <c r="F179" s="2" t="s">
        <v>47</v>
      </c>
      <c r="G179" s="2" t="s">
        <v>48</v>
      </c>
      <c r="H179" s="2" t="s">
        <v>34</v>
      </c>
      <c r="I179" s="2" t="s">
        <v>921</v>
      </c>
      <c r="J179" s="2" t="s">
        <v>50</v>
      </c>
      <c r="K179" s="2" t="s">
        <v>340</v>
      </c>
      <c r="L179" s="2" t="s">
        <v>341</v>
      </c>
      <c r="M179" s="2" t="s">
        <v>39</v>
      </c>
      <c r="N179" s="2" t="s">
        <v>2345</v>
      </c>
      <c r="O179" s="2" t="s">
        <v>40</v>
      </c>
      <c r="P179" s="2" t="s">
        <v>41</v>
      </c>
      <c r="Q179" s="2" t="s">
        <v>922</v>
      </c>
      <c r="R179" s="2" t="s">
        <v>923</v>
      </c>
      <c r="S179" s="2" t="s">
        <v>41</v>
      </c>
      <c r="T179" s="2"/>
      <c r="U179" s="2" t="s">
        <v>43</v>
      </c>
      <c r="V179" s="2" t="s">
        <v>193</v>
      </c>
      <c r="W179" s="3"/>
      <c r="X179" s="2"/>
      <c r="Y179" s="2"/>
      <c r="Z179" s="2"/>
      <c r="AA179" s="2"/>
      <c r="AB179" s="2"/>
      <c r="AC179" s="2"/>
      <c r="AD179" s="2"/>
      <c r="AE179" s="2"/>
    </row>
    <row r="180" spans="1:31" ht="238.5">
      <c r="A180" s="2" t="s">
        <v>924</v>
      </c>
      <c r="B180" s="2" t="s">
        <v>925</v>
      </c>
      <c r="C180" s="2" t="str">
        <f>sheet13[[#This Row],[Nombre]]&amp;sheet13[[#This Row],[Bp Id]]</f>
        <v>IBM Business Process ManagerTIE0006</v>
      </c>
      <c r="D180" s="2" t="str">
        <f>VLOOKUP(sheet13[[#This Row],[Columna1]],Sheet2!C:S,4,FALSE)</f>
        <v>Operativo</v>
      </c>
      <c r="E180" s="2" t="s">
        <v>926</v>
      </c>
      <c r="F180" s="2" t="s">
        <v>32</v>
      </c>
      <c r="G180" s="2" t="s">
        <v>48</v>
      </c>
      <c r="H180" s="2" t="s">
        <v>34</v>
      </c>
      <c r="I180" s="2" t="s">
        <v>921</v>
      </c>
      <c r="J180" s="2" t="s">
        <v>50</v>
      </c>
      <c r="K180" s="2" t="s">
        <v>340</v>
      </c>
      <c r="L180" s="2" t="s">
        <v>341</v>
      </c>
      <c r="M180" s="2" t="s">
        <v>39</v>
      </c>
      <c r="N180" s="2" t="s">
        <v>2343</v>
      </c>
      <c r="O180" s="2" t="s">
        <v>40</v>
      </c>
      <c r="P180" s="2" t="s">
        <v>41</v>
      </c>
      <c r="Q180" s="2" t="s">
        <v>42</v>
      </c>
      <c r="R180" s="2" t="s">
        <v>53</v>
      </c>
      <c r="S180" s="2" t="s">
        <v>41</v>
      </c>
      <c r="T180" s="2"/>
      <c r="U180" s="2" t="s">
        <v>41</v>
      </c>
      <c r="V180" s="2"/>
      <c r="W180" s="3">
        <v>45199</v>
      </c>
      <c r="X180" s="2"/>
      <c r="Y180" s="2"/>
      <c r="Z180" s="2"/>
      <c r="AA180" s="2"/>
      <c r="AB180" s="2"/>
      <c r="AC180" s="2"/>
      <c r="AD180" s="2"/>
      <c r="AE180" s="2"/>
    </row>
    <row r="181" spans="1:31" ht="88.5">
      <c r="A181" s="2" t="s">
        <v>927</v>
      </c>
      <c r="B181" s="2" t="s">
        <v>928</v>
      </c>
      <c r="C181" s="2" t="str">
        <f>sheet13[[#This Row],[Nombre]]&amp;sheet13[[#This Row],[Bp Id]]</f>
        <v>IBM Business Process Manager (Process Server) 6.0TIE0016</v>
      </c>
      <c r="D181" s="2" t="str">
        <f>VLOOKUP(sheet13[[#This Row],[Columna1]],Sheet2!C:S,4,FALSE)</f>
        <v>Retirado</v>
      </c>
      <c r="E181" s="2" t="s">
        <v>920</v>
      </c>
      <c r="F181" s="2" t="s">
        <v>47</v>
      </c>
      <c r="G181" s="2" t="s">
        <v>48</v>
      </c>
      <c r="H181" s="2" t="s">
        <v>34</v>
      </c>
      <c r="I181" s="2" t="s">
        <v>921</v>
      </c>
      <c r="J181" s="2" t="s">
        <v>50</v>
      </c>
      <c r="K181" s="2" t="s">
        <v>340</v>
      </c>
      <c r="L181" s="2" t="s">
        <v>340</v>
      </c>
      <c r="M181" s="2" t="s">
        <v>63</v>
      </c>
      <c r="N181" s="2" t="s">
        <v>2345</v>
      </c>
      <c r="O181" s="2" t="s">
        <v>40</v>
      </c>
      <c r="P181" s="2" t="s">
        <v>41</v>
      </c>
      <c r="Q181" s="2" t="s">
        <v>922</v>
      </c>
      <c r="R181" s="2" t="s">
        <v>923</v>
      </c>
      <c r="S181" s="2" t="s">
        <v>41</v>
      </c>
      <c r="T181" s="2"/>
      <c r="U181" s="2" t="s">
        <v>43</v>
      </c>
      <c r="V181" s="2" t="s">
        <v>193</v>
      </c>
      <c r="W181" s="3"/>
      <c r="X181" s="2"/>
      <c r="Y181" s="2"/>
      <c r="Z181" s="2"/>
      <c r="AA181" s="2"/>
      <c r="AB181" s="2"/>
      <c r="AC181" s="2"/>
      <c r="AD181" s="2"/>
      <c r="AE181" s="2"/>
    </row>
    <row r="182" spans="1:31" ht="101.1">
      <c r="A182" s="2" t="s">
        <v>929</v>
      </c>
      <c r="B182" s="2" t="s">
        <v>930</v>
      </c>
      <c r="C182" s="2" t="str">
        <f>sheet13[[#This Row],[Nombre]]&amp;sheet13[[#This Row],[Bp Id]]</f>
        <v>IBM Deployment Manager (Dmgr)ITM0030</v>
      </c>
      <c r="D182" s="2" t="str">
        <f>VLOOKUP(sheet13[[#This Row],[Columna1]],Sheet2!C:S,4,FALSE)</f>
        <v>Retirado</v>
      </c>
      <c r="E182" s="2" t="s">
        <v>931</v>
      </c>
      <c r="F182" s="2" t="s">
        <v>47</v>
      </c>
      <c r="G182" s="2" t="s">
        <v>48</v>
      </c>
      <c r="H182" s="2" t="s">
        <v>34</v>
      </c>
      <c r="I182" s="2" t="s">
        <v>68</v>
      </c>
      <c r="J182" s="2" t="s">
        <v>236</v>
      </c>
      <c r="K182" s="2"/>
      <c r="L182" s="2" t="s">
        <v>51</v>
      </c>
      <c r="M182" s="2" t="s">
        <v>52</v>
      </c>
      <c r="N182" s="2" t="s">
        <v>2345</v>
      </c>
      <c r="O182" s="2" t="s">
        <v>40</v>
      </c>
      <c r="P182" s="2" t="s">
        <v>41</v>
      </c>
      <c r="Q182" s="2" t="s">
        <v>53</v>
      </c>
      <c r="R182" s="2" t="s">
        <v>53</v>
      </c>
      <c r="S182" s="2" t="s">
        <v>43</v>
      </c>
      <c r="T182" s="2"/>
      <c r="U182" s="2" t="s">
        <v>43</v>
      </c>
      <c r="V182" s="2"/>
      <c r="W182" s="3"/>
      <c r="X182" s="2"/>
      <c r="Y182" s="2"/>
      <c r="Z182" s="2"/>
      <c r="AA182" s="2"/>
      <c r="AB182" s="2"/>
      <c r="AC182" s="2"/>
      <c r="AD182" s="2"/>
      <c r="AE182" s="2"/>
    </row>
    <row r="183" spans="1:31" ht="113.45">
      <c r="A183" s="2" t="s">
        <v>932</v>
      </c>
      <c r="B183" s="2" t="s">
        <v>933</v>
      </c>
      <c r="C183" s="2" t="str">
        <f>sheet13[[#This Row],[Nombre]]&amp;sheet13[[#This Row],[Bp Id]]</f>
        <v>IBM Deployment Manager (Dmgr_BPM)ITM0031</v>
      </c>
      <c r="D183" s="2" t="str">
        <f>VLOOKUP(sheet13[[#This Row],[Columna1]],Sheet2!C:S,4,FALSE)</f>
        <v>Retirado</v>
      </c>
      <c r="E183" s="2" t="s">
        <v>934</v>
      </c>
      <c r="F183" s="2" t="s">
        <v>47</v>
      </c>
      <c r="G183" s="2" t="s">
        <v>76</v>
      </c>
      <c r="H183" s="2" t="s">
        <v>34</v>
      </c>
      <c r="I183" s="2" t="s">
        <v>921</v>
      </c>
      <c r="J183" s="2" t="s">
        <v>50</v>
      </c>
      <c r="K183" s="2" t="s">
        <v>340</v>
      </c>
      <c r="L183" s="2" t="s">
        <v>341</v>
      </c>
      <c r="M183" s="2" t="s">
        <v>52</v>
      </c>
      <c r="N183" s="2" t="s">
        <v>2345</v>
      </c>
      <c r="O183" s="2" t="s">
        <v>40</v>
      </c>
      <c r="P183" s="2" t="s">
        <v>41</v>
      </c>
      <c r="Q183" s="2" t="s">
        <v>53</v>
      </c>
      <c r="R183" s="2" t="s">
        <v>53</v>
      </c>
      <c r="S183" s="2" t="s">
        <v>41</v>
      </c>
      <c r="T183" s="2"/>
      <c r="U183" s="2" t="s">
        <v>43</v>
      </c>
      <c r="V183" s="2"/>
      <c r="W183" s="3"/>
      <c r="X183" s="2"/>
      <c r="Y183" s="2"/>
      <c r="Z183" s="2"/>
      <c r="AA183" s="2"/>
      <c r="AB183" s="2"/>
      <c r="AC183" s="2"/>
      <c r="AD183" s="2"/>
      <c r="AE183" s="2"/>
    </row>
    <row r="184" spans="1:31" ht="138.6">
      <c r="A184" s="2" t="s">
        <v>935</v>
      </c>
      <c r="B184" s="2" t="s">
        <v>936</v>
      </c>
      <c r="C184" s="2" t="str">
        <f>sheet13[[#This Row],[Nombre]]&amp;sheet13[[#This Row],[Bp Id]]</f>
        <v>IBM FileNetTIE0008</v>
      </c>
      <c r="D184" s="2" t="str">
        <f>VLOOKUP(sheet13[[#This Row],[Columna1]],Sheet2!C:S,4,FALSE)</f>
        <v>Operativo</v>
      </c>
      <c r="E184" s="2" t="s">
        <v>937</v>
      </c>
      <c r="F184" s="2" t="s">
        <v>32</v>
      </c>
      <c r="G184" s="2" t="s">
        <v>123</v>
      </c>
      <c r="H184" s="2" t="s">
        <v>34</v>
      </c>
      <c r="I184" s="2" t="s">
        <v>487</v>
      </c>
      <c r="J184" s="2" t="s">
        <v>488</v>
      </c>
      <c r="K184" s="2" t="s">
        <v>489</v>
      </c>
      <c r="L184" s="2" t="s">
        <v>490</v>
      </c>
      <c r="M184" s="2" t="s">
        <v>39</v>
      </c>
      <c r="N184" s="2" t="s">
        <v>2343</v>
      </c>
      <c r="O184" s="2" t="s">
        <v>40</v>
      </c>
      <c r="P184" s="2" t="s">
        <v>43</v>
      </c>
      <c r="Q184" s="2" t="s">
        <v>42</v>
      </c>
      <c r="R184" s="2" t="s">
        <v>42</v>
      </c>
      <c r="S184" s="2" t="s">
        <v>41</v>
      </c>
      <c r="T184" s="2"/>
      <c r="U184" s="2" t="s">
        <v>41</v>
      </c>
      <c r="V184" s="2"/>
      <c r="W184" s="3">
        <v>45200</v>
      </c>
      <c r="X184" s="2"/>
      <c r="Y184" s="2" t="s">
        <v>125</v>
      </c>
      <c r="Z184" s="2" t="s">
        <v>262</v>
      </c>
      <c r="AA184" s="2" t="s">
        <v>147</v>
      </c>
      <c r="AB184" s="2" t="s">
        <v>311</v>
      </c>
      <c r="AC184" s="2" t="s">
        <v>263</v>
      </c>
      <c r="AD184" s="2" t="s">
        <v>129</v>
      </c>
      <c r="AE184" s="2"/>
    </row>
    <row r="185" spans="1:31" ht="409.6">
      <c r="A185" s="2" t="s">
        <v>938</v>
      </c>
      <c r="B185" s="2" t="s">
        <v>939</v>
      </c>
      <c r="C185" s="2" t="str">
        <f>sheet13[[#This Row],[Nombre]]&amp;sheet13[[#This Row],[Bp Id]]</f>
        <v>IBM Operational Decision Manager (ODM)OMN0003</v>
      </c>
      <c r="D185" s="2" t="str">
        <f>VLOOKUP(sheet13[[#This Row],[Columna1]],Sheet2!C:S,4,FALSE)</f>
        <v>Operativo</v>
      </c>
      <c r="E185" s="2" t="s">
        <v>940</v>
      </c>
      <c r="F185" s="2" t="s">
        <v>32</v>
      </c>
      <c r="G185" s="2" t="s">
        <v>123</v>
      </c>
      <c r="H185" s="2" t="s">
        <v>34</v>
      </c>
      <c r="I185" s="2" t="s">
        <v>49</v>
      </c>
      <c r="J185" s="2" t="s">
        <v>51</v>
      </c>
      <c r="K185" s="2" t="s">
        <v>51</v>
      </c>
      <c r="L185" s="2" t="s">
        <v>941</v>
      </c>
      <c r="M185" s="2" t="s">
        <v>52</v>
      </c>
      <c r="N185" s="2" t="s">
        <v>2343</v>
      </c>
      <c r="O185" s="2" t="s">
        <v>40</v>
      </c>
      <c r="P185" s="2" t="s">
        <v>41</v>
      </c>
      <c r="Q185" s="2" t="s">
        <v>42</v>
      </c>
      <c r="R185" s="2" t="s">
        <v>53</v>
      </c>
      <c r="S185" s="2" t="s">
        <v>41</v>
      </c>
      <c r="T185" s="2"/>
      <c r="U185" s="2" t="s">
        <v>41</v>
      </c>
      <c r="V185" s="2"/>
      <c r="W185" s="3">
        <v>46197</v>
      </c>
      <c r="X185" s="2" t="s">
        <v>124</v>
      </c>
      <c r="Y185" s="2" t="s">
        <v>101</v>
      </c>
      <c r="Z185" s="2" t="s">
        <v>100</v>
      </c>
      <c r="AA185" s="2" t="s">
        <v>127</v>
      </c>
      <c r="AB185" s="2" t="s">
        <v>363</v>
      </c>
      <c r="AC185" s="2" t="s">
        <v>942</v>
      </c>
      <c r="AD185" s="2" t="s">
        <v>129</v>
      </c>
      <c r="AE185" s="2" t="s">
        <v>943</v>
      </c>
    </row>
    <row r="186" spans="1:31" ht="75.95">
      <c r="A186" s="2" t="s">
        <v>944</v>
      </c>
      <c r="B186" s="2" t="s">
        <v>945</v>
      </c>
      <c r="C186" s="2" t="str">
        <f>sheet13[[#This Row],[Nombre]]&amp;sheet13[[#This Row],[Bp Id]]</f>
        <v>IBM Spectrum ControlITM0034</v>
      </c>
      <c r="D186" s="2" t="str">
        <f>VLOOKUP(sheet13[[#This Row],[Columna1]],Sheet2!C:S,4,FALSE)</f>
        <v>Operativo</v>
      </c>
      <c r="E186" s="2" t="s">
        <v>946</v>
      </c>
      <c r="F186" s="2" t="s">
        <v>32</v>
      </c>
      <c r="G186" s="2" t="s">
        <v>48</v>
      </c>
      <c r="H186" s="2" t="s">
        <v>34</v>
      </c>
      <c r="I186" s="2" t="s">
        <v>68</v>
      </c>
      <c r="J186" s="2" t="s">
        <v>69</v>
      </c>
      <c r="K186" s="2" t="s">
        <v>70</v>
      </c>
      <c r="L186" s="2" t="s">
        <v>586</v>
      </c>
      <c r="M186" s="2" t="s">
        <v>52</v>
      </c>
      <c r="N186" s="2" t="s">
        <v>2343</v>
      </c>
      <c r="O186" s="2" t="s">
        <v>40</v>
      </c>
      <c r="P186" s="2" t="s">
        <v>41</v>
      </c>
      <c r="Q186" s="2" t="s">
        <v>53</v>
      </c>
      <c r="R186" s="2" t="s">
        <v>53</v>
      </c>
      <c r="S186" s="2" t="s">
        <v>43</v>
      </c>
      <c r="T186" s="2" t="s">
        <v>2344</v>
      </c>
      <c r="U186" s="2" t="s">
        <v>43</v>
      </c>
      <c r="V186" s="2"/>
      <c r="W186" s="3"/>
      <c r="X186" s="2"/>
      <c r="Y186" s="2"/>
      <c r="Z186" s="2"/>
      <c r="AA186" s="2"/>
      <c r="AB186" s="2"/>
      <c r="AC186" s="2"/>
      <c r="AD186" s="2"/>
      <c r="AE186" s="2"/>
    </row>
    <row r="187" spans="1:31" ht="409.6">
      <c r="A187" s="2" t="s">
        <v>947</v>
      </c>
      <c r="B187" s="2" t="s">
        <v>948</v>
      </c>
      <c r="C187" s="2" t="str">
        <f>sheet13[[#This Row],[Nombre]]&amp;sheet13[[#This Row],[Bp Id]]</f>
        <v>Sonar OptimizerITM0118</v>
      </c>
      <c r="D187" s="2" t="str">
        <f>VLOOKUP(sheet13[[#This Row],[Columna1]],Sheet2!C:S,4,FALSE)</f>
        <v>Operativo</v>
      </c>
      <c r="E187" s="2" t="s">
        <v>949</v>
      </c>
      <c r="F187" s="2" t="s">
        <v>32</v>
      </c>
      <c r="G187" s="2" t="s">
        <v>48</v>
      </c>
      <c r="H187" s="2" t="s">
        <v>59</v>
      </c>
      <c r="I187" s="2" t="s">
        <v>198</v>
      </c>
      <c r="J187" s="2" t="s">
        <v>240</v>
      </c>
      <c r="K187" s="2" t="s">
        <v>950</v>
      </c>
      <c r="L187" s="2" t="s">
        <v>90</v>
      </c>
      <c r="M187" s="2" t="s">
        <v>63</v>
      </c>
      <c r="N187" s="2" t="s">
        <v>2343</v>
      </c>
      <c r="O187" s="2" t="s">
        <v>40</v>
      </c>
      <c r="P187" s="2" t="s">
        <v>43</v>
      </c>
      <c r="Q187" s="2"/>
      <c r="R187" s="2"/>
      <c r="S187" s="2" t="s">
        <v>43</v>
      </c>
      <c r="T187" s="2" t="s">
        <v>2344</v>
      </c>
      <c r="U187" s="2" t="s">
        <v>2345</v>
      </c>
      <c r="V187" s="2" t="s">
        <v>951</v>
      </c>
      <c r="W187" s="3">
        <v>45982</v>
      </c>
      <c r="X187" s="2" t="s">
        <v>952</v>
      </c>
      <c r="Y187" s="2"/>
      <c r="Z187" s="2"/>
      <c r="AA187" s="2"/>
      <c r="AB187" s="2"/>
      <c r="AC187" s="2"/>
      <c r="AD187" s="2"/>
      <c r="AE187" s="2"/>
    </row>
    <row r="188" spans="1:31" ht="113.45">
      <c r="A188" s="2" t="s">
        <v>953</v>
      </c>
      <c r="B188" s="2" t="s">
        <v>954</v>
      </c>
      <c r="C188" s="2" t="str">
        <f>sheet13[[#This Row],[Nombre]]&amp;sheet13[[#This Row],[Bp Id]]</f>
        <v>ZendeskCUS0020</v>
      </c>
      <c r="D188" s="2" t="str">
        <f>VLOOKUP(sheet13[[#This Row],[Columna1]],Sheet2!C:S,4,FALSE)</f>
        <v>Operativo</v>
      </c>
      <c r="E188" s="2"/>
      <c r="F188" s="2" t="s">
        <v>32</v>
      </c>
      <c r="G188" s="2" t="s">
        <v>76</v>
      </c>
      <c r="H188" s="2" t="s">
        <v>59</v>
      </c>
      <c r="I188" s="2" t="s">
        <v>87</v>
      </c>
      <c r="J188" s="2" t="s">
        <v>88</v>
      </c>
      <c r="K188" s="2" t="s">
        <v>360</v>
      </c>
      <c r="L188" s="2" t="s">
        <v>361</v>
      </c>
      <c r="M188" s="2" t="s">
        <v>39</v>
      </c>
      <c r="N188" s="2" t="s">
        <v>2343</v>
      </c>
      <c r="O188" s="2" t="s">
        <v>40</v>
      </c>
      <c r="P188" s="2" t="s">
        <v>41</v>
      </c>
      <c r="Q188" s="2" t="s">
        <v>42</v>
      </c>
      <c r="R188" s="2" t="s">
        <v>53</v>
      </c>
      <c r="S188" s="2" t="s">
        <v>41</v>
      </c>
      <c r="T188" s="2"/>
      <c r="U188" s="2" t="s">
        <v>41</v>
      </c>
      <c r="V188" s="2"/>
      <c r="W188" s="3">
        <v>45404</v>
      </c>
      <c r="X188" s="2"/>
      <c r="Y188" s="2"/>
      <c r="Z188" s="2"/>
      <c r="AA188" s="2" t="s">
        <v>147</v>
      </c>
      <c r="AB188" s="2" t="s">
        <v>147</v>
      </c>
      <c r="AC188" s="2" t="s">
        <v>180</v>
      </c>
      <c r="AD188" s="2" t="s">
        <v>129</v>
      </c>
      <c r="AE188" s="2" t="s">
        <v>955</v>
      </c>
    </row>
    <row r="189" spans="1:31" ht="176.1">
      <c r="A189" s="2" t="s">
        <v>956</v>
      </c>
      <c r="B189" s="2" t="s">
        <v>957</v>
      </c>
      <c r="C189" s="2" t="str">
        <f>sheet13[[#This Row],[Nombre]]&amp;sheet13[[#This Row],[Bp Id]]</f>
        <v>Seguridad Perimetral Firewall OnpremiseSEC0081</v>
      </c>
      <c r="D189" s="2" t="str">
        <f>VLOOKUP(sheet13[[#This Row],[Columna1]],Sheet2!C:S,4,FALSE)</f>
        <v>Operativo</v>
      </c>
      <c r="E189" s="2"/>
      <c r="F189" s="2" t="s">
        <v>32</v>
      </c>
      <c r="G189" s="2" t="s">
        <v>123</v>
      </c>
      <c r="H189" s="2" t="s">
        <v>34</v>
      </c>
      <c r="I189" s="2" t="s">
        <v>2348</v>
      </c>
      <c r="J189" s="2" t="s">
        <v>219</v>
      </c>
      <c r="K189" s="2" t="s">
        <v>176</v>
      </c>
      <c r="L189" s="2" t="s">
        <v>177</v>
      </c>
      <c r="M189" s="2" t="s">
        <v>111</v>
      </c>
      <c r="N189" s="2" t="s">
        <v>2343</v>
      </c>
      <c r="O189" s="2" t="s">
        <v>40</v>
      </c>
      <c r="P189" s="2" t="s">
        <v>41</v>
      </c>
      <c r="Q189" s="2" t="s">
        <v>42</v>
      </c>
      <c r="R189" s="2" t="s">
        <v>53</v>
      </c>
      <c r="S189" s="2" t="s">
        <v>41</v>
      </c>
      <c r="T189" s="2"/>
      <c r="U189" s="2" t="s">
        <v>41</v>
      </c>
      <c r="V189" s="2" t="s">
        <v>958</v>
      </c>
      <c r="W189" s="3">
        <v>45786</v>
      </c>
      <c r="X189" s="2"/>
      <c r="Y189" s="2" t="s">
        <v>375</v>
      </c>
      <c r="Z189" s="2" t="s">
        <v>959</v>
      </c>
      <c r="AA189" s="2" t="s">
        <v>127</v>
      </c>
      <c r="AB189" s="2" t="s">
        <v>127</v>
      </c>
      <c r="AC189" s="2" t="s">
        <v>148</v>
      </c>
      <c r="AD189" s="2" t="s">
        <v>129</v>
      </c>
      <c r="AE189" s="2"/>
    </row>
    <row r="190" spans="1:31" ht="409.6">
      <c r="A190" s="2" t="s">
        <v>960</v>
      </c>
      <c r="B190" s="2" t="s">
        <v>961</v>
      </c>
      <c r="C190" s="2" t="str">
        <f>sheet13[[#This Row],[Nombre]]&amp;sheet13[[#This Row],[Bp Id]]</f>
        <v>WorkvivoSUP0066</v>
      </c>
      <c r="D190" s="2" t="str">
        <f>VLOOKUP(sheet13[[#This Row],[Columna1]],Sheet2!C:S,4,FALSE)</f>
        <v>Operativo</v>
      </c>
      <c r="E190" s="2" t="s">
        <v>962</v>
      </c>
      <c r="F190" s="2" t="s">
        <v>32</v>
      </c>
      <c r="G190" s="2" t="s">
        <v>48</v>
      </c>
      <c r="H190" s="2" t="s">
        <v>59</v>
      </c>
      <c r="I190" s="2" t="s">
        <v>225</v>
      </c>
      <c r="J190" s="2" t="s">
        <v>226</v>
      </c>
      <c r="K190" s="2" t="s">
        <v>300</v>
      </c>
      <c r="L190" s="2" t="s">
        <v>2351</v>
      </c>
      <c r="M190" s="2" t="s">
        <v>63</v>
      </c>
      <c r="N190" s="2" t="s">
        <v>2343</v>
      </c>
      <c r="O190" s="2" t="s">
        <v>40</v>
      </c>
      <c r="P190" s="2" t="s">
        <v>43</v>
      </c>
      <c r="Q190" s="2" t="s">
        <v>64</v>
      </c>
      <c r="R190" s="2"/>
      <c r="S190" s="2" t="s">
        <v>43</v>
      </c>
      <c r="T190" s="2" t="s">
        <v>2344</v>
      </c>
      <c r="U190" s="2" t="s">
        <v>43</v>
      </c>
      <c r="V190" s="2" t="s">
        <v>963</v>
      </c>
      <c r="W190" s="3">
        <v>45992</v>
      </c>
      <c r="X190" s="2" t="s">
        <v>964</v>
      </c>
      <c r="Y190" s="2"/>
      <c r="Z190" s="2"/>
      <c r="AA190" s="2"/>
      <c r="AB190" s="2"/>
      <c r="AC190" s="2"/>
      <c r="AD190" s="2"/>
      <c r="AE190" s="2"/>
    </row>
    <row r="191" spans="1:31" ht="51">
      <c r="A191" s="2" t="s">
        <v>965</v>
      </c>
      <c r="B191" s="2" t="s">
        <v>966</v>
      </c>
      <c r="C191" s="2" t="str">
        <f>sheet13[[#This Row],[Nombre]]&amp;sheet13[[#This Row],[Bp Id]]</f>
        <v>MOTOR DECISIONALRIS0021</v>
      </c>
      <c r="D191" s="2" t="str">
        <f>VLOOKUP(sheet13[[#This Row],[Columna1]],Sheet2!C:S,4,FALSE)</f>
        <v>Operativo</v>
      </c>
      <c r="E191" s="2"/>
      <c r="F191" s="2" t="s">
        <v>32</v>
      </c>
      <c r="G191" s="2" t="s">
        <v>48</v>
      </c>
      <c r="H191" s="2" t="s">
        <v>59</v>
      </c>
      <c r="I191" s="2" t="s">
        <v>320</v>
      </c>
      <c r="J191" s="2" t="s">
        <v>321</v>
      </c>
      <c r="K191" s="2" t="s">
        <v>967</v>
      </c>
      <c r="L191" s="2" t="s">
        <v>595</v>
      </c>
      <c r="M191" s="2" t="s">
        <v>39</v>
      </c>
      <c r="N191" s="2" t="s">
        <v>2343</v>
      </c>
      <c r="O191" s="2" t="s">
        <v>40</v>
      </c>
      <c r="P191" s="2"/>
      <c r="Q191" s="2"/>
      <c r="R191" s="2"/>
      <c r="S191" s="2"/>
      <c r="T191" s="2" t="s">
        <v>2344</v>
      </c>
      <c r="U191" s="2" t="s">
        <v>2345</v>
      </c>
      <c r="V191" s="2"/>
      <c r="W191" s="3"/>
      <c r="X191" s="2"/>
      <c r="Y191" s="2"/>
      <c r="Z191" s="2"/>
      <c r="AA191" s="2"/>
      <c r="AB191" s="2"/>
      <c r="AC191" s="2"/>
      <c r="AD191" s="2"/>
      <c r="AE191" s="2"/>
    </row>
    <row r="192" spans="1:31" ht="88.5">
      <c r="A192" s="2" t="s">
        <v>968</v>
      </c>
      <c r="B192" s="2" t="s">
        <v>969</v>
      </c>
      <c r="C192" s="2" t="str">
        <f>sheet13[[#This Row],[Nombre]]&amp;sheet13[[#This Row],[Bp Id]]</f>
        <v>Swift Alliance Fullstack (ALLIANCE WEBPLATAFORM)GI0003</v>
      </c>
      <c r="D192" s="2" t="str">
        <f>VLOOKUP(sheet13[[#This Row],[Columna1]],Sheet2!C:S,4,FALSE)</f>
        <v>Operativo</v>
      </c>
      <c r="E192" s="2" t="s">
        <v>968</v>
      </c>
      <c r="F192" s="2" t="s">
        <v>32</v>
      </c>
      <c r="G192" s="2" t="s">
        <v>33</v>
      </c>
      <c r="H192" s="2" t="s">
        <v>34</v>
      </c>
      <c r="I192" s="2"/>
      <c r="J192" s="2"/>
      <c r="K192" s="2"/>
      <c r="L192" s="2"/>
      <c r="M192" s="2" t="s">
        <v>39</v>
      </c>
      <c r="N192" s="2" t="s">
        <v>2343</v>
      </c>
      <c r="O192" s="2" t="s">
        <v>40</v>
      </c>
      <c r="P192" s="2" t="s">
        <v>41</v>
      </c>
      <c r="Q192" s="2" t="s">
        <v>53</v>
      </c>
      <c r="R192" s="2" t="s">
        <v>53</v>
      </c>
      <c r="S192" s="2" t="s">
        <v>41</v>
      </c>
      <c r="T192" s="2"/>
      <c r="U192" s="2" t="s">
        <v>41</v>
      </c>
      <c r="V192" s="2"/>
      <c r="W192" s="3">
        <v>45200</v>
      </c>
      <c r="X192" s="2" t="s">
        <v>970</v>
      </c>
      <c r="Y192" s="2"/>
      <c r="Z192" s="2" t="s">
        <v>126</v>
      </c>
      <c r="AA192" s="2" t="s">
        <v>147</v>
      </c>
      <c r="AB192" s="2" t="s">
        <v>147</v>
      </c>
      <c r="AC192" s="2" t="s">
        <v>180</v>
      </c>
      <c r="AD192" s="2" t="s">
        <v>129</v>
      </c>
      <c r="AE192" s="2"/>
    </row>
    <row r="193" spans="1:31" ht="288.60000000000002">
      <c r="A193" s="2" t="s">
        <v>971</v>
      </c>
      <c r="B193" s="2" t="s">
        <v>972</v>
      </c>
      <c r="C193" s="2" t="str">
        <f>sheet13[[#This Row],[Nombre]]&amp;sheet13[[#This Row],[Bp Id]]</f>
        <v>Reporting Services Negocio AutomotrizGI00001</v>
      </c>
      <c r="D193" s="2" t="str">
        <f>VLOOKUP(sheet13[[#This Row],[Columna1]],Sheet2!C:S,4,FALSE)</f>
        <v>Operativo</v>
      </c>
      <c r="E193" s="2" t="s">
        <v>973</v>
      </c>
      <c r="F193" s="2" t="s">
        <v>32</v>
      </c>
      <c r="G193" s="2" t="s">
        <v>48</v>
      </c>
      <c r="H193" s="2" t="s">
        <v>59</v>
      </c>
      <c r="I193" s="2"/>
      <c r="J193" s="2"/>
      <c r="K193" s="2"/>
      <c r="L193" s="2"/>
      <c r="M193" s="2" t="s">
        <v>39</v>
      </c>
      <c r="N193" s="2" t="s">
        <v>2343</v>
      </c>
      <c r="O193" s="2" t="s">
        <v>40</v>
      </c>
      <c r="P193" s="2" t="s">
        <v>41</v>
      </c>
      <c r="Q193" s="2" t="s">
        <v>53</v>
      </c>
      <c r="R193" s="2" t="s">
        <v>53</v>
      </c>
      <c r="S193" s="2" t="s">
        <v>41</v>
      </c>
      <c r="T193" s="2"/>
      <c r="U193" s="2" t="s">
        <v>41</v>
      </c>
      <c r="V193" s="2"/>
      <c r="W193" s="3">
        <v>45854</v>
      </c>
      <c r="X193" s="2" t="s">
        <v>974</v>
      </c>
      <c r="Y193" s="2" t="s">
        <v>253</v>
      </c>
      <c r="Z193" s="2" t="s">
        <v>959</v>
      </c>
      <c r="AA193" s="2" t="s">
        <v>127</v>
      </c>
      <c r="AB193" s="2" t="s">
        <v>127</v>
      </c>
      <c r="AC193" s="2" t="s">
        <v>180</v>
      </c>
      <c r="AD193" s="2" t="s">
        <v>129</v>
      </c>
      <c r="AE193" s="2" t="s">
        <v>975</v>
      </c>
    </row>
    <row r="194" spans="1:31" ht="75.95">
      <c r="A194" s="2" t="s">
        <v>976</v>
      </c>
      <c r="B194" s="2" t="s">
        <v>977</v>
      </c>
      <c r="C194" s="2" t="str">
        <f>sheet13[[#This Row],[Nombre]]&amp;sheet13[[#This Row],[Bp Id]]</f>
        <v>Swift Alliance Fullstack (ALLIANCE GATEWAY)GI0002</v>
      </c>
      <c r="D194" s="2" t="str">
        <f>VLOOKUP(sheet13[[#This Row],[Columna1]],Sheet2!C:S,4,FALSE)</f>
        <v>Operativo</v>
      </c>
      <c r="E194" s="2" t="s">
        <v>976</v>
      </c>
      <c r="F194" s="2" t="s">
        <v>32</v>
      </c>
      <c r="G194" s="2" t="s">
        <v>33</v>
      </c>
      <c r="H194" s="2" t="s">
        <v>34</v>
      </c>
      <c r="I194" s="2"/>
      <c r="J194" s="2"/>
      <c r="K194" s="2"/>
      <c r="L194" s="2"/>
      <c r="M194" s="2" t="s">
        <v>39</v>
      </c>
      <c r="N194" s="2" t="s">
        <v>2343</v>
      </c>
      <c r="O194" s="2" t="s">
        <v>40</v>
      </c>
      <c r="P194" s="2" t="s">
        <v>41</v>
      </c>
      <c r="Q194" s="2"/>
      <c r="R194" s="2"/>
      <c r="S194" s="2" t="s">
        <v>41</v>
      </c>
      <c r="T194" s="2"/>
      <c r="U194" s="2" t="s">
        <v>41</v>
      </c>
      <c r="V194" s="2" t="s">
        <v>978</v>
      </c>
      <c r="W194" s="3">
        <v>45200</v>
      </c>
      <c r="X194" s="2" t="s">
        <v>970</v>
      </c>
      <c r="Y194" s="2"/>
      <c r="Z194" s="2" t="s">
        <v>126</v>
      </c>
      <c r="AA194" s="2" t="s">
        <v>147</v>
      </c>
      <c r="AB194" s="2" t="s">
        <v>147</v>
      </c>
      <c r="AC194" s="2" t="s">
        <v>180</v>
      </c>
      <c r="AD194" s="2" t="s">
        <v>129</v>
      </c>
      <c r="AE194" s="2"/>
    </row>
    <row r="195" spans="1:31" ht="113.45">
      <c r="A195" s="2" t="s">
        <v>979</v>
      </c>
      <c r="B195" s="2" t="s">
        <v>980</v>
      </c>
      <c r="C195" s="2" t="str">
        <f>sheet13[[#This Row],[Nombre]]&amp;sheet13[[#This Row],[Bp Id]]</f>
        <v>Seguridad Perimetral Firewall Onpremise (BPAC)GI0005</v>
      </c>
      <c r="D195" s="2" t="str">
        <f>VLOOKUP(sheet13[[#This Row],[Columna1]],Sheet2!C:S,4,FALSE)</f>
        <v>Operativo</v>
      </c>
      <c r="E195" s="2" t="s">
        <v>979</v>
      </c>
      <c r="F195" s="2" t="s">
        <v>32</v>
      </c>
      <c r="G195" s="2" t="s">
        <v>123</v>
      </c>
      <c r="H195" s="2" t="s">
        <v>34</v>
      </c>
      <c r="I195" s="2"/>
      <c r="J195" s="2"/>
      <c r="K195" s="2"/>
      <c r="L195" s="2"/>
      <c r="M195" s="2" t="s">
        <v>111</v>
      </c>
      <c r="N195" s="2" t="s">
        <v>2343</v>
      </c>
      <c r="O195" s="2" t="s">
        <v>40</v>
      </c>
      <c r="P195" s="2" t="s">
        <v>41</v>
      </c>
      <c r="Q195" s="2" t="s">
        <v>53</v>
      </c>
      <c r="R195" s="2" t="s">
        <v>53</v>
      </c>
      <c r="S195" s="2" t="s">
        <v>41</v>
      </c>
      <c r="T195" s="2"/>
      <c r="U195" s="2" t="s">
        <v>41</v>
      </c>
      <c r="V195" s="2" t="s">
        <v>981</v>
      </c>
      <c r="W195" s="3">
        <v>45937</v>
      </c>
      <c r="X195" s="2" t="s">
        <v>974</v>
      </c>
      <c r="Y195" s="2" t="s">
        <v>590</v>
      </c>
      <c r="Z195" s="2" t="s">
        <v>959</v>
      </c>
      <c r="AA195" s="2" t="s">
        <v>127</v>
      </c>
      <c r="AB195" s="2" t="s">
        <v>127</v>
      </c>
      <c r="AC195" s="2" t="s">
        <v>180</v>
      </c>
      <c r="AD195" s="2" t="s">
        <v>129</v>
      </c>
      <c r="AE195" s="2"/>
    </row>
    <row r="196" spans="1:31" ht="409.6">
      <c r="A196" s="2" t="s">
        <v>982</v>
      </c>
      <c r="B196" s="2" t="s">
        <v>983</v>
      </c>
      <c r="C196" s="2" t="str">
        <f>sheet13[[#This Row],[Nombre]]&amp;sheet13[[#This Row],[Bp Id]]</f>
        <v>Comunicaciones UnificadasITM0104</v>
      </c>
      <c r="D196" s="2" t="str">
        <f>VLOOKUP(sheet13[[#This Row],[Columna1]],Sheet2!C:S,4,FALSE)</f>
        <v>Operativo</v>
      </c>
      <c r="E196" s="2" t="s">
        <v>984</v>
      </c>
      <c r="F196" s="2" t="s">
        <v>32</v>
      </c>
      <c r="G196" s="2" t="s">
        <v>48</v>
      </c>
      <c r="H196" s="2" t="s">
        <v>34</v>
      </c>
      <c r="I196" s="2" t="s">
        <v>68</v>
      </c>
      <c r="J196" s="2" t="s">
        <v>69</v>
      </c>
      <c r="K196" s="2" t="s">
        <v>516</v>
      </c>
      <c r="L196" s="2" t="s">
        <v>517</v>
      </c>
      <c r="M196" s="2" t="s">
        <v>63</v>
      </c>
      <c r="N196" s="2" t="s">
        <v>2343</v>
      </c>
      <c r="O196" s="2" t="s">
        <v>40</v>
      </c>
      <c r="P196" s="2" t="s">
        <v>43</v>
      </c>
      <c r="Q196" s="2" t="s">
        <v>64</v>
      </c>
      <c r="R196" s="2" t="s">
        <v>64</v>
      </c>
      <c r="S196" s="2" t="s">
        <v>43</v>
      </c>
      <c r="T196" s="2" t="s">
        <v>2344</v>
      </c>
      <c r="U196" s="2" t="s">
        <v>2345</v>
      </c>
      <c r="V196" s="2" t="s">
        <v>985</v>
      </c>
      <c r="W196" s="3">
        <v>45986</v>
      </c>
      <c r="X196" s="2" t="s">
        <v>986</v>
      </c>
      <c r="Y196" s="2"/>
      <c r="Z196" s="2"/>
      <c r="AA196" s="2"/>
      <c r="AB196" s="2"/>
      <c r="AC196" s="2" t="s">
        <v>987</v>
      </c>
      <c r="AD196" s="2"/>
      <c r="AE196" s="2"/>
    </row>
    <row r="197" spans="1:31" ht="326.10000000000002">
      <c r="A197" s="2" t="s">
        <v>988</v>
      </c>
      <c r="B197" s="2" t="s">
        <v>989</v>
      </c>
      <c r="C197" s="2" t="str">
        <f>sheet13[[#This Row],[Nombre]]&amp;sheet13[[#This Row],[Bp Id]]</f>
        <v>Intune - MAMGI0006</v>
      </c>
      <c r="D197" s="2" t="str">
        <f>VLOOKUP(sheet13[[#This Row],[Columna1]],Sheet2!C:S,4,FALSE)</f>
        <v>Operativo</v>
      </c>
      <c r="E197" s="2" t="s">
        <v>990</v>
      </c>
      <c r="F197" s="2" t="s">
        <v>32</v>
      </c>
      <c r="G197" s="2" t="s">
        <v>123</v>
      </c>
      <c r="H197" s="2" t="s">
        <v>59</v>
      </c>
      <c r="I197" s="2"/>
      <c r="J197" s="2"/>
      <c r="K197" s="2"/>
      <c r="L197" s="2"/>
      <c r="M197" s="2" t="s">
        <v>111</v>
      </c>
      <c r="N197" s="2" t="s">
        <v>2343</v>
      </c>
      <c r="O197" s="2" t="s">
        <v>40</v>
      </c>
      <c r="P197" s="2" t="s">
        <v>41</v>
      </c>
      <c r="Q197" s="2" t="s">
        <v>64</v>
      </c>
      <c r="R197" s="2" t="s">
        <v>64</v>
      </c>
      <c r="S197" s="2" t="s">
        <v>41</v>
      </c>
      <c r="T197" s="2"/>
      <c r="U197" s="2" t="s">
        <v>41</v>
      </c>
      <c r="V197" s="2"/>
      <c r="W197" s="3">
        <v>46052</v>
      </c>
      <c r="X197" s="2" t="s">
        <v>991</v>
      </c>
      <c r="Y197" s="2" t="s">
        <v>959</v>
      </c>
      <c r="Z197" s="2" t="s">
        <v>101</v>
      </c>
      <c r="AA197" s="2" t="s">
        <v>376</v>
      </c>
      <c r="AB197" s="2" t="s">
        <v>127</v>
      </c>
      <c r="AC197" s="2" t="s">
        <v>992</v>
      </c>
      <c r="AD197" s="2" t="s">
        <v>129</v>
      </c>
      <c r="AE197" s="2" t="s">
        <v>993</v>
      </c>
    </row>
    <row r="198" spans="1:31" ht="326.10000000000002">
      <c r="A198" s="2" t="s">
        <v>994</v>
      </c>
      <c r="B198" s="2" t="s">
        <v>995</v>
      </c>
      <c r="C198" s="2" t="str">
        <f>sheet13[[#This Row],[Nombre]]&amp;sheet13[[#This Row],[Bp Id]]</f>
        <v>Microsoft PurviewGI0007</v>
      </c>
      <c r="D198" s="2" t="str">
        <f>VLOOKUP(sheet13[[#This Row],[Columna1]],Sheet2!C:S,4,FALSE)</f>
        <v>Operativo</v>
      </c>
      <c r="E198" s="2" t="s">
        <v>996</v>
      </c>
      <c r="F198" s="2" t="s">
        <v>32</v>
      </c>
      <c r="G198" s="2" t="s">
        <v>123</v>
      </c>
      <c r="H198" s="2" t="s">
        <v>59</v>
      </c>
      <c r="I198" s="2"/>
      <c r="J198" s="2"/>
      <c r="K198" s="2"/>
      <c r="L198" s="2"/>
      <c r="M198" s="2" t="s">
        <v>111</v>
      </c>
      <c r="N198" s="2" t="s">
        <v>2343</v>
      </c>
      <c r="O198" s="2" t="s">
        <v>40</v>
      </c>
      <c r="P198" s="2" t="s">
        <v>41</v>
      </c>
      <c r="Q198" s="2" t="s">
        <v>64</v>
      </c>
      <c r="R198" s="2" t="s">
        <v>64</v>
      </c>
      <c r="S198" s="2" t="s">
        <v>41</v>
      </c>
      <c r="T198" s="2"/>
      <c r="U198" s="2" t="s">
        <v>41</v>
      </c>
      <c r="V198" s="2" t="s">
        <v>997</v>
      </c>
      <c r="W198" s="3">
        <v>46052</v>
      </c>
      <c r="X198" s="2" t="s">
        <v>991</v>
      </c>
      <c r="Y198" s="2" t="s">
        <v>959</v>
      </c>
      <c r="Z198" s="2" t="s">
        <v>101</v>
      </c>
      <c r="AA198" s="2" t="s">
        <v>376</v>
      </c>
      <c r="AB198" s="2" t="s">
        <v>127</v>
      </c>
      <c r="AC198" s="2" t="s">
        <v>992</v>
      </c>
      <c r="AD198" s="2" t="s">
        <v>129</v>
      </c>
      <c r="AE198" s="2" t="s">
        <v>998</v>
      </c>
    </row>
    <row r="199" spans="1:31" ht="401.1">
      <c r="A199" s="2" t="s">
        <v>999</v>
      </c>
      <c r="B199" s="2" t="s">
        <v>1000</v>
      </c>
      <c r="C199" s="2" t="str">
        <f>sheet13[[#This Row],[Nombre]]&amp;sheet13[[#This Row],[Bp Id]]</f>
        <v>Microsoft Defender AppsGI0008</v>
      </c>
      <c r="D199" s="2" t="str">
        <f>VLOOKUP(sheet13[[#This Row],[Columna1]],Sheet2!C:S,4,FALSE)</f>
        <v>Operativo</v>
      </c>
      <c r="E199" s="2" t="s">
        <v>1001</v>
      </c>
      <c r="F199" s="2" t="s">
        <v>32</v>
      </c>
      <c r="G199" s="2" t="s">
        <v>123</v>
      </c>
      <c r="H199" s="2" t="s">
        <v>59</v>
      </c>
      <c r="I199" s="2"/>
      <c r="J199" s="2"/>
      <c r="K199" s="2"/>
      <c r="L199" s="2"/>
      <c r="M199" s="2" t="s">
        <v>111</v>
      </c>
      <c r="N199" s="2" t="s">
        <v>2343</v>
      </c>
      <c r="O199" s="2" t="s">
        <v>40</v>
      </c>
      <c r="P199" s="2" t="s">
        <v>41</v>
      </c>
      <c r="Q199" s="2" t="s">
        <v>64</v>
      </c>
      <c r="R199" s="2" t="s">
        <v>64</v>
      </c>
      <c r="S199" s="2" t="s">
        <v>41</v>
      </c>
      <c r="T199" s="2"/>
      <c r="U199" s="2" t="s">
        <v>41</v>
      </c>
      <c r="V199" s="2" t="s">
        <v>475</v>
      </c>
      <c r="W199" s="3">
        <v>46052</v>
      </c>
      <c r="X199" s="2" t="s">
        <v>991</v>
      </c>
      <c r="Y199" s="2" t="s">
        <v>959</v>
      </c>
      <c r="Z199" s="2" t="s">
        <v>101</v>
      </c>
      <c r="AA199" s="2" t="s">
        <v>376</v>
      </c>
      <c r="AB199" s="2" t="s">
        <v>127</v>
      </c>
      <c r="AC199" s="2" t="s">
        <v>992</v>
      </c>
      <c r="AD199" s="2" t="s">
        <v>129</v>
      </c>
      <c r="AE199" s="2" t="s">
        <v>1002</v>
      </c>
    </row>
    <row r="200" spans="1:31" ht="75.95">
      <c r="A200" s="2" t="s">
        <v>1003</v>
      </c>
      <c r="B200" s="2" t="s">
        <v>1004</v>
      </c>
      <c r="C200" s="2" t="str">
        <f>sheet13[[#This Row],[Nombre]]&amp;sheet13[[#This Row],[Bp Id]]</f>
        <v>JP MorganGI0010</v>
      </c>
      <c r="D200" s="2" t="str">
        <f>VLOOKUP(sheet13[[#This Row],[Columna1]],Sheet2!C:S,4,FALSE)</f>
        <v>Operativo</v>
      </c>
      <c r="E200" s="2" t="s">
        <v>1005</v>
      </c>
      <c r="F200" s="2" t="s">
        <v>32</v>
      </c>
      <c r="G200" s="2" t="s">
        <v>76</v>
      </c>
      <c r="H200" s="2" t="s">
        <v>140</v>
      </c>
      <c r="I200" s="2"/>
      <c r="J200" s="2"/>
      <c r="K200" s="2"/>
      <c r="L200" s="2"/>
      <c r="M200" s="2" t="s">
        <v>39</v>
      </c>
      <c r="N200" s="2" t="s">
        <v>2343</v>
      </c>
      <c r="O200" s="2" t="s">
        <v>40</v>
      </c>
      <c r="P200" s="2" t="s">
        <v>41</v>
      </c>
      <c r="Q200" s="2" t="s">
        <v>53</v>
      </c>
      <c r="R200" s="2" t="s">
        <v>53</v>
      </c>
      <c r="S200" s="2" t="s">
        <v>41</v>
      </c>
      <c r="T200" s="2"/>
      <c r="U200" s="2" t="s">
        <v>41</v>
      </c>
      <c r="V200" s="2"/>
      <c r="W200" s="3">
        <v>45817</v>
      </c>
      <c r="X200" s="2" t="s">
        <v>1031</v>
      </c>
      <c r="Y200" s="2" t="s">
        <v>590</v>
      </c>
      <c r="Z200" s="2" t="s">
        <v>101</v>
      </c>
      <c r="AA200" s="2" t="s">
        <v>127</v>
      </c>
      <c r="AB200" s="2" t="s">
        <v>127</v>
      </c>
      <c r="AC200" s="2" t="s">
        <v>180</v>
      </c>
      <c r="AD200" s="2" t="s">
        <v>129</v>
      </c>
      <c r="AE200" s="2" t="s">
        <v>1008</v>
      </c>
    </row>
    <row r="201" spans="1:31" ht="88.5">
      <c r="A201" s="2" t="s">
        <v>1009</v>
      </c>
      <c r="B201" s="2" t="s">
        <v>1010</v>
      </c>
      <c r="C201" s="2" t="str">
        <f>sheet13[[#This Row],[Nombre]]&amp;sheet13[[#This Row],[Bp Id]]</f>
        <v>LoginterGI0011</v>
      </c>
      <c r="D201" s="2" t="str">
        <f>VLOOKUP(sheet13[[#This Row],[Columna1]],Sheet2!C:S,4,FALSE)</f>
        <v>Operativo</v>
      </c>
      <c r="E201" s="2" t="s">
        <v>1011</v>
      </c>
      <c r="F201" s="2" t="s">
        <v>32</v>
      </c>
      <c r="G201" s="2" t="s">
        <v>76</v>
      </c>
      <c r="H201" s="2" t="s">
        <v>140</v>
      </c>
      <c r="I201" s="2"/>
      <c r="J201" s="2"/>
      <c r="K201" s="2"/>
      <c r="L201" s="2"/>
      <c r="M201" s="2" t="s">
        <v>39</v>
      </c>
      <c r="N201" s="2" t="s">
        <v>2343</v>
      </c>
      <c r="O201" s="2" t="s">
        <v>40</v>
      </c>
      <c r="P201" s="2" t="s">
        <v>41</v>
      </c>
      <c r="Q201" s="2" t="s">
        <v>53</v>
      </c>
      <c r="R201" s="2" t="s">
        <v>53</v>
      </c>
      <c r="S201" s="2" t="s">
        <v>41</v>
      </c>
      <c r="T201" s="2"/>
      <c r="U201" s="2" t="s">
        <v>41</v>
      </c>
      <c r="V201" s="2"/>
      <c r="W201" s="3">
        <v>45200</v>
      </c>
      <c r="X201" s="2" t="s">
        <v>1012</v>
      </c>
      <c r="Y201" s="2" t="s">
        <v>369</v>
      </c>
      <c r="Z201" s="2" t="s">
        <v>125</v>
      </c>
      <c r="AA201" s="2" t="s">
        <v>127</v>
      </c>
      <c r="AB201" s="2" t="s">
        <v>127</v>
      </c>
      <c r="AC201" s="2" t="s">
        <v>1013</v>
      </c>
      <c r="AD201" s="2" t="s">
        <v>129</v>
      </c>
      <c r="AE201" s="2"/>
    </row>
    <row r="202" spans="1:31" ht="251.1">
      <c r="A202" s="2" t="s">
        <v>1014</v>
      </c>
      <c r="B202" s="2" t="s">
        <v>1015</v>
      </c>
      <c r="C202" s="2" t="str">
        <f>sheet13[[#This Row],[Nombre]]&amp;sheet13[[#This Row],[Bp Id]]</f>
        <v>Model Risk HubGI0013</v>
      </c>
      <c r="D202" s="2" t="str">
        <f>VLOOKUP(sheet13[[#This Row],[Columna1]],Sheet2!C:S,4,FALSE)</f>
        <v>Operativo</v>
      </c>
      <c r="E202" s="2" t="s">
        <v>1016</v>
      </c>
      <c r="F202" s="2" t="s">
        <v>32</v>
      </c>
      <c r="G202" s="2" t="s">
        <v>76</v>
      </c>
      <c r="H202" s="2" t="s">
        <v>59</v>
      </c>
      <c r="I202" s="2"/>
      <c r="J202" s="2"/>
      <c r="K202" s="2"/>
      <c r="L202" s="2"/>
      <c r="M202" s="2" t="s">
        <v>63</v>
      </c>
      <c r="N202" s="2" t="s">
        <v>2343</v>
      </c>
      <c r="O202" s="2" t="s">
        <v>40</v>
      </c>
      <c r="P202" s="2" t="s">
        <v>41</v>
      </c>
      <c r="Q202" s="2" t="s">
        <v>53</v>
      </c>
      <c r="R202" s="2" t="s">
        <v>64</v>
      </c>
      <c r="S202" s="2" t="s">
        <v>41</v>
      </c>
      <c r="T202" s="2"/>
      <c r="U202" s="2" t="s">
        <v>41</v>
      </c>
      <c r="V202" s="2" t="s">
        <v>1017</v>
      </c>
      <c r="W202" s="3">
        <v>46066</v>
      </c>
      <c r="X202" s="2" t="s">
        <v>1018</v>
      </c>
      <c r="Y202" s="2" t="s">
        <v>187</v>
      </c>
      <c r="Z202" s="2"/>
      <c r="AA202" s="2" t="s">
        <v>127</v>
      </c>
      <c r="AB202" s="2" t="s">
        <v>127</v>
      </c>
      <c r="AC202" s="2" t="s">
        <v>180</v>
      </c>
      <c r="AD202" s="2" t="s">
        <v>129</v>
      </c>
      <c r="AE202" s="2" t="s">
        <v>1019</v>
      </c>
    </row>
    <row r="203" spans="1:31" ht="63.6">
      <c r="A203" s="2" t="s">
        <v>1020</v>
      </c>
      <c r="B203" s="2" t="s">
        <v>1021</v>
      </c>
      <c r="C203" s="2" t="str">
        <f>sheet13[[#This Row],[Nombre]]&amp;sheet13[[#This Row],[Bp Id]]</f>
        <v>MISPSEC0092</v>
      </c>
      <c r="D203" s="2" t="str">
        <f>VLOOKUP(sheet13[[#This Row],[Columna1]],Sheet2!C:S,4,FALSE)</f>
        <v>Operativo</v>
      </c>
      <c r="E203" s="2"/>
      <c r="F203" s="2" t="s">
        <v>32</v>
      </c>
      <c r="G203" s="2" t="s">
        <v>48</v>
      </c>
      <c r="H203" s="2" t="s">
        <v>59</v>
      </c>
      <c r="I203" s="2" t="s">
        <v>2346</v>
      </c>
      <c r="J203" s="2" t="s">
        <v>1022</v>
      </c>
      <c r="K203" s="2" t="s">
        <v>803</v>
      </c>
      <c r="L203" s="2" t="s">
        <v>1022</v>
      </c>
      <c r="M203" s="2" t="s">
        <v>111</v>
      </c>
      <c r="N203" s="2" t="s">
        <v>2343</v>
      </c>
      <c r="O203" s="2" t="s">
        <v>40</v>
      </c>
      <c r="P203" s="2" t="s">
        <v>41</v>
      </c>
      <c r="Q203" s="2" t="s">
        <v>53</v>
      </c>
      <c r="R203" s="2" t="s">
        <v>53</v>
      </c>
      <c r="S203" s="2" t="s">
        <v>41</v>
      </c>
      <c r="T203" s="2" t="s">
        <v>2344</v>
      </c>
      <c r="U203" s="2" t="s">
        <v>43</v>
      </c>
      <c r="V203" s="2"/>
      <c r="W203" s="3"/>
      <c r="X203" s="2"/>
      <c r="Y203" s="2"/>
      <c r="Z203" s="2"/>
      <c r="AA203" s="2"/>
      <c r="AB203" s="2"/>
      <c r="AC203" s="2"/>
      <c r="AD203" s="2"/>
      <c r="AE203" s="2"/>
    </row>
    <row r="204" spans="1:31" ht="75.95">
      <c r="A204" s="2" t="s">
        <v>1024</v>
      </c>
      <c r="B204" s="2" t="s">
        <v>1025</v>
      </c>
      <c r="C204" s="2" t="str">
        <f>sheet13[[#This Row],[Nombre]]&amp;sheet13[[#This Row],[Bp Id]]</f>
        <v>Swift O2MGI0019</v>
      </c>
      <c r="D204" s="2" t="str">
        <f>VLOOKUP(sheet13[[#This Row],[Columna1]],Sheet2!C:S,4,FALSE)</f>
        <v>Operativo</v>
      </c>
      <c r="E204" s="2" t="s">
        <v>1024</v>
      </c>
      <c r="F204" s="2" t="s">
        <v>32</v>
      </c>
      <c r="G204" s="2" t="s">
        <v>76</v>
      </c>
      <c r="H204" s="2" t="s">
        <v>140</v>
      </c>
      <c r="I204" s="2"/>
      <c r="J204" s="2"/>
      <c r="K204" s="2"/>
      <c r="L204" s="2"/>
      <c r="M204" s="2" t="s">
        <v>39</v>
      </c>
      <c r="N204" s="2" t="s">
        <v>2343</v>
      </c>
      <c r="O204" s="2" t="s">
        <v>40</v>
      </c>
      <c r="P204" s="2" t="s">
        <v>41</v>
      </c>
      <c r="Q204" s="2" t="s">
        <v>53</v>
      </c>
      <c r="R204" s="2" t="s">
        <v>53</v>
      </c>
      <c r="S204" s="2" t="s">
        <v>41</v>
      </c>
      <c r="T204" s="2"/>
      <c r="U204" s="2" t="s">
        <v>41</v>
      </c>
      <c r="V204" s="2"/>
      <c r="W204" s="3">
        <v>45200</v>
      </c>
      <c r="X204" s="2" t="s">
        <v>970</v>
      </c>
      <c r="Y204" s="2" t="s">
        <v>126</v>
      </c>
      <c r="Z204" s="2"/>
      <c r="AA204" s="2" t="s">
        <v>127</v>
      </c>
      <c r="AB204" s="2" t="s">
        <v>127</v>
      </c>
      <c r="AC204" s="2" t="s">
        <v>180</v>
      </c>
      <c r="AD204" s="2" t="s">
        <v>129</v>
      </c>
      <c r="AE204" s="2"/>
    </row>
    <row r="205" spans="1:31" ht="75.95">
      <c r="A205" s="2" t="s">
        <v>1027</v>
      </c>
      <c r="B205" s="2" t="s">
        <v>1028</v>
      </c>
      <c r="C205" s="2" t="str">
        <f>sheet13[[#This Row],[Nombre]]&amp;sheet13[[#This Row],[Bp Id]]</f>
        <v>WELLSFARGOGI0021</v>
      </c>
      <c r="D205" s="2" t="str">
        <f>VLOOKUP(sheet13[[#This Row],[Columna1]],Sheet2!C:S,4,FALSE)</f>
        <v>Operativo</v>
      </c>
      <c r="E205" s="2" t="s">
        <v>1029</v>
      </c>
      <c r="F205" s="2" t="s">
        <v>32</v>
      </c>
      <c r="G205" s="2" t="s">
        <v>76</v>
      </c>
      <c r="H205" s="2" t="s">
        <v>140</v>
      </c>
      <c r="I205" s="2"/>
      <c r="J205" s="2"/>
      <c r="K205" s="2"/>
      <c r="L205" s="2"/>
      <c r="M205" s="2" t="s">
        <v>39</v>
      </c>
      <c r="N205" s="2" t="s">
        <v>2343</v>
      </c>
      <c r="O205" s="2" t="s">
        <v>40</v>
      </c>
      <c r="P205" s="2" t="s">
        <v>41</v>
      </c>
      <c r="Q205" s="2" t="s">
        <v>53</v>
      </c>
      <c r="R205" s="2" t="s">
        <v>53</v>
      </c>
      <c r="S205" s="2" t="s">
        <v>41</v>
      </c>
      <c r="T205" s="2"/>
      <c r="U205" s="2" t="s">
        <v>41</v>
      </c>
      <c r="V205" s="2" t="s">
        <v>1030</v>
      </c>
      <c r="W205" s="3">
        <v>46052</v>
      </c>
      <c r="X205" s="2" t="s">
        <v>1031</v>
      </c>
      <c r="Y205" s="2" t="s">
        <v>626</v>
      </c>
      <c r="Z205" s="2" t="s">
        <v>375</v>
      </c>
      <c r="AA205" s="2" t="s">
        <v>127</v>
      </c>
      <c r="AB205" s="2" t="s">
        <v>127</v>
      </c>
      <c r="AC205" s="2" t="s">
        <v>180</v>
      </c>
      <c r="AD205" s="2" t="s">
        <v>129</v>
      </c>
      <c r="AE205" s="2" t="s">
        <v>1032</v>
      </c>
    </row>
    <row r="206" spans="1:31" ht="88.5">
      <c r="A206" s="2" t="s">
        <v>1033</v>
      </c>
      <c r="B206" s="2" t="s">
        <v>1034</v>
      </c>
      <c r="C206" s="2" t="str">
        <f>sheet13[[#This Row],[Nombre]]&amp;sheet13[[#This Row],[Bp Id]]</f>
        <v>Deuna Personas V2CHL0039</v>
      </c>
      <c r="D206" s="2" t="str">
        <f>VLOOKUP(sheet13[[#This Row],[Columna1]],Sheet2!C:S,4,FALSE)</f>
        <v>Operativo</v>
      </c>
      <c r="E206" s="2" t="s">
        <v>1035</v>
      </c>
      <c r="F206" s="2" t="s">
        <v>32</v>
      </c>
      <c r="G206" s="2" t="s">
        <v>33</v>
      </c>
      <c r="H206" s="2" t="s">
        <v>59</v>
      </c>
      <c r="I206" s="2" t="s">
        <v>208</v>
      </c>
      <c r="J206" s="2" t="s">
        <v>209</v>
      </c>
      <c r="K206" s="2" t="s">
        <v>209</v>
      </c>
      <c r="L206" s="2" t="s">
        <v>209</v>
      </c>
      <c r="M206" s="2" t="s">
        <v>39</v>
      </c>
      <c r="N206" s="2" t="s">
        <v>2345</v>
      </c>
      <c r="O206" s="2" t="s">
        <v>91</v>
      </c>
      <c r="P206" s="2" t="s">
        <v>41</v>
      </c>
      <c r="Q206" s="2" t="s">
        <v>53</v>
      </c>
      <c r="R206" s="2" t="s">
        <v>53</v>
      </c>
      <c r="S206" s="2" t="s">
        <v>43</v>
      </c>
      <c r="T206" s="2"/>
      <c r="U206" s="2" t="s">
        <v>43</v>
      </c>
      <c r="V206" s="2"/>
      <c r="W206" s="3"/>
      <c r="X206" s="2"/>
      <c r="Y206" s="2"/>
      <c r="Z206" s="2"/>
      <c r="AA206" s="2"/>
      <c r="AB206" s="2"/>
      <c r="AC206" s="2"/>
      <c r="AD206" s="2"/>
      <c r="AE206" s="2"/>
    </row>
    <row r="207" spans="1:31" ht="409.6">
      <c r="A207" s="2" t="s">
        <v>1036</v>
      </c>
      <c r="B207" s="2" t="s">
        <v>1037</v>
      </c>
      <c r="C207" s="2" t="str">
        <f>sheet13[[#This Row],[Nombre]]&amp;sheet13[[#This Row],[Bp Id]]</f>
        <v>DHCPITM0010</v>
      </c>
      <c r="D207" s="2" t="str">
        <f>VLOOKUP(sheet13[[#This Row],[Columna1]],Sheet2!C:S,4,FALSE)</f>
        <v>Retirado</v>
      </c>
      <c r="E207" s="2" t="s">
        <v>1038</v>
      </c>
      <c r="F207" s="2" t="s">
        <v>47</v>
      </c>
      <c r="G207" s="2" t="s">
        <v>48</v>
      </c>
      <c r="H207" s="2" t="s">
        <v>34</v>
      </c>
      <c r="I207" s="2" t="s">
        <v>68</v>
      </c>
      <c r="J207" s="2" t="s">
        <v>236</v>
      </c>
      <c r="K207" s="2" t="s">
        <v>82</v>
      </c>
      <c r="L207" s="2" t="s">
        <v>82</v>
      </c>
      <c r="M207" s="2" t="s">
        <v>52</v>
      </c>
      <c r="N207" s="2" t="s">
        <v>2345</v>
      </c>
      <c r="O207" s="2" t="s">
        <v>40</v>
      </c>
      <c r="P207" s="2" t="s">
        <v>41</v>
      </c>
      <c r="Q207" s="2" t="s">
        <v>42</v>
      </c>
      <c r="R207" s="2" t="s">
        <v>42</v>
      </c>
      <c r="S207" s="2" t="s">
        <v>43</v>
      </c>
      <c r="T207" s="2"/>
      <c r="U207" s="2" t="s">
        <v>43</v>
      </c>
      <c r="V207" s="2"/>
      <c r="W207" s="3"/>
      <c r="X207" s="2"/>
      <c r="Y207" s="2"/>
      <c r="Z207" s="2"/>
      <c r="AA207" s="2"/>
      <c r="AB207" s="2"/>
      <c r="AC207" s="2"/>
      <c r="AD207" s="2"/>
      <c r="AE207" s="2"/>
    </row>
    <row r="208" spans="1:31" ht="113.45">
      <c r="A208" s="2" t="s">
        <v>1039</v>
      </c>
      <c r="B208" s="2" t="s">
        <v>1040</v>
      </c>
      <c r="C208" s="2" t="str">
        <f>sheet13[[#This Row],[Nombre]]&amp;sheet13[[#This Row],[Bp Id]]</f>
        <v>Diferidos ConsumoPAY0027</v>
      </c>
      <c r="D208" s="2" t="str">
        <f>VLOOKUP(sheet13[[#This Row],[Columna1]],Sheet2!C:S,4,FALSE)</f>
        <v>Operativo</v>
      </c>
      <c r="E208" s="2" t="s">
        <v>1041</v>
      </c>
      <c r="F208" s="2" t="s">
        <v>32</v>
      </c>
      <c r="G208" s="2" t="s">
        <v>48</v>
      </c>
      <c r="H208" s="2" t="s">
        <v>59</v>
      </c>
      <c r="I208" s="2" t="s">
        <v>141</v>
      </c>
      <c r="J208" s="2" t="s">
        <v>151</v>
      </c>
      <c r="K208" s="2" t="s">
        <v>143</v>
      </c>
      <c r="L208" s="2" t="s">
        <v>144</v>
      </c>
      <c r="M208" s="2" t="s">
        <v>39</v>
      </c>
      <c r="N208" s="2" t="s">
        <v>2343</v>
      </c>
      <c r="O208" s="2" t="s">
        <v>40</v>
      </c>
      <c r="P208" s="2"/>
      <c r="Q208" s="2"/>
      <c r="R208" s="2"/>
      <c r="S208" s="2"/>
      <c r="T208" s="2" t="s">
        <v>2344</v>
      </c>
      <c r="U208" s="2" t="s">
        <v>2345</v>
      </c>
      <c r="V208" s="2"/>
      <c r="W208" s="3"/>
      <c r="X208" s="2"/>
      <c r="Y208" s="2"/>
      <c r="Z208" s="2"/>
      <c r="AA208" s="2"/>
      <c r="AB208" s="2"/>
      <c r="AC208" s="2"/>
      <c r="AD208" s="2"/>
      <c r="AE208" s="2"/>
    </row>
    <row r="209" spans="1:31" ht="75.95">
      <c r="A209" s="2" t="s">
        <v>1042</v>
      </c>
      <c r="B209" s="2" t="s">
        <v>1043</v>
      </c>
      <c r="C209" s="2" t="str">
        <f>sheet13[[#This Row],[Nombre]]&amp;sheet13[[#This Row],[Bp Id]]</f>
        <v>DLS5SEC0074</v>
      </c>
      <c r="D209" s="2" t="str">
        <f>VLOOKUP(sheet13[[#This Row],[Columna1]],Sheet2!C:S,4,FALSE)</f>
        <v>Operativo</v>
      </c>
      <c r="E209" s="2" t="s">
        <v>545</v>
      </c>
      <c r="F209" s="2" t="s">
        <v>32</v>
      </c>
      <c r="G209" s="2" t="s">
        <v>76</v>
      </c>
      <c r="H209" s="2" t="s">
        <v>34</v>
      </c>
      <c r="I209" s="2" t="s">
        <v>2348</v>
      </c>
      <c r="J209" s="2" t="s">
        <v>411</v>
      </c>
      <c r="K209" s="2" t="s">
        <v>176</v>
      </c>
      <c r="L209" s="2" t="s">
        <v>546</v>
      </c>
      <c r="M209" s="2" t="s">
        <v>111</v>
      </c>
      <c r="N209" s="2" t="s">
        <v>2343</v>
      </c>
      <c r="O209" s="2" t="s">
        <v>40</v>
      </c>
      <c r="P209" s="2" t="s">
        <v>41</v>
      </c>
      <c r="Q209" s="2" t="s">
        <v>53</v>
      </c>
      <c r="R209" s="2" t="s">
        <v>53</v>
      </c>
      <c r="S209" s="2" t="s">
        <v>41</v>
      </c>
      <c r="T209" s="2"/>
      <c r="U209" s="2" t="s">
        <v>41</v>
      </c>
      <c r="V209" s="2"/>
      <c r="W209" s="3">
        <v>46051</v>
      </c>
      <c r="X209" s="2" t="s">
        <v>1044</v>
      </c>
      <c r="Y209" s="2" t="s">
        <v>959</v>
      </c>
      <c r="Z209" s="2" t="s">
        <v>369</v>
      </c>
      <c r="AA209" s="2" t="s">
        <v>127</v>
      </c>
      <c r="AB209" s="2" t="s">
        <v>127</v>
      </c>
      <c r="AC209" s="2" t="s">
        <v>180</v>
      </c>
      <c r="AD209" s="2" t="s">
        <v>129</v>
      </c>
      <c r="AE209" s="2" t="s">
        <v>1045</v>
      </c>
    </row>
    <row r="210" spans="1:31" ht="63.6">
      <c r="A210" s="2" t="s">
        <v>1046</v>
      </c>
      <c r="B210" s="2" t="s">
        <v>1047</v>
      </c>
      <c r="C210" s="2" t="str">
        <f>sheet13[[#This Row],[Nombre]]&amp;sheet13[[#This Row],[Bp Id]]</f>
        <v>DNA CenterITM0011</v>
      </c>
      <c r="D210" s="2" t="str">
        <f>VLOOKUP(sheet13[[#This Row],[Columna1]],Sheet2!C:S,4,FALSE)</f>
        <v>Operativo</v>
      </c>
      <c r="E210" s="2" t="s">
        <v>1048</v>
      </c>
      <c r="F210" s="2" t="s">
        <v>32</v>
      </c>
      <c r="G210" s="2" t="s">
        <v>48</v>
      </c>
      <c r="H210" s="2" t="s">
        <v>34</v>
      </c>
      <c r="I210" s="2" t="s">
        <v>68</v>
      </c>
      <c r="J210" s="2" t="s">
        <v>69</v>
      </c>
      <c r="K210" s="2" t="s">
        <v>516</v>
      </c>
      <c r="L210" s="2" t="s">
        <v>529</v>
      </c>
      <c r="M210" s="2" t="s">
        <v>52</v>
      </c>
      <c r="N210" s="2" t="s">
        <v>2343</v>
      </c>
      <c r="O210" s="2" t="s">
        <v>40</v>
      </c>
      <c r="P210" s="2" t="s">
        <v>41</v>
      </c>
      <c r="Q210" s="2" t="s">
        <v>53</v>
      </c>
      <c r="R210" s="2" t="s">
        <v>53</v>
      </c>
      <c r="S210" s="2" t="s">
        <v>43</v>
      </c>
      <c r="T210" s="2" t="s">
        <v>2344</v>
      </c>
      <c r="U210" s="2" t="s">
        <v>43</v>
      </c>
      <c r="V210" s="2"/>
      <c r="W210" s="3"/>
      <c r="X210" s="2"/>
      <c r="Y210" s="2"/>
      <c r="Z210" s="2"/>
      <c r="AA210" s="2"/>
      <c r="AB210" s="2"/>
      <c r="AC210" s="2"/>
      <c r="AD210" s="2"/>
      <c r="AE210" s="2"/>
    </row>
    <row r="211" spans="1:31" ht="126">
      <c r="A211" s="2" t="s">
        <v>1049</v>
      </c>
      <c r="B211" s="2" t="s">
        <v>1050</v>
      </c>
      <c r="C211" s="2" t="str">
        <f>sheet13[[#This Row],[Nombre]]&amp;sheet13[[#This Row],[Bp Id]]</f>
        <v>Docker EngineITM0012</v>
      </c>
      <c r="D211" s="2" t="str">
        <f>VLOOKUP(sheet13[[#This Row],[Columna1]],Sheet2!C:S,4,FALSE)</f>
        <v>Retirado</v>
      </c>
      <c r="E211" s="2" t="s">
        <v>1051</v>
      </c>
      <c r="F211" s="2" t="s">
        <v>47</v>
      </c>
      <c r="G211" s="2" t="s">
        <v>123</v>
      </c>
      <c r="H211" s="2" t="s">
        <v>34</v>
      </c>
      <c r="I211" s="2" t="s">
        <v>35</v>
      </c>
      <c r="J211" s="2" t="s">
        <v>349</v>
      </c>
      <c r="K211" s="2" t="s">
        <v>36</v>
      </c>
      <c r="L211" s="2" t="s">
        <v>38</v>
      </c>
      <c r="M211" s="2" t="s">
        <v>52</v>
      </c>
      <c r="N211" s="2" t="s">
        <v>2345</v>
      </c>
      <c r="O211" s="2" t="s">
        <v>40</v>
      </c>
      <c r="P211" s="2" t="s">
        <v>41</v>
      </c>
      <c r="Q211" s="2" t="s">
        <v>53</v>
      </c>
      <c r="R211" s="2" t="s">
        <v>53</v>
      </c>
      <c r="S211" s="2" t="s">
        <v>41</v>
      </c>
      <c r="T211" s="2"/>
      <c r="U211" s="2" t="s">
        <v>43</v>
      </c>
      <c r="V211" s="2"/>
      <c r="W211" s="3"/>
      <c r="X211" s="2"/>
      <c r="Y211" s="2"/>
      <c r="Z211" s="2"/>
      <c r="AA211" s="2"/>
      <c r="AB211" s="2"/>
      <c r="AC211" s="2"/>
      <c r="AD211" s="2"/>
      <c r="AE211" s="2"/>
    </row>
    <row r="212" spans="1:31" ht="176.1">
      <c r="A212" s="2" t="s">
        <v>1052</v>
      </c>
      <c r="B212" s="2" t="s">
        <v>1053</v>
      </c>
      <c r="C212" s="2" t="str">
        <f>sheet13[[#This Row],[Nombre]]&amp;sheet13[[#This Row],[Bp Id]]</f>
        <v>Doka -ComexPRD0016</v>
      </c>
      <c r="D212" s="2" t="str">
        <f>VLOOKUP(sheet13[[#This Row],[Columna1]],Sheet2!C:S,4,FALSE)</f>
        <v>Operativo</v>
      </c>
      <c r="E212" s="2" t="s">
        <v>139</v>
      </c>
      <c r="F212" s="2" t="s">
        <v>32</v>
      </c>
      <c r="G212" s="2" t="s">
        <v>76</v>
      </c>
      <c r="H212" s="2" t="s">
        <v>59</v>
      </c>
      <c r="I212" s="2" t="s">
        <v>116</v>
      </c>
      <c r="J212" s="2" t="s">
        <v>62</v>
      </c>
      <c r="K212" s="2" t="s">
        <v>1054</v>
      </c>
      <c r="L212" s="2" t="s">
        <v>118</v>
      </c>
      <c r="M212" s="2" t="s">
        <v>39</v>
      </c>
      <c r="N212" s="2" t="s">
        <v>2343</v>
      </c>
      <c r="O212" s="2" t="s">
        <v>40</v>
      </c>
      <c r="P212" s="2" t="s">
        <v>41</v>
      </c>
      <c r="Q212" s="2" t="s">
        <v>42</v>
      </c>
      <c r="R212" s="2" t="s">
        <v>53</v>
      </c>
      <c r="S212" s="2" t="s">
        <v>41</v>
      </c>
      <c r="T212" s="2"/>
      <c r="U212" s="2" t="s">
        <v>41</v>
      </c>
      <c r="V212" s="2" t="s">
        <v>1055</v>
      </c>
      <c r="W212" s="3">
        <v>45622</v>
      </c>
      <c r="X212" s="2"/>
      <c r="Y212" s="2" t="s">
        <v>101</v>
      </c>
      <c r="Z212" s="2" t="s">
        <v>253</v>
      </c>
      <c r="AA212" s="2" t="s">
        <v>147</v>
      </c>
      <c r="AB212" s="2" t="s">
        <v>147</v>
      </c>
      <c r="AC212" s="2" t="s">
        <v>180</v>
      </c>
      <c r="AD212" s="2" t="s">
        <v>129</v>
      </c>
      <c r="AE212" s="2" t="s">
        <v>1056</v>
      </c>
    </row>
    <row r="213" spans="1:31" ht="63.6">
      <c r="A213" s="2" t="s">
        <v>1057</v>
      </c>
      <c r="B213" s="2" t="s">
        <v>1058</v>
      </c>
      <c r="C213" s="2" t="str">
        <f>sheet13[[#This Row],[Nombre]]&amp;sheet13[[#This Row],[Bp Id]]</f>
        <v>Dynamic CodesSEC0070</v>
      </c>
      <c r="D213" s="2" t="str">
        <f>VLOOKUP(sheet13[[#This Row],[Columna1]],Sheet2!C:S,4,FALSE)</f>
        <v>Operativo</v>
      </c>
      <c r="E213" s="2" t="s">
        <v>589</v>
      </c>
      <c r="F213" s="2" t="s">
        <v>32</v>
      </c>
      <c r="G213" s="2" t="s">
        <v>76</v>
      </c>
      <c r="H213" s="2" t="s">
        <v>34</v>
      </c>
      <c r="I213" s="2" t="s">
        <v>2348</v>
      </c>
      <c r="J213" s="2" t="s">
        <v>412</v>
      </c>
      <c r="K213" s="2" t="s">
        <v>176</v>
      </c>
      <c r="L213" s="2" t="s">
        <v>411</v>
      </c>
      <c r="M213" s="2" t="s">
        <v>111</v>
      </c>
      <c r="N213" s="2" t="s">
        <v>2343</v>
      </c>
      <c r="O213" s="2" t="s">
        <v>40</v>
      </c>
      <c r="P213" s="2" t="s">
        <v>41</v>
      </c>
      <c r="Q213" s="2" t="s">
        <v>53</v>
      </c>
      <c r="R213" s="2" t="s">
        <v>53</v>
      </c>
      <c r="S213" s="2" t="s">
        <v>41</v>
      </c>
      <c r="T213" s="2"/>
      <c r="U213" s="2" t="s">
        <v>41</v>
      </c>
      <c r="V213" s="2"/>
      <c r="W213" s="3">
        <v>45519</v>
      </c>
      <c r="X213" s="2" t="s">
        <v>1059</v>
      </c>
      <c r="Y213" s="2" t="s">
        <v>125</v>
      </c>
      <c r="Z213" s="2" t="s">
        <v>187</v>
      </c>
      <c r="AA213" s="2" t="s">
        <v>127</v>
      </c>
      <c r="AB213" s="2" t="s">
        <v>127</v>
      </c>
      <c r="AC213" s="2" t="s">
        <v>1060</v>
      </c>
      <c r="AD213" s="2" t="s">
        <v>129</v>
      </c>
      <c r="AE213" s="2" t="s">
        <v>1061</v>
      </c>
    </row>
    <row r="214" spans="1:31" ht="409.6">
      <c r="A214" s="2" t="s">
        <v>1062</v>
      </c>
      <c r="B214" s="2" t="s">
        <v>1063</v>
      </c>
      <c r="C214" s="2" t="str">
        <f>sheet13[[#This Row],[Nombre]]&amp;sheet13[[#This Row],[Bp Id]]</f>
        <v>DynatraceITM0013</v>
      </c>
      <c r="D214" s="2" t="str">
        <f>VLOOKUP(sheet13[[#This Row],[Columna1]],Sheet2!C:S,4,FALSE)</f>
        <v>Operativo</v>
      </c>
      <c r="E214" s="2" t="s">
        <v>1064</v>
      </c>
      <c r="F214" s="2" t="s">
        <v>32</v>
      </c>
      <c r="G214" s="2" t="s">
        <v>76</v>
      </c>
      <c r="H214" s="2" t="s">
        <v>59</v>
      </c>
      <c r="I214" s="2" t="s">
        <v>449</v>
      </c>
      <c r="J214" s="2" t="s">
        <v>884</v>
      </c>
      <c r="K214" s="2" t="s">
        <v>885</v>
      </c>
      <c r="L214" s="2" t="s">
        <v>884</v>
      </c>
      <c r="M214" s="2" t="s">
        <v>52</v>
      </c>
      <c r="N214" s="2" t="s">
        <v>2343</v>
      </c>
      <c r="O214" s="2" t="s">
        <v>40</v>
      </c>
      <c r="P214" s="2" t="s">
        <v>41</v>
      </c>
      <c r="Q214" s="2" t="s">
        <v>64</v>
      </c>
      <c r="R214" s="2" t="s">
        <v>64</v>
      </c>
      <c r="S214" s="2" t="s">
        <v>41</v>
      </c>
      <c r="T214" s="2"/>
      <c r="U214" s="2" t="s">
        <v>41</v>
      </c>
      <c r="V214" s="2" t="s">
        <v>1065</v>
      </c>
      <c r="W214" s="3">
        <v>45864</v>
      </c>
      <c r="X214" s="2" t="s">
        <v>1066</v>
      </c>
      <c r="Y214" s="2" t="s">
        <v>369</v>
      </c>
      <c r="Z214" s="2" t="s">
        <v>179</v>
      </c>
      <c r="AA214" s="2" t="s">
        <v>127</v>
      </c>
      <c r="AB214" s="2" t="s">
        <v>127</v>
      </c>
      <c r="AC214" s="2" t="s">
        <v>1067</v>
      </c>
      <c r="AD214" s="2" t="s">
        <v>129</v>
      </c>
      <c r="AE214" s="2" t="s">
        <v>1068</v>
      </c>
    </row>
    <row r="215" spans="1:31" ht="263.45">
      <c r="A215" s="2" t="s">
        <v>1069</v>
      </c>
      <c r="B215" s="2" t="s">
        <v>1070</v>
      </c>
      <c r="C215" s="2" t="str">
        <f>sheet13[[#This Row],[Nombre]]&amp;sheet13[[#This Row],[Bp Id]]</f>
        <v>EASYCASHCOREPRD0018</v>
      </c>
      <c r="D215" s="2" t="str">
        <f>VLOOKUP(sheet13[[#This Row],[Columna1]],Sheet2!C:S,4,FALSE)</f>
        <v>Retirado</v>
      </c>
      <c r="E215" s="2" t="s">
        <v>1071</v>
      </c>
      <c r="F215" s="2" t="s">
        <v>47</v>
      </c>
      <c r="G215" s="2" t="s">
        <v>123</v>
      </c>
      <c r="H215" s="2" t="s">
        <v>34</v>
      </c>
      <c r="I215" s="2" t="s">
        <v>553</v>
      </c>
      <c r="J215" s="2" t="s">
        <v>554</v>
      </c>
      <c r="K215" s="2" t="s">
        <v>721</v>
      </c>
      <c r="L215" s="2" t="s">
        <v>722</v>
      </c>
      <c r="M215" s="2" t="s">
        <v>39</v>
      </c>
      <c r="N215" s="2" t="s">
        <v>2345</v>
      </c>
      <c r="O215" s="2" t="s">
        <v>40</v>
      </c>
      <c r="P215" s="2" t="s">
        <v>43</v>
      </c>
      <c r="Q215" s="2" t="s">
        <v>723</v>
      </c>
      <c r="R215" s="2" t="s">
        <v>53</v>
      </c>
      <c r="S215" s="2" t="s">
        <v>43</v>
      </c>
      <c r="T215" s="2"/>
      <c r="U215" s="2" t="s">
        <v>43</v>
      </c>
      <c r="V215" s="2"/>
      <c r="W215" s="3"/>
      <c r="X215" s="2"/>
      <c r="Y215" s="2"/>
      <c r="Z215" s="2"/>
      <c r="AA215" s="2"/>
      <c r="AB215" s="2"/>
      <c r="AC215" s="2"/>
      <c r="AD215" s="2"/>
      <c r="AE215" s="2"/>
    </row>
    <row r="216" spans="1:31" ht="113.45">
      <c r="A216" s="2" t="s">
        <v>1072</v>
      </c>
      <c r="B216" s="2" t="s">
        <v>1073</v>
      </c>
      <c r="C216" s="2" t="str">
        <f>sheet13[[#This Row],[Nombre]]&amp;sheet13[[#This Row],[Bp Id]]</f>
        <v>EBSSUP0006</v>
      </c>
      <c r="D216" s="2" t="str">
        <f>VLOOKUP(sheet13[[#This Row],[Columna1]],Sheet2!C:S,4,FALSE)</f>
        <v>Operativo</v>
      </c>
      <c r="E216" s="2" t="s">
        <v>1074</v>
      </c>
      <c r="F216" s="2" t="s">
        <v>32</v>
      </c>
      <c r="G216" s="2" t="s">
        <v>48</v>
      </c>
      <c r="H216" s="2" t="s">
        <v>34</v>
      </c>
      <c r="I216" s="2" t="s">
        <v>225</v>
      </c>
      <c r="J216" s="2" t="s">
        <v>226</v>
      </c>
      <c r="K216" s="2" t="s">
        <v>276</v>
      </c>
      <c r="L216" s="2" t="s">
        <v>277</v>
      </c>
      <c r="M216" s="2" t="s">
        <v>39</v>
      </c>
      <c r="N216" s="2" t="s">
        <v>2343</v>
      </c>
      <c r="O216" s="2" t="s">
        <v>40</v>
      </c>
      <c r="P216" s="2" t="s">
        <v>41</v>
      </c>
      <c r="Q216" s="2" t="s">
        <v>53</v>
      </c>
      <c r="R216" s="2" t="s">
        <v>53</v>
      </c>
      <c r="S216" s="2" t="s">
        <v>41</v>
      </c>
      <c r="T216" s="2"/>
      <c r="U216" s="2" t="s">
        <v>41</v>
      </c>
      <c r="V216" s="2"/>
      <c r="W216" s="3">
        <v>45200</v>
      </c>
      <c r="X216" s="2"/>
      <c r="Y216" s="2" t="s">
        <v>590</v>
      </c>
      <c r="Z216" s="2" t="s">
        <v>179</v>
      </c>
      <c r="AA216" s="2" t="s">
        <v>147</v>
      </c>
      <c r="AB216" s="2" t="s">
        <v>147</v>
      </c>
      <c r="AC216" s="2" t="s">
        <v>180</v>
      </c>
      <c r="AD216" s="2" t="s">
        <v>129</v>
      </c>
      <c r="AE216" s="2" t="s">
        <v>1075</v>
      </c>
    </row>
    <row r="217" spans="1:31" ht="88.5">
      <c r="A217" s="2" t="s">
        <v>1076</v>
      </c>
      <c r="B217" s="2" t="s">
        <v>1077</v>
      </c>
      <c r="C217" s="2" t="str">
        <f>sheet13[[#This Row],[Nombre]]&amp;sheet13[[#This Row],[Bp Id]]</f>
        <v>EFT Enterprise SFTPITM0014</v>
      </c>
      <c r="D217" s="2" t="str">
        <f>VLOOKUP(sheet13[[#This Row],[Columna1]],Sheet2!C:S,4,FALSE)</f>
        <v>Operativo</v>
      </c>
      <c r="E217" s="2" t="s">
        <v>1078</v>
      </c>
      <c r="F217" s="2" t="s">
        <v>32</v>
      </c>
      <c r="G217" s="2" t="s">
        <v>76</v>
      </c>
      <c r="H217" s="2" t="s">
        <v>34</v>
      </c>
      <c r="I217" s="2" t="s">
        <v>670</v>
      </c>
      <c r="J217" s="2" t="s">
        <v>450</v>
      </c>
      <c r="K217" s="2" t="s">
        <v>865</v>
      </c>
      <c r="L217" s="2" t="s">
        <v>869</v>
      </c>
      <c r="M217" s="2" t="s">
        <v>52</v>
      </c>
      <c r="N217" s="2" t="s">
        <v>2343</v>
      </c>
      <c r="O217" s="2" t="s">
        <v>40</v>
      </c>
      <c r="P217" s="2" t="s">
        <v>41</v>
      </c>
      <c r="Q217" s="2" t="s">
        <v>42</v>
      </c>
      <c r="R217" s="2" t="s">
        <v>53</v>
      </c>
      <c r="S217" s="2" t="s">
        <v>41</v>
      </c>
      <c r="T217" s="2"/>
      <c r="U217" s="2" t="s">
        <v>41</v>
      </c>
      <c r="V217" s="2"/>
      <c r="W217" s="3">
        <v>45200</v>
      </c>
      <c r="X217" s="2" t="s">
        <v>870</v>
      </c>
      <c r="Y217" s="2" t="s">
        <v>262</v>
      </c>
      <c r="Z217" s="2" t="s">
        <v>626</v>
      </c>
      <c r="AA217" s="2" t="s">
        <v>311</v>
      </c>
      <c r="AB217" s="2" t="s">
        <v>311</v>
      </c>
      <c r="AC217" s="2" t="s">
        <v>180</v>
      </c>
      <c r="AD217" s="2" t="s">
        <v>129</v>
      </c>
      <c r="AE217" s="2" t="s">
        <v>1079</v>
      </c>
    </row>
    <row r="218" spans="1:31" ht="409.6">
      <c r="A218" s="2" t="s">
        <v>1080</v>
      </c>
      <c r="B218" s="2" t="s">
        <v>1081</v>
      </c>
      <c r="C218" s="2" t="str">
        <f>sheet13[[#This Row],[Nombre]]&amp;sheet13[[#This Row],[Bp Id]]</f>
        <v>Elastic (ELK) StackITM0015</v>
      </c>
      <c r="D218" s="2" t="str">
        <f>VLOOKUP(sheet13[[#This Row],[Columna1]],Sheet2!C:S,4,FALSE)</f>
        <v>Operativo</v>
      </c>
      <c r="E218" s="2" t="s">
        <v>1082</v>
      </c>
      <c r="F218" s="2" t="s">
        <v>32</v>
      </c>
      <c r="G218" s="2" t="s">
        <v>58</v>
      </c>
      <c r="H218" s="2" t="s">
        <v>34</v>
      </c>
      <c r="I218" s="2" t="s">
        <v>449</v>
      </c>
      <c r="J218" s="2" t="s">
        <v>884</v>
      </c>
      <c r="K218" s="2" t="s">
        <v>885</v>
      </c>
      <c r="L218" s="2" t="s">
        <v>884</v>
      </c>
      <c r="M218" s="2" t="s">
        <v>52</v>
      </c>
      <c r="N218" s="2" t="s">
        <v>2343</v>
      </c>
      <c r="O218" s="2" t="s">
        <v>40</v>
      </c>
      <c r="P218" s="2" t="s">
        <v>43</v>
      </c>
      <c r="Q218" s="2" t="s">
        <v>311</v>
      </c>
      <c r="R218" s="2" t="s">
        <v>311</v>
      </c>
      <c r="S218" s="2" t="s">
        <v>43</v>
      </c>
      <c r="T218" s="2" t="s">
        <v>2344</v>
      </c>
      <c r="U218" s="2" t="s">
        <v>43</v>
      </c>
      <c r="V218" s="2" t="s">
        <v>1083</v>
      </c>
      <c r="W218" s="3">
        <v>46108</v>
      </c>
      <c r="X218" s="2" t="s">
        <v>1066</v>
      </c>
      <c r="Y218" s="2"/>
      <c r="Z218" s="2"/>
      <c r="AA218" s="2"/>
      <c r="AB218" s="2"/>
      <c r="AC218" s="2"/>
      <c r="AD218" s="2"/>
      <c r="AE218" s="2"/>
    </row>
    <row r="219" spans="1:31" ht="75.95">
      <c r="A219" s="2" t="s">
        <v>1084</v>
      </c>
      <c r="B219" s="2" t="s">
        <v>1085</v>
      </c>
      <c r="C219" s="2" t="str">
        <f>sheet13[[#This Row],[Nombre]]&amp;sheet13[[#This Row],[Bp Id]]</f>
        <v>Electronic trading - FXSUP0023</v>
      </c>
      <c r="D219" s="2" t="str">
        <f>VLOOKUP(sheet13[[#This Row],[Columna1]],Sheet2!C:S,4,FALSE)</f>
        <v>Retirado</v>
      </c>
      <c r="E219" s="2" t="s">
        <v>139</v>
      </c>
      <c r="F219" s="2" t="s">
        <v>47</v>
      </c>
      <c r="G219" s="2" t="s">
        <v>48</v>
      </c>
      <c r="H219" s="2" t="s">
        <v>59</v>
      </c>
      <c r="I219" s="2" t="s">
        <v>1086</v>
      </c>
      <c r="J219" s="2" t="s">
        <v>96</v>
      </c>
      <c r="K219" s="2" t="s">
        <v>117</v>
      </c>
      <c r="L219" s="2" t="s">
        <v>118</v>
      </c>
      <c r="M219" s="2" t="s">
        <v>39</v>
      </c>
      <c r="N219" s="2" t="s">
        <v>2345</v>
      </c>
      <c r="O219" s="2" t="s">
        <v>40</v>
      </c>
      <c r="P219" s="2" t="s">
        <v>41</v>
      </c>
      <c r="Q219" s="2" t="s">
        <v>42</v>
      </c>
      <c r="R219" s="2" t="s">
        <v>42</v>
      </c>
      <c r="S219" s="2" t="s">
        <v>41</v>
      </c>
      <c r="T219" s="2"/>
      <c r="U219" s="2" t="s">
        <v>43</v>
      </c>
      <c r="V219" s="2"/>
      <c r="W219" s="3"/>
      <c r="X219" s="2"/>
      <c r="Y219" s="2"/>
      <c r="Z219" s="2"/>
      <c r="AA219" s="2"/>
      <c r="AB219" s="2"/>
      <c r="AC219" s="2"/>
      <c r="AD219" s="2"/>
      <c r="AE219" s="2"/>
    </row>
    <row r="220" spans="1:31" ht="75.95">
      <c r="A220" s="2" t="s">
        <v>1087</v>
      </c>
      <c r="B220" s="2" t="s">
        <v>1088</v>
      </c>
      <c r="C220" s="2" t="str">
        <f>sheet13[[#This Row],[Nombre]]&amp;sheet13[[#This Row],[Bp Id]]</f>
        <v>Enforcive Enterprise SecuritySEC0017</v>
      </c>
      <c r="D220" s="2" t="str">
        <f>VLOOKUP(sheet13[[#This Row],[Columna1]],Sheet2!C:S,4,FALSE)</f>
        <v>Operativo</v>
      </c>
      <c r="E220" s="2" t="s">
        <v>1089</v>
      </c>
      <c r="F220" s="2" t="s">
        <v>32</v>
      </c>
      <c r="G220" s="2" t="s">
        <v>48</v>
      </c>
      <c r="H220" s="2" t="s">
        <v>34</v>
      </c>
      <c r="I220" s="2" t="s">
        <v>1090</v>
      </c>
      <c r="J220" s="2" t="s">
        <v>70</v>
      </c>
      <c r="K220" s="2" t="s">
        <v>803</v>
      </c>
      <c r="L220" s="2" t="s">
        <v>1091</v>
      </c>
      <c r="M220" s="2" t="s">
        <v>111</v>
      </c>
      <c r="N220" s="2" t="s">
        <v>2343</v>
      </c>
      <c r="O220" s="2" t="s">
        <v>40</v>
      </c>
      <c r="P220" s="2" t="s">
        <v>41</v>
      </c>
      <c r="Q220" s="2" t="s">
        <v>53</v>
      </c>
      <c r="R220" s="2" t="s">
        <v>53</v>
      </c>
      <c r="S220" s="2" t="s">
        <v>41</v>
      </c>
      <c r="T220" s="2" t="s">
        <v>2344</v>
      </c>
      <c r="U220" s="2" t="s">
        <v>43</v>
      </c>
      <c r="V220" s="2"/>
      <c r="W220" s="3"/>
      <c r="X220" s="2"/>
      <c r="Y220" s="2"/>
      <c r="Z220" s="2"/>
      <c r="AA220" s="2"/>
      <c r="AB220" s="2"/>
      <c r="AC220" s="2"/>
      <c r="AD220" s="2"/>
      <c r="AE220" s="2"/>
    </row>
    <row r="221" spans="1:31" ht="138.6">
      <c r="A221" s="2" t="s">
        <v>1092</v>
      </c>
      <c r="B221" s="2" t="s">
        <v>1093</v>
      </c>
      <c r="C221" s="2" t="str">
        <f>sheet13[[#This Row],[Nombre]]&amp;sheet13[[#This Row],[Bp Id]]</f>
        <v>Entidad Certificadora INTERNASEC0018</v>
      </c>
      <c r="D221" s="2" t="str">
        <f>VLOOKUP(sheet13[[#This Row],[Columna1]],Sheet2!C:S,4,FALSE)</f>
        <v>Operativo</v>
      </c>
      <c r="E221" s="2" t="s">
        <v>1094</v>
      </c>
      <c r="F221" s="2" t="s">
        <v>32</v>
      </c>
      <c r="G221" s="2" t="s">
        <v>48</v>
      </c>
      <c r="H221" s="2" t="s">
        <v>34</v>
      </c>
      <c r="I221" s="2" t="s">
        <v>2348</v>
      </c>
      <c r="J221" s="2" t="s">
        <v>185</v>
      </c>
      <c r="K221" s="2" t="s">
        <v>176</v>
      </c>
      <c r="L221" s="2" t="s">
        <v>214</v>
      </c>
      <c r="M221" s="2" t="s">
        <v>111</v>
      </c>
      <c r="N221" s="2" t="s">
        <v>2343</v>
      </c>
      <c r="O221" s="2" t="s">
        <v>40</v>
      </c>
      <c r="P221" s="2" t="s">
        <v>43</v>
      </c>
      <c r="Q221" s="2" t="s">
        <v>53</v>
      </c>
      <c r="R221" s="2" t="s">
        <v>53</v>
      </c>
      <c r="S221" s="2" t="s">
        <v>43</v>
      </c>
      <c r="T221" s="2" t="s">
        <v>2344</v>
      </c>
      <c r="U221" s="2" t="s">
        <v>43</v>
      </c>
      <c r="V221" s="2" t="s">
        <v>1095</v>
      </c>
      <c r="W221" s="3"/>
      <c r="X221" s="2"/>
      <c r="Y221" s="2"/>
      <c r="Z221" s="2"/>
      <c r="AA221" s="2"/>
      <c r="AB221" s="2"/>
      <c r="AC221" s="2"/>
      <c r="AD221" s="2"/>
      <c r="AE221" s="2"/>
    </row>
    <row r="222" spans="1:31" ht="88.5">
      <c r="A222" s="2" t="s">
        <v>1096</v>
      </c>
      <c r="B222" s="2" t="s">
        <v>1097</v>
      </c>
      <c r="C222" s="2" t="str">
        <f>sheet13[[#This Row],[Nombre]]&amp;sheet13[[#This Row],[Bp Id]]</f>
        <v>TrellixSEC0019</v>
      </c>
      <c r="D222" s="2" t="str">
        <f>VLOOKUP(sheet13[[#This Row],[Columna1]],Sheet2!C:S,4,FALSE)</f>
        <v>Operativo</v>
      </c>
      <c r="E222" s="2" t="s">
        <v>1098</v>
      </c>
      <c r="F222" s="2" t="s">
        <v>32</v>
      </c>
      <c r="G222" s="2" t="s">
        <v>76</v>
      </c>
      <c r="H222" s="2" t="s">
        <v>34</v>
      </c>
      <c r="I222" s="2" t="s">
        <v>2348</v>
      </c>
      <c r="J222" s="2" t="s">
        <v>185</v>
      </c>
      <c r="K222" s="2" t="s">
        <v>176</v>
      </c>
      <c r="L222" s="2" t="s">
        <v>175</v>
      </c>
      <c r="M222" s="2" t="s">
        <v>111</v>
      </c>
      <c r="N222" s="2" t="s">
        <v>2343</v>
      </c>
      <c r="O222" s="2" t="s">
        <v>40</v>
      </c>
      <c r="P222" s="2" t="s">
        <v>41</v>
      </c>
      <c r="Q222" s="2" t="s">
        <v>42</v>
      </c>
      <c r="R222" s="2" t="s">
        <v>53</v>
      </c>
      <c r="S222" s="2" t="s">
        <v>41</v>
      </c>
      <c r="T222" s="2"/>
      <c r="U222" s="2" t="s">
        <v>41</v>
      </c>
      <c r="V222" s="2" t="s">
        <v>1099</v>
      </c>
      <c r="W222" s="3">
        <v>45721</v>
      </c>
      <c r="X222" s="2"/>
      <c r="Y222" s="2" t="s">
        <v>146</v>
      </c>
      <c r="Z222" s="2" t="s">
        <v>369</v>
      </c>
      <c r="AA222" s="2" t="s">
        <v>127</v>
      </c>
      <c r="AB222" s="2" t="s">
        <v>127</v>
      </c>
      <c r="AC222" s="2" t="s">
        <v>180</v>
      </c>
      <c r="AD222" s="2" t="s">
        <v>129</v>
      </c>
      <c r="AE222" s="2"/>
    </row>
    <row r="223" spans="1:31" ht="63.6">
      <c r="A223" s="2" t="s">
        <v>1100</v>
      </c>
      <c r="B223" s="2" t="s">
        <v>1101</v>
      </c>
      <c r="C223" s="2" t="str">
        <f>sheet13[[#This Row],[Nombre]]&amp;sheet13[[#This Row],[Bp Id]]</f>
        <v>ETC PlatformPAY0007</v>
      </c>
      <c r="D223" s="2" t="str">
        <f>VLOOKUP(sheet13[[#This Row],[Columna1]],Sheet2!C:S,4,FALSE)</f>
        <v>Retirado</v>
      </c>
      <c r="E223" s="2" t="s">
        <v>139</v>
      </c>
      <c r="F223" s="2" t="s">
        <v>47</v>
      </c>
      <c r="G223" s="2" t="s">
        <v>48</v>
      </c>
      <c r="H223" s="2" t="s">
        <v>140</v>
      </c>
      <c r="I223" s="2" t="s">
        <v>141</v>
      </c>
      <c r="J223" s="2" t="s">
        <v>142</v>
      </c>
      <c r="K223" s="2" t="s">
        <v>142</v>
      </c>
      <c r="L223" s="2" t="s">
        <v>144</v>
      </c>
      <c r="M223" s="2" t="s">
        <v>63</v>
      </c>
      <c r="N223" s="2" t="s">
        <v>2345</v>
      </c>
      <c r="O223" s="2" t="s">
        <v>40</v>
      </c>
      <c r="P223" s="2" t="s">
        <v>41</v>
      </c>
      <c r="Q223" s="2" t="s">
        <v>53</v>
      </c>
      <c r="R223" s="2" t="s">
        <v>53</v>
      </c>
      <c r="S223" s="2" t="s">
        <v>43</v>
      </c>
      <c r="T223" s="2"/>
      <c r="U223" s="2" t="s">
        <v>43</v>
      </c>
      <c r="V223" s="2"/>
      <c r="W223" s="3"/>
      <c r="X223" s="2"/>
      <c r="Y223" s="2"/>
      <c r="Z223" s="2"/>
      <c r="AA223" s="2"/>
      <c r="AB223" s="2"/>
      <c r="AC223" s="2"/>
      <c r="AD223" s="2"/>
      <c r="AE223" s="2"/>
    </row>
    <row r="224" spans="1:31" ht="126">
      <c r="A224" s="2" t="s">
        <v>1102</v>
      </c>
      <c r="B224" s="2" t="s">
        <v>1103</v>
      </c>
      <c r="C224" s="2" t="str">
        <f>sheet13[[#This Row],[Nombre]]&amp;sheet13[[#This Row],[Bp Id]]</f>
        <v>ExcepcionesRIS0005</v>
      </c>
      <c r="D224" s="2" t="str">
        <f>VLOOKUP(sheet13[[#This Row],[Columna1]],Sheet2!C:S,4,FALSE)</f>
        <v>Operativo</v>
      </c>
      <c r="E224" s="2" t="s">
        <v>1104</v>
      </c>
      <c r="F224" s="2" t="s">
        <v>32</v>
      </c>
      <c r="G224" s="2" t="s">
        <v>48</v>
      </c>
      <c r="H224" s="2" t="s">
        <v>34</v>
      </c>
      <c r="I224" s="2" t="s">
        <v>320</v>
      </c>
      <c r="J224" s="2" t="s">
        <v>321</v>
      </c>
      <c r="K224" s="2" t="s">
        <v>321</v>
      </c>
      <c r="L224" s="2" t="s">
        <v>323</v>
      </c>
      <c r="M224" s="2" t="s">
        <v>39</v>
      </c>
      <c r="N224" s="2" t="s">
        <v>2343</v>
      </c>
      <c r="O224" s="2" t="s">
        <v>40</v>
      </c>
      <c r="P224" s="2" t="s">
        <v>41</v>
      </c>
      <c r="Q224" s="2" t="s">
        <v>42</v>
      </c>
      <c r="R224" s="2" t="s">
        <v>53</v>
      </c>
      <c r="S224" s="2" t="s">
        <v>41</v>
      </c>
      <c r="T224" s="2"/>
      <c r="U224" s="2" t="s">
        <v>41</v>
      </c>
      <c r="V224" s="2" t="s">
        <v>1105</v>
      </c>
      <c r="W224" s="3">
        <v>45199</v>
      </c>
      <c r="X224" s="2"/>
      <c r="Y224" s="2"/>
      <c r="Z224" s="2"/>
      <c r="AA224" s="2"/>
      <c r="AB224" s="2"/>
      <c r="AC224" s="2"/>
      <c r="AD224" s="2"/>
      <c r="AE224" s="2"/>
    </row>
    <row r="225" spans="1:31" ht="176.1">
      <c r="A225" s="2" t="s">
        <v>1106</v>
      </c>
      <c r="B225" s="2" t="s">
        <v>1107</v>
      </c>
      <c r="C225" s="2" t="str">
        <f>sheet13[[#This Row],[Nombre]]&amp;sheet13[[#This Row],[Bp Id]]</f>
        <v>Exchange Server 2016ITM0017</v>
      </c>
      <c r="D225" s="2" t="str">
        <f>VLOOKUP(sheet13[[#This Row],[Columna1]],Sheet2!C:S,4,FALSE)</f>
        <v>Operativo</v>
      </c>
      <c r="E225" s="2" t="s">
        <v>1108</v>
      </c>
      <c r="F225" s="2" t="s">
        <v>32</v>
      </c>
      <c r="G225" s="2" t="s">
        <v>123</v>
      </c>
      <c r="H225" s="2" t="s">
        <v>34</v>
      </c>
      <c r="I225" s="2" t="s">
        <v>68</v>
      </c>
      <c r="J225" s="2" t="s">
        <v>69</v>
      </c>
      <c r="K225" s="2" t="s">
        <v>82</v>
      </c>
      <c r="L225" s="2" t="s">
        <v>335</v>
      </c>
      <c r="M225" s="2" t="s">
        <v>111</v>
      </c>
      <c r="N225" s="2" t="s">
        <v>2343</v>
      </c>
      <c r="O225" s="2" t="s">
        <v>40</v>
      </c>
      <c r="P225" s="2" t="s">
        <v>41</v>
      </c>
      <c r="Q225" s="2" t="s">
        <v>42</v>
      </c>
      <c r="R225" s="2" t="s">
        <v>42</v>
      </c>
      <c r="S225" s="2" t="s">
        <v>41</v>
      </c>
      <c r="T225" s="2"/>
      <c r="U225" s="2" t="s">
        <v>41</v>
      </c>
      <c r="V225" s="2" t="s">
        <v>1109</v>
      </c>
      <c r="W225" s="3">
        <v>45200</v>
      </c>
      <c r="X225" s="2"/>
      <c r="Y225" s="2" t="s">
        <v>146</v>
      </c>
      <c r="Z225" s="2" t="s">
        <v>125</v>
      </c>
      <c r="AA225" s="2" t="s">
        <v>147</v>
      </c>
      <c r="AB225" s="2" t="s">
        <v>311</v>
      </c>
      <c r="AC225" s="2" t="s">
        <v>263</v>
      </c>
      <c r="AD225" s="2" t="s">
        <v>129</v>
      </c>
      <c r="AE225" s="2" t="s">
        <v>1110</v>
      </c>
    </row>
    <row r="226" spans="1:31" ht="126">
      <c r="A226" s="2" t="s">
        <v>1111</v>
      </c>
      <c r="B226" s="2" t="s">
        <v>1112</v>
      </c>
      <c r="C226" s="2" t="str">
        <f>sheet13[[#This Row],[Nombre]]&amp;sheet13[[#This Row],[Bp Id]]</f>
        <v>Fabrica de ProductoPRD0065</v>
      </c>
      <c r="D226" s="2" t="str">
        <f>VLOOKUP(sheet13[[#This Row],[Columna1]],Sheet2!C:S,4,FALSE)</f>
        <v>Operativo</v>
      </c>
      <c r="E226" s="2" t="s">
        <v>1113</v>
      </c>
      <c r="F226" s="2" t="s">
        <v>32</v>
      </c>
      <c r="G226" s="2" t="s">
        <v>48</v>
      </c>
      <c r="H226" s="2" t="s">
        <v>59</v>
      </c>
      <c r="I226" s="2" t="s">
        <v>167</v>
      </c>
      <c r="J226" s="2" t="s">
        <v>96</v>
      </c>
      <c r="K226" s="2" t="s">
        <v>1114</v>
      </c>
      <c r="L226" s="2" t="s">
        <v>169</v>
      </c>
      <c r="M226" s="2" t="s">
        <v>39</v>
      </c>
      <c r="N226" s="2" t="s">
        <v>2343</v>
      </c>
      <c r="O226" s="2" t="s">
        <v>40</v>
      </c>
      <c r="P226" s="2"/>
      <c r="Q226" s="2"/>
      <c r="R226" s="2"/>
      <c r="S226" s="2"/>
      <c r="T226" s="2" t="s">
        <v>2344</v>
      </c>
      <c r="U226" s="2" t="s">
        <v>2345</v>
      </c>
      <c r="V226" s="2"/>
      <c r="W226" s="3"/>
      <c r="X226" s="2"/>
      <c r="Y226" s="2"/>
      <c r="Z226" s="2"/>
      <c r="AA226" s="2"/>
      <c r="AB226" s="2"/>
      <c r="AC226" s="2"/>
      <c r="AD226" s="2"/>
      <c r="AE226" s="2"/>
    </row>
    <row r="227" spans="1:31" ht="409.6">
      <c r="A227" s="2" t="s">
        <v>1115</v>
      </c>
      <c r="B227" s="2" t="s">
        <v>1116</v>
      </c>
      <c r="C227" s="2" t="str">
        <f>sheet13[[#This Row],[Nombre]]&amp;sheet13[[#This Row],[Bp Id]]</f>
        <v>FacephiSEC0020</v>
      </c>
      <c r="D227" s="2" t="str">
        <f>VLOOKUP(sheet13[[#This Row],[Columna1]],Sheet2!C:S,4,FALSE)</f>
        <v>Operativo</v>
      </c>
      <c r="E227" s="2" t="s">
        <v>1117</v>
      </c>
      <c r="F227" s="2" t="s">
        <v>32</v>
      </c>
      <c r="G227" s="2" t="s">
        <v>123</v>
      </c>
      <c r="H227" s="2" t="s">
        <v>59</v>
      </c>
      <c r="I227" s="2" t="s">
        <v>258</v>
      </c>
      <c r="J227" s="2" t="s">
        <v>214</v>
      </c>
      <c r="K227" s="2" t="s">
        <v>438</v>
      </c>
      <c r="L227" s="2" t="s">
        <v>261</v>
      </c>
      <c r="M227" s="2" t="s">
        <v>111</v>
      </c>
      <c r="N227" s="2" t="s">
        <v>2343</v>
      </c>
      <c r="O227" s="2" t="s">
        <v>40</v>
      </c>
      <c r="P227" s="2" t="s">
        <v>43</v>
      </c>
      <c r="Q227" s="2" t="s">
        <v>64</v>
      </c>
      <c r="R227" s="2" t="s">
        <v>64</v>
      </c>
      <c r="S227" s="2" t="s">
        <v>43</v>
      </c>
      <c r="T227" s="2" t="s">
        <v>2344</v>
      </c>
      <c r="U227" s="2" t="s">
        <v>43</v>
      </c>
      <c r="V227" s="2" t="s">
        <v>1118</v>
      </c>
      <c r="W227" s="3">
        <v>45988</v>
      </c>
      <c r="X227" s="2" t="s">
        <v>660</v>
      </c>
      <c r="Y227" s="2"/>
      <c r="Z227" s="2"/>
      <c r="AA227" s="2"/>
      <c r="AB227" s="2"/>
      <c r="AC227" s="2"/>
      <c r="AD227" s="2"/>
      <c r="AE227" s="2"/>
    </row>
    <row r="228" spans="1:31" ht="150.94999999999999">
      <c r="A228" s="2" t="s">
        <v>1119</v>
      </c>
      <c r="B228" s="2" t="s">
        <v>1120</v>
      </c>
      <c r="C228" s="2" t="str">
        <f>sheet13[[#This Row],[Nombre]]&amp;sheet13[[#This Row],[Bp Id]]</f>
        <v>Facturación ElectrónicaGOB0012</v>
      </c>
      <c r="D228" s="2" t="str">
        <f>VLOOKUP(sheet13[[#This Row],[Columna1]],Sheet2!C:S,4,FALSE)</f>
        <v>Operativo</v>
      </c>
      <c r="E228" s="2" t="s">
        <v>1121</v>
      </c>
      <c r="F228" s="2" t="s">
        <v>32</v>
      </c>
      <c r="G228" s="2" t="s">
        <v>48</v>
      </c>
      <c r="H228" s="2" t="s">
        <v>59</v>
      </c>
      <c r="I228" s="2" t="s">
        <v>225</v>
      </c>
      <c r="J228" s="2" t="s">
        <v>226</v>
      </c>
      <c r="K228" s="2" t="s">
        <v>753</v>
      </c>
      <c r="L228" s="2" t="s">
        <v>277</v>
      </c>
      <c r="M228" s="2" t="s">
        <v>39</v>
      </c>
      <c r="N228" s="2" t="s">
        <v>2343</v>
      </c>
      <c r="O228" s="2" t="s">
        <v>40</v>
      </c>
      <c r="P228" s="2" t="s">
        <v>41</v>
      </c>
      <c r="Q228" s="2" t="s">
        <v>42</v>
      </c>
      <c r="R228" s="2" t="s">
        <v>42</v>
      </c>
      <c r="S228" s="2" t="s">
        <v>41</v>
      </c>
      <c r="T228" s="2"/>
      <c r="U228" s="2" t="s">
        <v>41</v>
      </c>
      <c r="V228" s="2" t="s">
        <v>1122</v>
      </c>
      <c r="W228" s="3">
        <v>45200</v>
      </c>
      <c r="X228" s="2"/>
      <c r="Y228" s="2" t="s">
        <v>125</v>
      </c>
      <c r="Z228" s="2" t="s">
        <v>262</v>
      </c>
      <c r="AA228" s="2" t="s">
        <v>147</v>
      </c>
      <c r="AB228" s="2" t="s">
        <v>127</v>
      </c>
      <c r="AC228" s="2"/>
      <c r="AD228" s="2" t="s">
        <v>129</v>
      </c>
      <c r="AE228" s="2" t="s">
        <v>1123</v>
      </c>
    </row>
    <row r="229" spans="1:31" ht="101.1">
      <c r="A229" s="2" t="s">
        <v>1124</v>
      </c>
      <c r="B229" s="2" t="s">
        <v>1125</v>
      </c>
      <c r="C229" s="2" t="str">
        <f>sheet13[[#This Row],[Nombre]]&amp;sheet13[[#This Row],[Bp Id]]</f>
        <v>FigmaEDC0002</v>
      </c>
      <c r="D229" s="2" t="str">
        <f>VLOOKUP(sheet13[[#This Row],[Columna1]],Sheet2!C:S,4,FALSE)</f>
        <v>Operativo</v>
      </c>
      <c r="E229" s="2" t="s">
        <v>1126</v>
      </c>
      <c r="F229" s="2" t="s">
        <v>32</v>
      </c>
      <c r="G229" s="2" t="s">
        <v>48</v>
      </c>
      <c r="H229" s="2" t="s">
        <v>59</v>
      </c>
      <c r="I229" s="2" t="s">
        <v>294</v>
      </c>
      <c r="J229" s="2" t="s">
        <v>880</v>
      </c>
      <c r="K229" s="2"/>
      <c r="L229" s="2"/>
      <c r="M229" s="2" t="s">
        <v>296</v>
      </c>
      <c r="N229" s="2" t="s">
        <v>2343</v>
      </c>
      <c r="O229" s="2" t="s">
        <v>40</v>
      </c>
      <c r="P229" s="2" t="s">
        <v>43</v>
      </c>
      <c r="Q229" s="2" t="s">
        <v>53</v>
      </c>
      <c r="R229" s="2" t="s">
        <v>53</v>
      </c>
      <c r="S229" s="2" t="s">
        <v>43</v>
      </c>
      <c r="T229" s="2" t="s">
        <v>2344</v>
      </c>
      <c r="U229" s="2" t="s">
        <v>43</v>
      </c>
      <c r="V229" s="2"/>
      <c r="W229" s="3"/>
      <c r="X229" s="2"/>
      <c r="Y229" s="2"/>
      <c r="Z229" s="2"/>
      <c r="AA229" s="2"/>
      <c r="AB229" s="2"/>
      <c r="AC229" s="2"/>
      <c r="AD229" s="2"/>
      <c r="AE229" s="2"/>
    </row>
    <row r="230" spans="1:31" ht="409.6">
      <c r="A230" s="2" t="s">
        <v>1127</v>
      </c>
      <c r="B230" s="2" t="s">
        <v>1128</v>
      </c>
      <c r="C230" s="2" t="str">
        <f>sheet13[[#This Row],[Nombre]]&amp;sheet13[[#This Row],[Bp Id]]</f>
        <v>File serverITM0018</v>
      </c>
      <c r="D230" s="2" t="str">
        <f>VLOOKUP(sheet13[[#This Row],[Columna1]],Sheet2!C:S,4,FALSE)</f>
        <v>Operativo</v>
      </c>
      <c r="E230" s="2" t="s">
        <v>1129</v>
      </c>
      <c r="F230" s="2" t="s">
        <v>32</v>
      </c>
      <c r="G230" s="2" t="s">
        <v>48</v>
      </c>
      <c r="H230" s="2" t="s">
        <v>34</v>
      </c>
      <c r="I230" s="2" t="s">
        <v>68</v>
      </c>
      <c r="J230" s="2" t="s">
        <v>69</v>
      </c>
      <c r="K230" s="2" t="s">
        <v>82</v>
      </c>
      <c r="L230" s="2" t="s">
        <v>898</v>
      </c>
      <c r="M230" s="2" t="s">
        <v>111</v>
      </c>
      <c r="N230" s="2" t="s">
        <v>2343</v>
      </c>
      <c r="O230" s="2" t="s">
        <v>40</v>
      </c>
      <c r="P230" s="2" t="s">
        <v>43</v>
      </c>
      <c r="Q230" s="2" t="s">
        <v>42</v>
      </c>
      <c r="R230" s="2" t="s">
        <v>42</v>
      </c>
      <c r="S230" s="2" t="s">
        <v>43</v>
      </c>
      <c r="T230" s="2" t="s">
        <v>2344</v>
      </c>
      <c r="U230" s="2" t="s">
        <v>43</v>
      </c>
      <c r="V230" s="2" t="s">
        <v>1130</v>
      </c>
      <c r="W230" s="3">
        <v>45200</v>
      </c>
      <c r="X230" s="2" t="s">
        <v>1131</v>
      </c>
      <c r="Y230" s="2" t="s">
        <v>125</v>
      </c>
      <c r="Z230" s="2" t="s">
        <v>262</v>
      </c>
      <c r="AA230" s="2" t="s">
        <v>147</v>
      </c>
      <c r="AB230" s="2" t="s">
        <v>311</v>
      </c>
      <c r="AC230" s="2" t="s">
        <v>376</v>
      </c>
      <c r="AD230" s="2" t="s">
        <v>129</v>
      </c>
      <c r="AE230" s="2"/>
    </row>
    <row r="231" spans="1:31" ht="51">
      <c r="A231" s="2" t="s">
        <v>1132</v>
      </c>
      <c r="B231" s="2" t="s">
        <v>1133</v>
      </c>
      <c r="C231" s="2" t="str">
        <f>sheet13[[#This Row],[Nombre]]&amp;sheet13[[#This Row],[Bp Id]]</f>
        <v>File Server - RespaldosITM0019</v>
      </c>
      <c r="D231" s="2" t="str">
        <f>VLOOKUP(sheet13[[#This Row],[Columna1]],Sheet2!C:S,4,FALSE)</f>
        <v>Retirado</v>
      </c>
      <c r="E231" s="2" t="s">
        <v>139</v>
      </c>
      <c r="F231" s="2" t="s">
        <v>47</v>
      </c>
      <c r="G231" s="2" t="s">
        <v>48</v>
      </c>
      <c r="H231" s="2" t="s">
        <v>34</v>
      </c>
      <c r="I231" s="2" t="s">
        <v>68</v>
      </c>
      <c r="J231" s="2" t="s">
        <v>236</v>
      </c>
      <c r="K231" s="2" t="s">
        <v>82</v>
      </c>
      <c r="L231" s="2" t="s">
        <v>82</v>
      </c>
      <c r="M231" s="2" t="s">
        <v>296</v>
      </c>
      <c r="N231" s="2" t="s">
        <v>2345</v>
      </c>
      <c r="O231" s="2" t="s">
        <v>40</v>
      </c>
      <c r="P231" s="2" t="s">
        <v>41</v>
      </c>
      <c r="Q231" s="2" t="s">
        <v>533</v>
      </c>
      <c r="R231" s="2" t="s">
        <v>42</v>
      </c>
      <c r="S231" s="2" t="s">
        <v>43</v>
      </c>
      <c r="T231" s="2"/>
      <c r="U231" s="2" t="s">
        <v>43</v>
      </c>
      <c r="V231" s="2"/>
      <c r="W231" s="3"/>
      <c r="X231" s="2"/>
      <c r="Y231" s="2"/>
      <c r="Z231" s="2"/>
      <c r="AA231" s="2"/>
      <c r="AB231" s="2"/>
      <c r="AC231" s="2"/>
      <c r="AD231" s="2"/>
      <c r="AE231" s="2"/>
    </row>
    <row r="232" spans="1:31" ht="188.45">
      <c r="A232" s="2" t="s">
        <v>1134</v>
      </c>
      <c r="B232" s="2" t="s">
        <v>1135</v>
      </c>
      <c r="C232" s="2" t="str">
        <f>sheet13[[#This Row],[Nombre]]&amp;sheet13[[#This Row],[Bp Id]]</f>
        <v>FileUpdate (TOTEM)COR0001</v>
      </c>
      <c r="D232" s="2" t="str">
        <f>VLOOKUP(sheet13[[#This Row],[Columna1]],Sheet2!C:S,4,FALSE)</f>
        <v>Operativo</v>
      </c>
      <c r="E232" s="2" t="s">
        <v>1136</v>
      </c>
      <c r="F232" s="2" t="s">
        <v>32</v>
      </c>
      <c r="G232" s="2" t="s">
        <v>76</v>
      </c>
      <c r="H232" s="2" t="s">
        <v>34</v>
      </c>
      <c r="I232" s="2" t="s">
        <v>339</v>
      </c>
      <c r="J232" s="2" t="s">
        <v>50</v>
      </c>
      <c r="K232" s="2" t="s">
        <v>634</v>
      </c>
      <c r="L232" s="2" t="s">
        <v>941</v>
      </c>
      <c r="M232" s="2" t="s">
        <v>39</v>
      </c>
      <c r="N232" s="2" t="s">
        <v>2343</v>
      </c>
      <c r="O232" s="2" t="s">
        <v>40</v>
      </c>
      <c r="P232" s="2" t="s">
        <v>41</v>
      </c>
      <c r="Q232" s="2" t="s">
        <v>42</v>
      </c>
      <c r="R232" s="2" t="s">
        <v>42</v>
      </c>
      <c r="S232" s="2" t="s">
        <v>41</v>
      </c>
      <c r="T232" s="2" t="s">
        <v>2344</v>
      </c>
      <c r="U232" s="2" t="s">
        <v>43</v>
      </c>
      <c r="V232" s="2"/>
      <c r="W232" s="3"/>
      <c r="X232" s="2"/>
      <c r="Y232" s="2"/>
      <c r="Z232" s="2"/>
      <c r="AA232" s="2"/>
      <c r="AB232" s="2"/>
      <c r="AC232" s="2"/>
      <c r="AD232" s="2"/>
      <c r="AE232" s="2"/>
    </row>
    <row r="233" spans="1:31" ht="63.6">
      <c r="A233" s="2" t="s">
        <v>1137</v>
      </c>
      <c r="B233" s="2" t="s">
        <v>1138</v>
      </c>
      <c r="C233" s="2" t="str">
        <f>sheet13[[#This Row],[Nombre]]&amp;sheet13[[#This Row],[Bp Id]]</f>
        <v>FIREEYE 5500_NX2SEC0066</v>
      </c>
      <c r="D233" s="2" t="str">
        <f>VLOOKUP(sheet13[[#This Row],[Columna1]],Sheet2!C:S,4,FALSE)</f>
        <v>Retirado</v>
      </c>
      <c r="E233" s="2" t="s">
        <v>432</v>
      </c>
      <c r="F233" s="2" t="s">
        <v>47</v>
      </c>
      <c r="G233" s="2" t="s">
        <v>48</v>
      </c>
      <c r="H233" s="2" t="s">
        <v>34</v>
      </c>
      <c r="I233" s="2" t="s">
        <v>2346</v>
      </c>
      <c r="J233" s="2" t="s">
        <v>176</v>
      </c>
      <c r="K233" s="2"/>
      <c r="L233" s="2" t="s">
        <v>803</v>
      </c>
      <c r="M233" s="2" t="s">
        <v>111</v>
      </c>
      <c r="N233" s="2" t="s">
        <v>2345</v>
      </c>
      <c r="O233" s="2" t="s">
        <v>40</v>
      </c>
      <c r="P233" s="2" t="s">
        <v>41</v>
      </c>
      <c r="Q233" s="2" t="s">
        <v>42</v>
      </c>
      <c r="R233" s="2" t="s">
        <v>42</v>
      </c>
      <c r="S233" s="2" t="s">
        <v>41</v>
      </c>
      <c r="T233" s="2"/>
      <c r="U233" s="2" t="s">
        <v>43</v>
      </c>
      <c r="V233" s="2"/>
      <c r="W233" s="3"/>
      <c r="X233" s="2"/>
      <c r="Y233" s="2"/>
      <c r="Z233" s="2"/>
      <c r="AA233" s="2"/>
      <c r="AB233" s="2"/>
      <c r="AC233" s="2"/>
      <c r="AD233" s="2"/>
      <c r="AE233" s="2"/>
    </row>
    <row r="234" spans="1:31" ht="51">
      <c r="A234" s="2" t="s">
        <v>1139</v>
      </c>
      <c r="B234" s="2" t="s">
        <v>1140</v>
      </c>
      <c r="C234" s="2" t="str">
        <f>sheet13[[#This Row],[Nombre]]&amp;sheet13[[#This Row],[Bp Id]]</f>
        <v>Notificador CloudTIE0021</v>
      </c>
      <c r="D234" s="2" t="str">
        <f>VLOOKUP(sheet13[[#This Row],[Columna1]],Sheet2!C:S,4,FALSE)</f>
        <v>Operativo</v>
      </c>
      <c r="E234" s="2" t="s">
        <v>432</v>
      </c>
      <c r="F234" s="2" t="s">
        <v>32</v>
      </c>
      <c r="G234" s="2" t="s">
        <v>123</v>
      </c>
      <c r="H234" s="2" t="s">
        <v>59</v>
      </c>
      <c r="I234" s="2" t="s">
        <v>49</v>
      </c>
      <c r="J234" s="2" t="s">
        <v>50</v>
      </c>
      <c r="K234" s="2" t="s">
        <v>340</v>
      </c>
      <c r="L234" s="2" t="s">
        <v>1141</v>
      </c>
      <c r="M234" s="2" t="s">
        <v>63</v>
      </c>
      <c r="N234" s="2" t="s">
        <v>2343</v>
      </c>
      <c r="O234" s="2" t="s">
        <v>40</v>
      </c>
      <c r="P234" s="2" t="s">
        <v>43</v>
      </c>
      <c r="Q234" s="2" t="s">
        <v>53</v>
      </c>
      <c r="R234" s="2" t="s">
        <v>53</v>
      </c>
      <c r="S234" s="2" t="s">
        <v>43</v>
      </c>
      <c r="T234" s="2" t="s">
        <v>2344</v>
      </c>
      <c r="U234" s="2" t="s">
        <v>43</v>
      </c>
      <c r="V234" s="2"/>
      <c r="W234" s="3"/>
      <c r="X234" s="2"/>
      <c r="Y234" s="2"/>
      <c r="Z234" s="2"/>
      <c r="AA234" s="2"/>
      <c r="AB234" s="2"/>
      <c r="AC234" s="2"/>
      <c r="AD234" s="2"/>
      <c r="AE234" s="2"/>
    </row>
    <row r="235" spans="1:31" ht="63.6">
      <c r="A235" s="2" t="s">
        <v>1142</v>
      </c>
      <c r="B235" s="2" t="s">
        <v>1143</v>
      </c>
      <c r="C235" s="2" t="str">
        <f>sheet13[[#This Row],[Nombre]]&amp;sheet13[[#This Row],[Bp Id]]</f>
        <v>NovoadminPAY0013</v>
      </c>
      <c r="D235" s="2" t="str">
        <f>VLOOKUP(sheet13[[#This Row],[Columna1]],Sheet2!C:S,4,FALSE)</f>
        <v>Operativo</v>
      </c>
      <c r="E235" s="2" t="s">
        <v>139</v>
      </c>
      <c r="F235" s="2" t="s">
        <v>32</v>
      </c>
      <c r="G235" s="2" t="s">
        <v>58</v>
      </c>
      <c r="H235" s="2" t="s">
        <v>140</v>
      </c>
      <c r="I235" s="2" t="s">
        <v>141</v>
      </c>
      <c r="J235" s="2" t="s">
        <v>151</v>
      </c>
      <c r="K235" s="2" t="s">
        <v>564</v>
      </c>
      <c r="L235" s="2" t="s">
        <v>565</v>
      </c>
      <c r="M235" s="2" t="s">
        <v>39</v>
      </c>
      <c r="N235" s="2" t="s">
        <v>2345</v>
      </c>
      <c r="O235" s="2" t="s">
        <v>91</v>
      </c>
      <c r="P235" s="2" t="s">
        <v>41</v>
      </c>
      <c r="Q235" s="2" t="s">
        <v>53</v>
      </c>
      <c r="R235" s="2" t="s">
        <v>311</v>
      </c>
      <c r="S235" s="2" t="s">
        <v>43</v>
      </c>
      <c r="T235" s="2"/>
      <c r="U235" s="2" t="s">
        <v>43</v>
      </c>
      <c r="V235" s="2"/>
      <c r="W235" s="3"/>
      <c r="X235" s="2"/>
      <c r="Y235" s="2"/>
      <c r="Z235" s="2"/>
      <c r="AA235" s="2"/>
      <c r="AB235" s="2"/>
      <c r="AC235" s="2"/>
      <c r="AD235" s="2"/>
      <c r="AE235" s="2"/>
    </row>
    <row r="236" spans="1:31" ht="113.45">
      <c r="A236" s="2" t="s">
        <v>1144</v>
      </c>
      <c r="B236" s="2" t="s">
        <v>1145</v>
      </c>
      <c r="C236" s="2" t="str">
        <f>sheet13[[#This Row],[Nombre]]&amp;sheet13[[#This Row],[Bp Id]]</f>
        <v>Nutanix CVMITM0084</v>
      </c>
      <c r="D236" s="2" t="str">
        <f>VLOOKUP(sheet13[[#This Row],[Columna1]],Sheet2!C:S,4,FALSE)</f>
        <v>Operativo</v>
      </c>
      <c r="E236" s="2" t="s">
        <v>1146</v>
      </c>
      <c r="F236" s="2" t="s">
        <v>32</v>
      </c>
      <c r="G236" s="2" t="s">
        <v>48</v>
      </c>
      <c r="H236" s="2" t="s">
        <v>34</v>
      </c>
      <c r="I236" s="2" t="s">
        <v>68</v>
      </c>
      <c r="J236" s="2" t="s">
        <v>69</v>
      </c>
      <c r="K236" s="2" t="s">
        <v>82</v>
      </c>
      <c r="L236" s="2" t="s">
        <v>1147</v>
      </c>
      <c r="M236" s="2" t="s">
        <v>161</v>
      </c>
      <c r="N236" s="2" t="s">
        <v>2345</v>
      </c>
      <c r="O236" s="2" t="s">
        <v>40</v>
      </c>
      <c r="P236" s="2" t="s">
        <v>43</v>
      </c>
      <c r="Q236" s="2" t="s">
        <v>53</v>
      </c>
      <c r="R236" s="2" t="s">
        <v>53</v>
      </c>
      <c r="S236" s="2" t="s">
        <v>43</v>
      </c>
      <c r="T236" s="2"/>
      <c r="U236" s="2" t="s">
        <v>43</v>
      </c>
      <c r="V236" s="2" t="s">
        <v>1148</v>
      </c>
      <c r="W236" s="3"/>
      <c r="X236" s="2"/>
      <c r="Y236" s="2"/>
      <c r="Z236" s="2"/>
      <c r="AA236" s="2"/>
      <c r="AB236" s="2"/>
      <c r="AC236" s="2"/>
      <c r="AD236" s="2"/>
      <c r="AE236" s="2"/>
    </row>
    <row r="237" spans="1:31" ht="138.6">
      <c r="A237" s="2" t="s">
        <v>1149</v>
      </c>
      <c r="B237" s="2" t="s">
        <v>1150</v>
      </c>
      <c r="C237" s="2" t="str">
        <f>sheet13[[#This Row],[Nombre]]&amp;sheet13[[#This Row],[Bp Id]]</f>
        <v>Colector de Eventos SOC (NXLog)SEC0050</v>
      </c>
      <c r="D237" s="2" t="str">
        <f>VLOOKUP(sheet13[[#This Row],[Columna1]],Sheet2!C:S,4,FALSE)</f>
        <v>Operativo</v>
      </c>
      <c r="E237" s="2" t="s">
        <v>1151</v>
      </c>
      <c r="F237" s="2" t="s">
        <v>32</v>
      </c>
      <c r="G237" s="2" t="s">
        <v>76</v>
      </c>
      <c r="H237" s="2" t="s">
        <v>34</v>
      </c>
      <c r="I237" s="2" t="s">
        <v>2348</v>
      </c>
      <c r="J237" s="2" t="s">
        <v>175</v>
      </c>
      <c r="K237" s="2" t="s">
        <v>176</v>
      </c>
      <c r="L237" s="2" t="s">
        <v>2349</v>
      </c>
      <c r="M237" s="2" t="s">
        <v>111</v>
      </c>
      <c r="N237" s="2" t="s">
        <v>2343</v>
      </c>
      <c r="O237" s="2" t="s">
        <v>40</v>
      </c>
      <c r="P237" s="2" t="s">
        <v>41</v>
      </c>
      <c r="Q237" s="2" t="s">
        <v>42</v>
      </c>
      <c r="R237" s="2" t="s">
        <v>53</v>
      </c>
      <c r="S237" s="2" t="s">
        <v>41</v>
      </c>
      <c r="T237" s="2"/>
      <c r="U237" s="2" t="s">
        <v>41</v>
      </c>
      <c r="V237" s="2"/>
      <c r="W237" s="3">
        <v>45630</v>
      </c>
      <c r="X237" s="2" t="s">
        <v>178</v>
      </c>
      <c r="Y237" s="2" t="s">
        <v>959</v>
      </c>
      <c r="Z237" s="2" t="s">
        <v>375</v>
      </c>
      <c r="AA237" s="2" t="s">
        <v>127</v>
      </c>
      <c r="AB237" s="2" t="s">
        <v>127</v>
      </c>
      <c r="AC237" s="2" t="s">
        <v>180</v>
      </c>
      <c r="AD237" s="2" t="s">
        <v>129</v>
      </c>
      <c r="AE237" s="2" t="s">
        <v>1153</v>
      </c>
    </row>
    <row r="238" spans="1:31" ht="409.6">
      <c r="A238" s="2" t="s">
        <v>1154</v>
      </c>
      <c r="B238" s="2" t="s">
        <v>1155</v>
      </c>
      <c r="C238" s="2" t="str">
        <f>sheet13[[#This Row],[Nombre]]&amp;sheet13[[#This Row],[Bp Id]]</f>
        <v>OCTOPUSSEC0072</v>
      </c>
      <c r="D238" s="2" t="str">
        <f>VLOOKUP(sheet13[[#This Row],[Columna1]],Sheet2!C:S,4,FALSE)</f>
        <v>Operativo</v>
      </c>
      <c r="E238" s="2" t="s">
        <v>1156</v>
      </c>
      <c r="F238" s="2" t="s">
        <v>32</v>
      </c>
      <c r="G238" s="2" t="s">
        <v>48</v>
      </c>
      <c r="H238" s="2" t="s">
        <v>345</v>
      </c>
      <c r="I238" s="2" t="s">
        <v>2348</v>
      </c>
      <c r="J238" s="2" t="s">
        <v>412</v>
      </c>
      <c r="K238" s="2" t="s">
        <v>176</v>
      </c>
      <c r="L238" s="2" t="s">
        <v>546</v>
      </c>
      <c r="M238" s="2" t="s">
        <v>111</v>
      </c>
      <c r="N238" s="2" t="s">
        <v>2343</v>
      </c>
      <c r="O238" s="2" t="s">
        <v>40</v>
      </c>
      <c r="P238" s="2" t="s">
        <v>41</v>
      </c>
      <c r="Q238" s="2" t="s">
        <v>64</v>
      </c>
      <c r="R238" s="2" t="s">
        <v>53</v>
      </c>
      <c r="S238" s="2" t="s">
        <v>41</v>
      </c>
      <c r="T238" s="2" t="str">
        <f>VLOOKUP(sheet13[[#This Row],[Nombre]],[1]Hoja1!A:B,2,FALSE)</f>
        <v>FASE 3</v>
      </c>
      <c r="U238" s="2" t="s">
        <v>2343</v>
      </c>
      <c r="V238" s="2"/>
      <c r="W238" s="3"/>
      <c r="X238" s="2"/>
      <c r="Y238" s="2"/>
      <c r="Z238" s="2"/>
      <c r="AA238" s="2"/>
      <c r="AB238" s="2"/>
      <c r="AC238" s="2"/>
      <c r="AD238" s="2"/>
      <c r="AE238" s="2"/>
    </row>
    <row r="239" spans="1:31" ht="188.45">
      <c r="A239" s="2" t="s">
        <v>1157</v>
      </c>
      <c r="B239" s="2" t="s">
        <v>1158</v>
      </c>
      <c r="C239" s="2" t="str">
        <f>sheet13[[#This Row],[Nombre]]&amp;sheet13[[#This Row],[Bp Id]]</f>
        <v>OEM Cloud ControlITM0044</v>
      </c>
      <c r="D239" s="2" t="str">
        <f>VLOOKUP(sheet13[[#This Row],[Columna1]],Sheet2!C:S,4,FALSE)</f>
        <v>Operativo</v>
      </c>
      <c r="E239" s="2" t="s">
        <v>1159</v>
      </c>
      <c r="F239" s="2" t="s">
        <v>32</v>
      </c>
      <c r="G239" s="2" t="s">
        <v>58</v>
      </c>
      <c r="H239" s="2" t="s">
        <v>34</v>
      </c>
      <c r="I239" s="2" t="s">
        <v>68</v>
      </c>
      <c r="J239" s="2" t="s">
        <v>69</v>
      </c>
      <c r="K239" s="2" t="s">
        <v>70</v>
      </c>
      <c r="L239" s="2" t="s">
        <v>71</v>
      </c>
      <c r="M239" s="2" t="s">
        <v>52</v>
      </c>
      <c r="N239" s="2" t="s">
        <v>2343</v>
      </c>
      <c r="O239" s="2" t="s">
        <v>40</v>
      </c>
      <c r="P239" s="2" t="s">
        <v>41</v>
      </c>
      <c r="Q239" s="2" t="s">
        <v>53</v>
      </c>
      <c r="R239" s="2" t="s">
        <v>53</v>
      </c>
      <c r="S239" s="2" t="s">
        <v>41</v>
      </c>
      <c r="T239" s="2" t="s">
        <v>2344</v>
      </c>
      <c r="U239" s="2" t="s">
        <v>43</v>
      </c>
      <c r="V239" s="2"/>
      <c r="W239" s="3"/>
      <c r="X239" s="2"/>
      <c r="Y239" s="2"/>
      <c r="Z239" s="2"/>
      <c r="AA239" s="2"/>
      <c r="AB239" s="2"/>
      <c r="AC239" s="2"/>
      <c r="AD239" s="2"/>
      <c r="AE239" s="2"/>
    </row>
    <row r="240" spans="1:31" ht="113.45">
      <c r="A240" s="2" t="s">
        <v>1160</v>
      </c>
      <c r="B240" s="2" t="s">
        <v>1161</v>
      </c>
      <c r="C240" s="2" t="str">
        <f>sheet13[[#This Row],[Nombre]]&amp;sheet13[[#This Row],[Bp Id]]</f>
        <v>OFFICE365ITM0073</v>
      </c>
      <c r="D240" s="2" t="str">
        <f>VLOOKUP(sheet13[[#This Row],[Columna1]],Sheet2!C:S,4,FALSE)</f>
        <v>Operativo</v>
      </c>
      <c r="E240" s="2" t="s">
        <v>1162</v>
      </c>
      <c r="F240" s="2" t="s">
        <v>32</v>
      </c>
      <c r="G240" s="2" t="s">
        <v>48</v>
      </c>
      <c r="H240" s="2" t="s">
        <v>59</v>
      </c>
      <c r="I240" s="2" t="s">
        <v>232</v>
      </c>
      <c r="J240" s="2" t="s">
        <v>1163</v>
      </c>
      <c r="K240" s="2" t="s">
        <v>234</v>
      </c>
      <c r="L240" s="2" t="s">
        <v>233</v>
      </c>
      <c r="M240" s="2" t="s">
        <v>52</v>
      </c>
      <c r="N240" s="2" t="s">
        <v>2343</v>
      </c>
      <c r="O240" s="2" t="s">
        <v>40</v>
      </c>
      <c r="P240" s="2" t="s">
        <v>41</v>
      </c>
      <c r="Q240" s="2" t="s">
        <v>64</v>
      </c>
      <c r="R240" s="2" t="s">
        <v>64</v>
      </c>
      <c r="S240" s="2" t="s">
        <v>41</v>
      </c>
      <c r="T240" s="2" t="s">
        <v>2344</v>
      </c>
      <c r="U240" s="2" t="s">
        <v>43</v>
      </c>
      <c r="V240" s="2"/>
      <c r="W240" s="3"/>
      <c r="X240" s="2"/>
      <c r="Y240" s="2"/>
      <c r="Z240" s="2"/>
      <c r="AA240" s="2"/>
      <c r="AB240" s="2"/>
      <c r="AC240" s="2"/>
      <c r="AD240" s="2"/>
      <c r="AE240" s="2"/>
    </row>
    <row r="241" spans="1:31" ht="225.95">
      <c r="A241" s="2" t="s">
        <v>787</v>
      </c>
      <c r="B241" s="2" t="s">
        <v>788</v>
      </c>
      <c r="C241" s="2" t="str">
        <f>sheet13[[#This Row],[Nombre]]&amp;sheet13[[#This Row],[Bp Id]]</f>
        <v>Operación de Estructuras Normativas UAFE / RMLGOB0002</v>
      </c>
      <c r="D241" s="2" t="str">
        <f>VLOOKUP(sheet13[[#This Row],[Columna1]],Sheet2!C:S,4,FALSE)</f>
        <v>Operativo</v>
      </c>
      <c r="E241" s="2" t="s">
        <v>789</v>
      </c>
      <c r="F241" s="2" t="s">
        <v>32</v>
      </c>
      <c r="G241" s="2" t="s">
        <v>48</v>
      </c>
      <c r="H241" s="2" t="s">
        <v>34</v>
      </c>
      <c r="I241" s="2" t="s">
        <v>328</v>
      </c>
      <c r="J241" s="2" t="s">
        <v>329</v>
      </c>
      <c r="K241" s="2" t="s">
        <v>790</v>
      </c>
      <c r="L241" s="2" t="s">
        <v>775</v>
      </c>
      <c r="M241" s="2" t="s">
        <v>63</v>
      </c>
      <c r="N241" s="2" t="s">
        <v>2343</v>
      </c>
      <c r="O241" s="2" t="s">
        <v>40</v>
      </c>
      <c r="P241" s="2"/>
      <c r="Q241" s="2"/>
      <c r="R241" s="2"/>
      <c r="S241" s="2"/>
      <c r="T241" s="2" t="s">
        <v>2344</v>
      </c>
      <c r="U241" s="2" t="s">
        <v>2345</v>
      </c>
      <c r="V241" s="2"/>
      <c r="W241" s="3"/>
      <c r="X241" s="2"/>
      <c r="Y241" s="2"/>
      <c r="Z241" s="2"/>
      <c r="AA241" s="2"/>
      <c r="AB241" s="2"/>
      <c r="AC241" s="2"/>
      <c r="AD241" s="2"/>
      <c r="AE241" s="2"/>
    </row>
    <row r="242" spans="1:31" ht="101.1">
      <c r="A242" s="2" t="s">
        <v>1164</v>
      </c>
      <c r="B242" s="2" t="s">
        <v>1165</v>
      </c>
      <c r="C242" s="2" t="str">
        <f>sheet13[[#This Row],[Nombre]]&amp;sheet13[[#This Row],[Bp Id]]</f>
        <v>Optimal workshopEDC0007</v>
      </c>
      <c r="D242" s="2" t="str">
        <f>VLOOKUP(sheet13[[#This Row],[Columna1]],Sheet2!C:S,4,FALSE)</f>
        <v>Retirado</v>
      </c>
      <c r="E242" s="2" t="s">
        <v>1166</v>
      </c>
      <c r="F242" s="2" t="s">
        <v>47</v>
      </c>
      <c r="G242" s="2" t="s">
        <v>48</v>
      </c>
      <c r="H242" s="2" t="s">
        <v>59</v>
      </c>
      <c r="I242" s="2" t="s">
        <v>294</v>
      </c>
      <c r="J242" s="2" t="s">
        <v>880</v>
      </c>
      <c r="K242" s="2" t="s">
        <v>880</v>
      </c>
      <c r="L242" s="2" t="s">
        <v>880</v>
      </c>
      <c r="M242" s="2" t="s">
        <v>296</v>
      </c>
      <c r="N242" s="2" t="s">
        <v>2345</v>
      </c>
      <c r="O242" s="2" t="s">
        <v>40</v>
      </c>
      <c r="P242" s="2" t="s">
        <v>43</v>
      </c>
      <c r="Q242" s="2" t="s">
        <v>53</v>
      </c>
      <c r="R242" s="2" t="s">
        <v>53</v>
      </c>
      <c r="S242" s="2" t="s">
        <v>43</v>
      </c>
      <c r="T242" s="2"/>
      <c r="U242" s="2" t="s">
        <v>43</v>
      </c>
      <c r="V242" s="2"/>
      <c r="W242" s="3"/>
      <c r="X242" s="2"/>
      <c r="Y242" s="2"/>
      <c r="Z242" s="2"/>
      <c r="AA242" s="2"/>
      <c r="AB242" s="2"/>
      <c r="AC242" s="2"/>
      <c r="AD242" s="2"/>
      <c r="AE242" s="2"/>
    </row>
    <row r="243" spans="1:31" ht="113.45">
      <c r="A243" s="2" t="s">
        <v>1167</v>
      </c>
      <c r="B243" s="2" t="s">
        <v>1168</v>
      </c>
      <c r="C243" s="2" t="str">
        <f>sheet13[[#This Row],[Nombre]]&amp;sheet13[[#This Row],[Bp Id]]</f>
        <v>Oracle Fusion ERPSUP0064</v>
      </c>
      <c r="D243" s="2" t="str">
        <f>VLOOKUP(sheet13[[#This Row],[Columna1]],Sheet2!C:S,4,FALSE)</f>
        <v>Operativo</v>
      </c>
      <c r="E243" s="2" t="s">
        <v>1074</v>
      </c>
      <c r="F243" s="2" t="s">
        <v>32</v>
      </c>
      <c r="G243" s="2" t="s">
        <v>76</v>
      </c>
      <c r="H243" s="2" t="s">
        <v>59</v>
      </c>
      <c r="I243" s="2" t="s">
        <v>225</v>
      </c>
      <c r="J243" s="2" t="s">
        <v>226</v>
      </c>
      <c r="K243" s="2" t="s">
        <v>277</v>
      </c>
      <c r="L243" s="2" t="s">
        <v>277</v>
      </c>
      <c r="M243" s="2" t="s">
        <v>39</v>
      </c>
      <c r="N243" s="2" t="s">
        <v>2343</v>
      </c>
      <c r="O243" s="2" t="s">
        <v>40</v>
      </c>
      <c r="P243" s="2" t="s">
        <v>41</v>
      </c>
      <c r="Q243" s="2" t="s">
        <v>64</v>
      </c>
      <c r="R243" s="2" t="s">
        <v>53</v>
      </c>
      <c r="S243" s="2" t="s">
        <v>41</v>
      </c>
      <c r="T243" s="2"/>
      <c r="U243" s="2" t="s">
        <v>41</v>
      </c>
      <c r="V243" s="2" t="s">
        <v>1169</v>
      </c>
      <c r="W243" s="3">
        <v>46076</v>
      </c>
      <c r="X243" s="2"/>
      <c r="Y243" s="2" t="s">
        <v>590</v>
      </c>
      <c r="Z243" s="2" t="s">
        <v>179</v>
      </c>
      <c r="AA243" s="2"/>
      <c r="AB243" s="2"/>
      <c r="AC243" s="2"/>
      <c r="AD243" s="2"/>
      <c r="AE243" s="2"/>
    </row>
    <row r="244" spans="1:31" ht="409.6">
      <c r="A244" s="2" t="s">
        <v>1171</v>
      </c>
      <c r="B244" s="2" t="s">
        <v>1172</v>
      </c>
      <c r="C244" s="2" t="str">
        <f>sheet13[[#This Row],[Nombre]]&amp;sheet13[[#This Row],[Bp Id]]</f>
        <v>Pagos + Cobros y Recaudos FCMPRD0061</v>
      </c>
      <c r="D244" s="2" t="str">
        <f>VLOOKUP(sheet13[[#This Row],[Columna1]],Sheet2!C:S,4,FALSE)</f>
        <v>Operativo</v>
      </c>
      <c r="E244" s="2" t="s">
        <v>1173</v>
      </c>
      <c r="F244" s="2" t="s">
        <v>32</v>
      </c>
      <c r="G244" s="2" t="s">
        <v>33</v>
      </c>
      <c r="H244" s="2" t="s">
        <v>59</v>
      </c>
      <c r="I244" s="2" t="s">
        <v>116</v>
      </c>
      <c r="J244" s="2" t="s">
        <v>62</v>
      </c>
      <c r="K244" s="2" t="s">
        <v>62</v>
      </c>
      <c r="L244" s="2" t="s">
        <v>1174</v>
      </c>
      <c r="M244" s="2" t="s">
        <v>39</v>
      </c>
      <c r="N244" s="2" t="s">
        <v>2343</v>
      </c>
      <c r="O244" s="2" t="s">
        <v>40</v>
      </c>
      <c r="P244" s="2" t="s">
        <v>41</v>
      </c>
      <c r="Q244" s="2" t="s">
        <v>42</v>
      </c>
      <c r="R244" s="2" t="s">
        <v>53</v>
      </c>
      <c r="S244" s="2" t="s">
        <v>41</v>
      </c>
      <c r="T244" s="2" t="s">
        <v>2344</v>
      </c>
      <c r="U244" s="2" t="s">
        <v>43</v>
      </c>
      <c r="V244" s="2"/>
      <c r="W244" s="3"/>
      <c r="X244" s="2"/>
      <c r="Y244" s="2" t="s">
        <v>262</v>
      </c>
      <c r="Z244" s="2" t="s">
        <v>626</v>
      </c>
      <c r="AA244" s="2" t="s">
        <v>127</v>
      </c>
      <c r="AB244" s="2" t="s">
        <v>127</v>
      </c>
      <c r="AC244" s="2" t="s">
        <v>1175</v>
      </c>
      <c r="AD244" s="2" t="s">
        <v>415</v>
      </c>
      <c r="AE244" s="2" t="s">
        <v>1176</v>
      </c>
    </row>
    <row r="245" spans="1:31" ht="288.60000000000002">
      <c r="A245" s="2" t="s">
        <v>1177</v>
      </c>
      <c r="B245" s="2" t="s">
        <v>1178</v>
      </c>
      <c r="C245" s="2" t="str">
        <f>sheet13[[#This Row],[Nombre]]&amp;sheet13[[#This Row],[Bp Id]]</f>
        <v>Seguridad Perimetral Firewall NubeSEC0049</v>
      </c>
      <c r="D245" s="2" t="str">
        <f>VLOOKUP(sheet13[[#This Row],[Columna1]],Sheet2!C:S,4,FALSE)</f>
        <v>Operativo</v>
      </c>
      <c r="E245" s="2" t="s">
        <v>1179</v>
      </c>
      <c r="F245" s="2" t="s">
        <v>32</v>
      </c>
      <c r="G245" s="2" t="s">
        <v>48</v>
      </c>
      <c r="H245" s="2" t="s">
        <v>59</v>
      </c>
      <c r="I245" s="2" t="s">
        <v>2348</v>
      </c>
      <c r="J245" s="2" t="s">
        <v>177</v>
      </c>
      <c r="K245" s="2" t="s">
        <v>176</v>
      </c>
      <c r="L245" s="2" t="s">
        <v>219</v>
      </c>
      <c r="M245" s="2" t="s">
        <v>111</v>
      </c>
      <c r="N245" s="2" t="s">
        <v>2343</v>
      </c>
      <c r="O245" s="2" t="s">
        <v>40</v>
      </c>
      <c r="P245" s="2" t="s">
        <v>41</v>
      </c>
      <c r="Q245" s="2" t="s">
        <v>42</v>
      </c>
      <c r="R245" s="2" t="s">
        <v>53</v>
      </c>
      <c r="S245" s="2" t="s">
        <v>41</v>
      </c>
      <c r="T245" s="2"/>
      <c r="U245" s="2" t="s">
        <v>41</v>
      </c>
      <c r="V245" s="2" t="s">
        <v>1180</v>
      </c>
      <c r="W245" s="3">
        <v>46160</v>
      </c>
      <c r="X245" s="2" t="s">
        <v>1181</v>
      </c>
      <c r="Y245" s="2" t="s">
        <v>125</v>
      </c>
      <c r="Z245" s="2" t="s">
        <v>590</v>
      </c>
      <c r="AA245" s="2" t="s">
        <v>376</v>
      </c>
      <c r="AB245" s="2" t="s">
        <v>127</v>
      </c>
      <c r="AC245" s="2" t="s">
        <v>1182</v>
      </c>
      <c r="AD245" s="2" t="s">
        <v>129</v>
      </c>
      <c r="AE245" s="2" t="s">
        <v>1183</v>
      </c>
    </row>
    <row r="246" spans="1:31" ht="63.6">
      <c r="A246" s="2" t="s">
        <v>1184</v>
      </c>
      <c r="B246" s="2" t="s">
        <v>1185</v>
      </c>
      <c r="C246" s="2" t="str">
        <f>sheet13[[#This Row],[Nombre]]&amp;sheet13[[#This Row],[Bp Id]]</f>
        <v>Parametría Ingesta DeltalakeDAT0012</v>
      </c>
      <c r="D246" s="2" t="str">
        <f>VLOOKUP(sheet13[[#This Row],[Columna1]],Sheet2!C:S,4,FALSE)</f>
        <v>Operativo</v>
      </c>
      <c r="E246" s="2" t="s">
        <v>432</v>
      </c>
      <c r="F246" s="2" t="s">
        <v>32</v>
      </c>
      <c r="G246" s="2" t="s">
        <v>48</v>
      </c>
      <c r="H246" s="2" t="s">
        <v>59</v>
      </c>
      <c r="I246" s="2" t="s">
        <v>328</v>
      </c>
      <c r="J246" s="2" t="s">
        <v>329</v>
      </c>
      <c r="K246" s="2" t="s">
        <v>575</v>
      </c>
      <c r="L246" s="2" t="s">
        <v>575</v>
      </c>
      <c r="M246" s="2" t="s">
        <v>161</v>
      </c>
      <c r="N246" s="2" t="s">
        <v>2345</v>
      </c>
      <c r="O246" s="2" t="s">
        <v>40</v>
      </c>
      <c r="P246" s="2" t="s">
        <v>41</v>
      </c>
      <c r="Q246" s="2" t="s">
        <v>53</v>
      </c>
      <c r="R246" s="2" t="s">
        <v>53</v>
      </c>
      <c r="S246" s="2" t="s">
        <v>43</v>
      </c>
      <c r="T246" s="2"/>
      <c r="U246" s="2" t="s">
        <v>43</v>
      </c>
      <c r="V246" s="2"/>
      <c r="W246" s="3"/>
      <c r="X246" s="2"/>
      <c r="Y246" s="2"/>
      <c r="Z246" s="2"/>
      <c r="AA246" s="2"/>
      <c r="AB246" s="2"/>
      <c r="AC246" s="2"/>
      <c r="AD246" s="2"/>
      <c r="AE246" s="2"/>
    </row>
    <row r="247" spans="1:31" ht="176.1">
      <c r="A247" s="2" t="s">
        <v>1186</v>
      </c>
      <c r="B247" s="2" t="s">
        <v>1187</v>
      </c>
      <c r="C247" s="2" t="str">
        <f>sheet13[[#This Row],[Nombre]]&amp;sheet13[[#This Row],[Bp Id]]</f>
        <v>Payment ControlPAY0024</v>
      </c>
      <c r="D247" s="2" t="str">
        <f>VLOOKUP(sheet13[[#This Row],[Columna1]],Sheet2!C:S,4,FALSE)</f>
        <v>Retirado</v>
      </c>
      <c r="E247" s="2" t="s">
        <v>1188</v>
      </c>
      <c r="F247" s="2" t="s">
        <v>47</v>
      </c>
      <c r="G247" s="2" t="s">
        <v>33</v>
      </c>
      <c r="H247" s="2" t="s">
        <v>59</v>
      </c>
      <c r="I247" s="2" t="s">
        <v>921</v>
      </c>
      <c r="J247" s="2" t="s">
        <v>50</v>
      </c>
      <c r="K247" s="2" t="s">
        <v>634</v>
      </c>
      <c r="L247" s="2" t="s">
        <v>1189</v>
      </c>
      <c r="M247" s="2" t="s">
        <v>63</v>
      </c>
      <c r="N247" s="2" t="s">
        <v>2345</v>
      </c>
      <c r="O247" s="2" t="s">
        <v>40</v>
      </c>
      <c r="P247" s="2" t="s">
        <v>41</v>
      </c>
      <c r="Q247" s="2" t="s">
        <v>53</v>
      </c>
      <c r="R247" s="2" t="s">
        <v>53</v>
      </c>
      <c r="S247" s="2" t="s">
        <v>41</v>
      </c>
      <c r="T247" s="2"/>
      <c r="U247" s="2" t="s">
        <v>41</v>
      </c>
      <c r="V247" s="2" t="s">
        <v>1190</v>
      </c>
      <c r="W247" s="3">
        <v>45200</v>
      </c>
      <c r="X247" s="2" t="s">
        <v>970</v>
      </c>
      <c r="Y247" s="2" t="s">
        <v>126</v>
      </c>
      <c r="Z247" s="2"/>
      <c r="AA247" s="2" t="s">
        <v>147</v>
      </c>
      <c r="AB247" s="2"/>
      <c r="AC247" s="2" t="s">
        <v>180</v>
      </c>
      <c r="AD247" s="2" t="s">
        <v>129</v>
      </c>
      <c r="AE247" s="2"/>
    </row>
    <row r="248" spans="1:31" ht="150.94999999999999">
      <c r="A248" s="2" t="s">
        <v>1191</v>
      </c>
      <c r="B248" s="2" t="s">
        <v>1192</v>
      </c>
      <c r="C248" s="2" t="str">
        <f>sheet13[[#This Row],[Nombre]]&amp;sheet13[[#This Row],[Bp Id]]</f>
        <v>Perfiles TransaccionalesGOB0014</v>
      </c>
      <c r="D248" s="2" t="str">
        <f>VLOOKUP(sheet13[[#This Row],[Columna1]],Sheet2!C:S,4,FALSE)</f>
        <v>Operativo</v>
      </c>
      <c r="E248" s="2" t="s">
        <v>1193</v>
      </c>
      <c r="F248" s="2" t="s">
        <v>32</v>
      </c>
      <c r="G248" s="2" t="s">
        <v>48</v>
      </c>
      <c r="H248" s="2" t="s">
        <v>34</v>
      </c>
      <c r="I248" s="2" t="s">
        <v>225</v>
      </c>
      <c r="J248" s="2" t="s">
        <v>226</v>
      </c>
      <c r="K248" s="2" t="s">
        <v>227</v>
      </c>
      <c r="L248" s="2" t="s">
        <v>228</v>
      </c>
      <c r="M248" s="2" t="s">
        <v>63</v>
      </c>
      <c r="N248" s="2" t="s">
        <v>2343</v>
      </c>
      <c r="O248" s="2" t="s">
        <v>40</v>
      </c>
      <c r="P248" s="2" t="s">
        <v>41</v>
      </c>
      <c r="Q248" s="2" t="s">
        <v>53</v>
      </c>
      <c r="R248" s="2" t="s">
        <v>53</v>
      </c>
      <c r="S248" s="2" t="s">
        <v>43</v>
      </c>
      <c r="T248" s="2" t="s">
        <v>2344</v>
      </c>
      <c r="U248" s="2" t="s">
        <v>43</v>
      </c>
      <c r="V248" s="2"/>
      <c r="W248" s="3"/>
      <c r="X248" s="2"/>
      <c r="Y248" s="2"/>
      <c r="Z248" s="2"/>
      <c r="AA248" s="2"/>
      <c r="AB248" s="2"/>
      <c r="AC248" s="2"/>
      <c r="AD248" s="2"/>
      <c r="AE248" s="2"/>
    </row>
    <row r="249" spans="1:31" ht="75.95">
      <c r="A249" s="2" t="s">
        <v>1194</v>
      </c>
      <c r="B249" s="2" t="s">
        <v>1195</v>
      </c>
      <c r="C249" s="2" t="str">
        <f>sheet13[[#This Row],[Nombre]]&amp;sheet13[[#This Row],[Bp Id]]</f>
        <v>PFTR (prevención de fraude en tiempo real)SEC0065</v>
      </c>
      <c r="D249" s="2" t="str">
        <f>VLOOKUP(sheet13[[#This Row],[Columna1]],Sheet2!C:S,4,FALSE)</f>
        <v>Operativo</v>
      </c>
      <c r="E249" s="2" t="s">
        <v>1196</v>
      </c>
      <c r="F249" s="2" t="s">
        <v>32</v>
      </c>
      <c r="G249" s="2" t="s">
        <v>76</v>
      </c>
      <c r="H249" s="2" t="s">
        <v>59</v>
      </c>
      <c r="I249" s="2" t="s">
        <v>258</v>
      </c>
      <c r="J249" s="2" t="s">
        <v>1197</v>
      </c>
      <c r="K249" s="2" t="s">
        <v>1197</v>
      </c>
      <c r="L249" s="2" t="s">
        <v>1435</v>
      </c>
      <c r="M249" s="2" t="s">
        <v>111</v>
      </c>
      <c r="N249" s="2" t="s">
        <v>2343</v>
      </c>
      <c r="O249" s="2" t="s">
        <v>40</v>
      </c>
      <c r="P249" s="2" t="s">
        <v>41</v>
      </c>
      <c r="Q249" s="2" t="s">
        <v>64</v>
      </c>
      <c r="R249" s="2" t="s">
        <v>64</v>
      </c>
      <c r="S249" s="2" t="s">
        <v>41</v>
      </c>
      <c r="T249" s="2"/>
      <c r="U249" s="2" t="s">
        <v>41</v>
      </c>
      <c r="V249" s="2" t="s">
        <v>1199</v>
      </c>
      <c r="W249" s="3">
        <v>45624</v>
      </c>
      <c r="X249" s="2" t="s">
        <v>1200</v>
      </c>
      <c r="Y249" s="2" t="s">
        <v>187</v>
      </c>
      <c r="Z249" s="2" t="s">
        <v>626</v>
      </c>
      <c r="AA249" s="2" t="s">
        <v>376</v>
      </c>
      <c r="AB249" s="2" t="s">
        <v>376</v>
      </c>
      <c r="AC249" s="2" t="s">
        <v>263</v>
      </c>
      <c r="AD249" s="2" t="s">
        <v>129</v>
      </c>
      <c r="AE249" s="2"/>
    </row>
    <row r="250" spans="1:31" ht="126">
      <c r="A250" s="2" t="s">
        <v>1201</v>
      </c>
      <c r="B250" s="2" t="s">
        <v>1202</v>
      </c>
      <c r="C250" s="2" t="str">
        <f>sheet13[[#This Row],[Nombre]]&amp;sheet13[[#This Row],[Bp Id]]</f>
        <v>Pichincha EmpresasCHL0034</v>
      </c>
      <c r="D250" s="2" t="str">
        <f>VLOOKUP(sheet13[[#This Row],[Columna1]],Sheet2!C:S,4,FALSE)</f>
        <v>Operativo</v>
      </c>
      <c r="E250" s="2" t="s">
        <v>1203</v>
      </c>
      <c r="F250" s="2" t="s">
        <v>32</v>
      </c>
      <c r="G250" s="2" t="s">
        <v>33</v>
      </c>
      <c r="H250" s="2" t="s">
        <v>59</v>
      </c>
      <c r="I250" s="2" t="s">
        <v>116</v>
      </c>
      <c r="J250" s="2" t="s">
        <v>62</v>
      </c>
      <c r="K250" s="2" t="s">
        <v>62</v>
      </c>
      <c r="L250" s="2" t="s">
        <v>1174</v>
      </c>
      <c r="M250" s="2" t="s">
        <v>39</v>
      </c>
      <c r="N250" s="2" t="s">
        <v>2345</v>
      </c>
      <c r="O250" s="2" t="s">
        <v>91</v>
      </c>
      <c r="P250" s="2" t="s">
        <v>41</v>
      </c>
      <c r="Q250" s="2" t="s">
        <v>53</v>
      </c>
      <c r="R250" s="2" t="s">
        <v>53</v>
      </c>
      <c r="S250" s="2" t="s">
        <v>43</v>
      </c>
      <c r="T250" s="2"/>
      <c r="U250" s="2" t="s">
        <v>43</v>
      </c>
      <c r="V250" s="2"/>
      <c r="W250" s="3"/>
      <c r="X250" s="2"/>
      <c r="Y250" s="2"/>
      <c r="Z250" s="2"/>
      <c r="AA250" s="2"/>
      <c r="AB250" s="2"/>
      <c r="AC250" s="2"/>
      <c r="AD250" s="2"/>
      <c r="AE250" s="2"/>
    </row>
    <row r="251" spans="1:31" ht="375.95">
      <c r="A251" s="2" t="s">
        <v>1204</v>
      </c>
      <c r="B251" s="2" t="s">
        <v>1205</v>
      </c>
      <c r="C251" s="2" t="str">
        <f>sheet13[[#This Row],[Nombre]]&amp;sheet13[[#This Row],[Bp Id]]</f>
        <v>RiesgoGlobalComRIS0011</v>
      </c>
      <c r="D251" s="2" t="str">
        <f>VLOOKUP(sheet13[[#This Row],[Columna1]],Sheet2!C:S,4,FALSE)</f>
        <v>Operativo</v>
      </c>
      <c r="E251" s="2" t="s">
        <v>1206</v>
      </c>
      <c r="F251" s="2" t="s">
        <v>32</v>
      </c>
      <c r="G251" s="2" t="s">
        <v>76</v>
      </c>
      <c r="H251" s="2" t="s">
        <v>34</v>
      </c>
      <c r="I251" s="2" t="s">
        <v>320</v>
      </c>
      <c r="J251" s="2" t="s">
        <v>321</v>
      </c>
      <c r="K251" s="2" t="s">
        <v>321</v>
      </c>
      <c r="L251" s="2" t="s">
        <v>323</v>
      </c>
      <c r="M251" s="2" t="s">
        <v>39</v>
      </c>
      <c r="N251" s="2" t="s">
        <v>2343</v>
      </c>
      <c r="O251" s="2" t="s">
        <v>40</v>
      </c>
      <c r="P251" s="2" t="s">
        <v>41</v>
      </c>
      <c r="Q251" s="2" t="s">
        <v>42</v>
      </c>
      <c r="R251" s="2" t="s">
        <v>53</v>
      </c>
      <c r="S251" s="2" t="s">
        <v>41</v>
      </c>
      <c r="T251" s="2"/>
      <c r="U251" s="2" t="s">
        <v>41</v>
      </c>
      <c r="V251" s="2" t="s">
        <v>99</v>
      </c>
      <c r="W251" s="3">
        <v>45199</v>
      </c>
      <c r="X251" s="2"/>
      <c r="Y251" s="2"/>
      <c r="Z251" s="2"/>
      <c r="AA251" s="2"/>
      <c r="AB251" s="2"/>
      <c r="AC251" s="2" t="s">
        <v>1207</v>
      </c>
      <c r="AD251" s="2"/>
      <c r="AE251" s="2" t="s">
        <v>103</v>
      </c>
    </row>
    <row r="252" spans="1:31" ht="63.6">
      <c r="A252" s="2" t="s">
        <v>1212</v>
      </c>
      <c r="B252" s="2" t="s">
        <v>1213</v>
      </c>
      <c r="C252" s="2" t="str">
        <f>sheet13[[#This Row],[Nombre]]&amp;sheet13[[#This Row],[Bp Id]]</f>
        <v>Ruta de los VolcanesSUP0034</v>
      </c>
      <c r="D252" s="2" t="str">
        <f>VLOOKUP(sheet13[[#This Row],[Columna1]],Sheet2!C:S,4,FALSE)</f>
        <v>Operativo</v>
      </c>
      <c r="E252" s="2" t="s">
        <v>1214</v>
      </c>
      <c r="F252" s="2" t="s">
        <v>32</v>
      </c>
      <c r="G252" s="2" t="s">
        <v>48</v>
      </c>
      <c r="H252" s="2" t="s">
        <v>59</v>
      </c>
      <c r="I252" s="2" t="s">
        <v>225</v>
      </c>
      <c r="J252" s="2" t="s">
        <v>226</v>
      </c>
      <c r="K252" s="2" t="s">
        <v>1215</v>
      </c>
      <c r="L252" s="2" t="s">
        <v>2351</v>
      </c>
      <c r="M252" s="2" t="s">
        <v>63</v>
      </c>
      <c r="N252" s="2" t="s">
        <v>2343</v>
      </c>
      <c r="O252" s="2" t="s">
        <v>40</v>
      </c>
      <c r="P252" s="2" t="s">
        <v>41</v>
      </c>
      <c r="Q252" s="2" t="s">
        <v>64</v>
      </c>
      <c r="R252" s="2" t="s">
        <v>64</v>
      </c>
      <c r="S252" s="2" t="s">
        <v>43</v>
      </c>
      <c r="T252" s="2" t="s">
        <v>2344</v>
      </c>
      <c r="U252" s="2" t="s">
        <v>43</v>
      </c>
      <c r="V252" s="2"/>
      <c r="W252" s="3"/>
      <c r="X252" s="2"/>
      <c r="Y252" s="2"/>
      <c r="Z252" s="2"/>
      <c r="AA252" s="2"/>
      <c r="AB252" s="2"/>
      <c r="AC252" s="2"/>
      <c r="AD252" s="2"/>
      <c r="AE252" s="2"/>
    </row>
    <row r="253" spans="1:31" ht="351">
      <c r="A253" s="2" t="s">
        <v>1221</v>
      </c>
      <c r="B253" s="2" t="s">
        <v>1222</v>
      </c>
      <c r="C253" s="2" t="str">
        <f>sheet13[[#This Row],[Nombre]]&amp;sheet13[[#This Row],[Bp Id]]</f>
        <v>SAP Finanzas SAC - PamPMSUP0036</v>
      </c>
      <c r="D253" s="2" t="str">
        <f>VLOOKUP(sheet13[[#This Row],[Columna1]],Sheet2!C:S,4,FALSE)</f>
        <v>Operativo</v>
      </c>
      <c r="E253" s="2" t="s">
        <v>1223</v>
      </c>
      <c r="F253" s="2" t="s">
        <v>32</v>
      </c>
      <c r="G253" s="2" t="s">
        <v>48</v>
      </c>
      <c r="H253" s="2" t="s">
        <v>140</v>
      </c>
      <c r="I253" s="2" t="s">
        <v>225</v>
      </c>
      <c r="J253" s="2" t="s">
        <v>226</v>
      </c>
      <c r="K253" s="2" t="s">
        <v>2356</v>
      </c>
      <c r="L253" s="2" t="s">
        <v>268</v>
      </c>
      <c r="M253" s="2" t="s">
        <v>39</v>
      </c>
      <c r="N253" s="2" t="s">
        <v>2343</v>
      </c>
      <c r="O253" s="2" t="s">
        <v>40</v>
      </c>
      <c r="P253" s="2" t="s">
        <v>41</v>
      </c>
      <c r="Q253" s="2" t="s">
        <v>64</v>
      </c>
      <c r="R253" s="2" t="s">
        <v>53</v>
      </c>
      <c r="S253" s="2" t="s">
        <v>41</v>
      </c>
      <c r="T253" s="2"/>
      <c r="U253" s="2" t="s">
        <v>41</v>
      </c>
      <c r="V253" s="2"/>
      <c r="W253" s="3">
        <v>45898</v>
      </c>
      <c r="X253" s="2"/>
      <c r="Y253" s="2" t="s">
        <v>100</v>
      </c>
      <c r="Z253" s="2" t="s">
        <v>626</v>
      </c>
      <c r="AA253" s="2" t="s">
        <v>127</v>
      </c>
      <c r="AB253" s="2" t="s">
        <v>127</v>
      </c>
      <c r="AC253" s="2" t="s">
        <v>180</v>
      </c>
      <c r="AD253" s="2" t="s">
        <v>129</v>
      </c>
      <c r="AE253" s="2" t="s">
        <v>1224</v>
      </c>
    </row>
    <row r="254" spans="1:31" ht="409.6">
      <c r="A254" s="2" t="s">
        <v>1225</v>
      </c>
      <c r="B254" s="2" t="s">
        <v>1226</v>
      </c>
      <c r="C254" s="2" t="str">
        <f>sheet13[[#This Row],[Nombre]]&amp;sheet13[[#This Row],[Bp Id]]</f>
        <v>SAP SuccessFactorsSUP0029</v>
      </c>
      <c r="D254" s="2" t="str">
        <f>VLOOKUP(sheet13[[#This Row],[Columna1]],Sheet2!C:S,4,FALSE)</f>
        <v>Operativo</v>
      </c>
      <c r="E254" s="2" t="s">
        <v>1227</v>
      </c>
      <c r="F254" s="2" t="s">
        <v>32</v>
      </c>
      <c r="G254" s="2" t="s">
        <v>48</v>
      </c>
      <c r="H254" s="2" t="s">
        <v>59</v>
      </c>
      <c r="I254" s="2" t="s">
        <v>225</v>
      </c>
      <c r="J254" s="2" t="s">
        <v>226</v>
      </c>
      <c r="K254" s="2" t="s">
        <v>300</v>
      </c>
      <c r="L254" s="2" t="s">
        <v>2351</v>
      </c>
      <c r="M254" s="2" t="s">
        <v>39</v>
      </c>
      <c r="N254" s="2" t="s">
        <v>2343</v>
      </c>
      <c r="O254" s="2" t="s">
        <v>40</v>
      </c>
      <c r="P254" s="2" t="s">
        <v>41</v>
      </c>
      <c r="Q254" s="2" t="s">
        <v>64</v>
      </c>
      <c r="R254" s="2" t="s">
        <v>64</v>
      </c>
      <c r="S254" s="2" t="s">
        <v>41</v>
      </c>
      <c r="T254" s="2" t="s">
        <v>2344</v>
      </c>
      <c r="U254" s="2" t="s">
        <v>43</v>
      </c>
      <c r="V254" s="2"/>
      <c r="W254" s="3"/>
      <c r="X254" s="2"/>
      <c r="Y254" s="2"/>
      <c r="Z254" s="2"/>
      <c r="AA254" s="2"/>
      <c r="AB254" s="2"/>
      <c r="AC254" s="2"/>
      <c r="AD254" s="2"/>
      <c r="AE254" s="2"/>
    </row>
    <row r="255" spans="1:31" ht="51">
      <c r="A255" s="2" t="s">
        <v>1228</v>
      </c>
      <c r="B255" s="2" t="s">
        <v>1229</v>
      </c>
      <c r="C255" s="2" t="str">
        <f>sheet13[[#This Row],[Nombre]]&amp;sheet13[[#This Row],[Bp Id]]</f>
        <v>ScoringRIS0012</v>
      </c>
      <c r="D255" s="2" t="str">
        <f>VLOOKUP(sheet13[[#This Row],[Columna1]],Sheet2!C:S,4,FALSE)</f>
        <v>Retirado</v>
      </c>
      <c r="E255" s="2" t="s">
        <v>1230</v>
      </c>
      <c r="F255" s="2" t="s">
        <v>47</v>
      </c>
      <c r="G255" s="2" t="s">
        <v>48</v>
      </c>
      <c r="H255" s="2" t="s">
        <v>34</v>
      </c>
      <c r="I255" s="2" t="s">
        <v>320</v>
      </c>
      <c r="J255" s="2" t="s">
        <v>321</v>
      </c>
      <c r="K255" s="2" t="s">
        <v>1231</v>
      </c>
      <c r="L255" s="2" t="s">
        <v>595</v>
      </c>
      <c r="M255" s="2" t="s">
        <v>63</v>
      </c>
      <c r="N255" s="2" t="s">
        <v>2345</v>
      </c>
      <c r="O255" s="2" t="s">
        <v>40</v>
      </c>
      <c r="P255" s="2" t="s">
        <v>41</v>
      </c>
      <c r="Q255" s="2" t="s">
        <v>53</v>
      </c>
      <c r="R255" s="2" t="s">
        <v>53</v>
      </c>
      <c r="S255" s="2" t="s">
        <v>43</v>
      </c>
      <c r="T255" s="2"/>
      <c r="U255" s="2" t="s">
        <v>43</v>
      </c>
      <c r="V255" s="2"/>
      <c r="W255" s="3"/>
      <c r="X255" s="2"/>
      <c r="Y255" s="2"/>
      <c r="Z255" s="2"/>
      <c r="AA255" s="2"/>
      <c r="AB255" s="2"/>
      <c r="AC255" s="2"/>
      <c r="AD255" s="2"/>
      <c r="AE255" s="2"/>
    </row>
    <row r="256" spans="1:31" ht="251.1">
      <c r="A256" s="2" t="s">
        <v>1232</v>
      </c>
      <c r="B256" s="2" t="s">
        <v>1233</v>
      </c>
      <c r="C256" s="2" t="str">
        <f>sheet13[[#This Row],[Nombre]]&amp;sheet13[[#This Row],[Bp Id]]</f>
        <v>SegUnixOranServiceSEC0032</v>
      </c>
      <c r="D256" s="2" t="str">
        <f>VLOOKUP(sheet13[[#This Row],[Columna1]],Sheet2!C:S,4,FALSE)</f>
        <v>Operativo</v>
      </c>
      <c r="E256" s="2" t="s">
        <v>1234</v>
      </c>
      <c r="F256" s="2" t="s">
        <v>32</v>
      </c>
      <c r="G256" s="2" t="s">
        <v>123</v>
      </c>
      <c r="H256" s="2" t="s">
        <v>34</v>
      </c>
      <c r="I256" s="2" t="s">
        <v>258</v>
      </c>
      <c r="J256" s="2" t="s">
        <v>571</v>
      </c>
      <c r="K256" s="2" t="s">
        <v>260</v>
      </c>
      <c r="L256" s="2" t="s">
        <v>1435</v>
      </c>
      <c r="M256" s="2" t="s">
        <v>63</v>
      </c>
      <c r="N256" s="2" t="s">
        <v>2343</v>
      </c>
      <c r="O256" s="2" t="s">
        <v>40</v>
      </c>
      <c r="P256" s="2" t="s">
        <v>43</v>
      </c>
      <c r="Q256" s="2" t="s">
        <v>53</v>
      </c>
      <c r="R256" s="2" t="s">
        <v>53</v>
      </c>
      <c r="S256" s="2" t="s">
        <v>43</v>
      </c>
      <c r="T256" s="2" t="s">
        <v>2344</v>
      </c>
      <c r="U256" s="2" t="s">
        <v>43</v>
      </c>
      <c r="V256" s="2"/>
      <c r="W256" s="3"/>
      <c r="X256" s="2"/>
      <c r="Y256" s="2"/>
      <c r="Z256" s="2"/>
      <c r="AA256" s="2"/>
      <c r="AB256" s="2"/>
      <c r="AC256" s="2"/>
      <c r="AD256" s="2"/>
      <c r="AE256" s="2"/>
    </row>
    <row r="257" spans="1:31" ht="276">
      <c r="A257" s="2" t="s">
        <v>1235</v>
      </c>
      <c r="B257" s="2" t="s">
        <v>1236</v>
      </c>
      <c r="C257" s="2" t="str">
        <f>sheet13[[#This Row],[Nombre]]&amp;sheet13[[#This Row],[Bp Id]]</f>
        <v>Sentinel ComplianceGOB0015</v>
      </c>
      <c r="D257" s="2" t="str">
        <f>VLOOKUP(sheet13[[#This Row],[Columna1]],Sheet2!C:S,4,FALSE)</f>
        <v>Operativo</v>
      </c>
      <c r="E257" s="2" t="s">
        <v>1237</v>
      </c>
      <c r="F257" s="2" t="s">
        <v>32</v>
      </c>
      <c r="G257" s="2" t="s">
        <v>48</v>
      </c>
      <c r="H257" s="2" t="s">
        <v>34</v>
      </c>
      <c r="I257" s="2" t="s">
        <v>225</v>
      </c>
      <c r="J257" s="2" t="s">
        <v>226</v>
      </c>
      <c r="K257" s="2" t="s">
        <v>227</v>
      </c>
      <c r="L257" s="2" t="s">
        <v>228</v>
      </c>
      <c r="M257" s="2" t="s">
        <v>39</v>
      </c>
      <c r="N257" s="2" t="s">
        <v>2343</v>
      </c>
      <c r="O257" s="2" t="s">
        <v>40</v>
      </c>
      <c r="P257" s="2" t="s">
        <v>41</v>
      </c>
      <c r="Q257" s="2" t="s">
        <v>42</v>
      </c>
      <c r="R257" s="2" t="s">
        <v>53</v>
      </c>
      <c r="S257" s="2" t="s">
        <v>41</v>
      </c>
      <c r="T257" s="2"/>
      <c r="U257" s="2" t="s">
        <v>41</v>
      </c>
      <c r="V257" s="2"/>
      <c r="W257" s="3">
        <v>45917</v>
      </c>
      <c r="X257" s="2" t="s">
        <v>1238</v>
      </c>
      <c r="Y257" s="2" t="s">
        <v>590</v>
      </c>
      <c r="Z257" s="2" t="s">
        <v>101</v>
      </c>
      <c r="AA257" s="2" t="s">
        <v>839</v>
      </c>
      <c r="AB257" s="2" t="s">
        <v>839</v>
      </c>
      <c r="AC257" s="2" t="s">
        <v>180</v>
      </c>
      <c r="AD257" s="2" t="s">
        <v>129</v>
      </c>
      <c r="AE257" s="2" t="s">
        <v>1239</v>
      </c>
    </row>
    <row r="258" spans="1:31" ht="63.6">
      <c r="A258" s="2" t="s">
        <v>1240</v>
      </c>
      <c r="B258" s="2" t="s">
        <v>1241</v>
      </c>
      <c r="C258" s="2" t="str">
        <f>sheet13[[#This Row],[Nombre]]&amp;sheet13[[#This Row],[Bp Id]]</f>
        <v>Sentinel Informer CardGOB0017</v>
      </c>
      <c r="D258" s="2" t="str">
        <f>VLOOKUP(sheet13[[#This Row],[Columna1]],Sheet2!C:S,4,FALSE)</f>
        <v>Operativo</v>
      </c>
      <c r="E258" s="2" t="s">
        <v>139</v>
      </c>
      <c r="F258" s="2" t="s">
        <v>32</v>
      </c>
      <c r="G258" s="2" t="s">
        <v>48</v>
      </c>
      <c r="H258" s="2" t="s">
        <v>34</v>
      </c>
      <c r="I258" s="2" t="s">
        <v>141</v>
      </c>
      <c r="J258" s="2" t="s">
        <v>151</v>
      </c>
      <c r="K258" s="2" t="s">
        <v>564</v>
      </c>
      <c r="L258" s="2" t="s">
        <v>565</v>
      </c>
      <c r="M258" s="2" t="s">
        <v>63</v>
      </c>
      <c r="N258" s="2" t="s">
        <v>2343</v>
      </c>
      <c r="O258" s="2" t="s">
        <v>40</v>
      </c>
      <c r="P258" s="2" t="s">
        <v>43</v>
      </c>
      <c r="Q258" s="2" t="s">
        <v>53</v>
      </c>
      <c r="R258" s="2" t="s">
        <v>53</v>
      </c>
      <c r="S258" s="2" t="s">
        <v>43</v>
      </c>
      <c r="T258" s="2" t="s">
        <v>2344</v>
      </c>
      <c r="U258" s="2" t="s">
        <v>43</v>
      </c>
      <c r="V258" s="2"/>
      <c r="W258" s="3"/>
      <c r="X258" s="2"/>
      <c r="Y258" s="2"/>
      <c r="Z258" s="2"/>
      <c r="AA258" s="2"/>
      <c r="AB258" s="2"/>
      <c r="AC258" s="2"/>
      <c r="AD258" s="2"/>
      <c r="AE258" s="2"/>
    </row>
    <row r="259" spans="1:31" ht="276">
      <c r="A259" s="2" t="s">
        <v>1242</v>
      </c>
      <c r="B259" s="2" t="s">
        <v>1243</v>
      </c>
      <c r="C259" s="2" t="str">
        <f>sheet13[[#This Row],[Nombre]]&amp;sheet13[[#This Row],[Bp Id]]</f>
        <v>Sentinel PreventionGOB0018</v>
      </c>
      <c r="D259" s="2" t="str">
        <f>VLOOKUP(sheet13[[#This Row],[Columna1]],Sheet2!C:S,4,FALSE)</f>
        <v>Operativo</v>
      </c>
      <c r="E259" s="2" t="s">
        <v>1237</v>
      </c>
      <c r="F259" s="2" t="s">
        <v>32</v>
      </c>
      <c r="G259" s="2" t="s">
        <v>123</v>
      </c>
      <c r="H259" s="2" t="s">
        <v>34</v>
      </c>
      <c r="I259" s="2" t="s">
        <v>2348</v>
      </c>
      <c r="J259" s="2" t="s">
        <v>214</v>
      </c>
      <c r="K259" s="2" t="s">
        <v>176</v>
      </c>
      <c r="L259" s="2" t="s">
        <v>2349</v>
      </c>
      <c r="M259" s="2" t="s">
        <v>39</v>
      </c>
      <c r="N259" s="2" t="s">
        <v>2343</v>
      </c>
      <c r="O259" s="2" t="s">
        <v>40</v>
      </c>
      <c r="P259" s="2" t="s">
        <v>41</v>
      </c>
      <c r="Q259" s="2" t="s">
        <v>42</v>
      </c>
      <c r="R259" s="2" t="s">
        <v>53</v>
      </c>
      <c r="S259" s="2" t="s">
        <v>41</v>
      </c>
      <c r="T259" s="2"/>
      <c r="U259" s="2" t="s">
        <v>41</v>
      </c>
      <c r="V259" s="2"/>
      <c r="W259" s="3">
        <v>45534</v>
      </c>
      <c r="X259" s="2" t="s">
        <v>440</v>
      </c>
      <c r="Y259" s="2" t="s">
        <v>590</v>
      </c>
      <c r="Z259" s="2" t="s">
        <v>101</v>
      </c>
      <c r="AA259" s="2" t="s">
        <v>839</v>
      </c>
      <c r="AB259" s="2" t="s">
        <v>839</v>
      </c>
      <c r="AC259" s="2" t="s">
        <v>180</v>
      </c>
      <c r="AD259" s="2" t="s">
        <v>129</v>
      </c>
      <c r="AE259" s="2" t="s">
        <v>1244</v>
      </c>
    </row>
    <row r="260" spans="1:31" ht="63.6">
      <c r="A260" s="2" t="s">
        <v>1245</v>
      </c>
      <c r="B260" s="2" t="s">
        <v>1246</v>
      </c>
      <c r="C260" s="2" t="str">
        <f>sheet13[[#This Row],[Nombre]]&amp;sheet13[[#This Row],[Bp Id]]</f>
        <v>SEPMSEC0033</v>
      </c>
      <c r="D260" s="2" t="str">
        <f>VLOOKUP(sheet13[[#This Row],[Columna1]],Sheet2!C:S,4,FALSE)</f>
        <v>Retirado</v>
      </c>
      <c r="E260" s="2" t="s">
        <v>1247</v>
      </c>
      <c r="F260" s="2" t="s">
        <v>47</v>
      </c>
      <c r="G260" s="2" t="s">
        <v>76</v>
      </c>
      <c r="H260" s="2" t="s">
        <v>34</v>
      </c>
      <c r="I260" s="2" t="s">
        <v>2346</v>
      </c>
      <c r="J260" s="2" t="s">
        <v>272</v>
      </c>
      <c r="K260" s="2" t="s">
        <v>176</v>
      </c>
      <c r="L260" s="2" t="s">
        <v>185</v>
      </c>
      <c r="M260" s="2" t="s">
        <v>111</v>
      </c>
      <c r="N260" s="2" t="s">
        <v>2345</v>
      </c>
      <c r="O260" s="2" t="s">
        <v>40</v>
      </c>
      <c r="P260" s="2" t="s">
        <v>41</v>
      </c>
      <c r="Q260" s="2" t="s">
        <v>42</v>
      </c>
      <c r="R260" s="2" t="s">
        <v>53</v>
      </c>
      <c r="S260" s="2" t="s">
        <v>41</v>
      </c>
      <c r="T260" s="2"/>
      <c r="U260" s="2" t="s">
        <v>43</v>
      </c>
      <c r="V260" s="2"/>
      <c r="W260" s="3"/>
      <c r="X260" s="2"/>
      <c r="Y260" s="2"/>
      <c r="Z260" s="2"/>
      <c r="AA260" s="2"/>
      <c r="AB260" s="2"/>
      <c r="AC260" s="2"/>
      <c r="AD260" s="2"/>
      <c r="AE260" s="2"/>
    </row>
    <row r="261" spans="1:31" ht="409.6">
      <c r="A261" s="2" t="s">
        <v>1248</v>
      </c>
      <c r="B261" s="2" t="s">
        <v>1249</v>
      </c>
      <c r="C261" s="2" t="str">
        <f>sheet13[[#This Row],[Nombre]]&amp;sheet13[[#This Row],[Bp Id]]</f>
        <v>SERVER PUEXCHL0024</v>
      </c>
      <c r="D261" s="2" t="str">
        <f>VLOOKUP(sheet13[[#This Row],[Columna1]],Sheet2!C:S,4,FALSE)</f>
        <v>Operativo</v>
      </c>
      <c r="E261" s="2" t="s">
        <v>532</v>
      </c>
      <c r="F261" s="2" t="s">
        <v>32</v>
      </c>
      <c r="G261" s="2" t="s">
        <v>48</v>
      </c>
      <c r="H261" s="2" t="s">
        <v>34</v>
      </c>
      <c r="I261" s="2" t="s">
        <v>35</v>
      </c>
      <c r="J261" s="2" t="s">
        <v>36</v>
      </c>
      <c r="K261" s="2" t="s">
        <v>381</v>
      </c>
      <c r="L261" s="2" t="s">
        <v>382</v>
      </c>
      <c r="M261" s="2" t="s">
        <v>52</v>
      </c>
      <c r="N261" s="2" t="s">
        <v>2343</v>
      </c>
      <c r="O261" s="2" t="s">
        <v>40</v>
      </c>
      <c r="P261" s="2" t="s">
        <v>43</v>
      </c>
      <c r="Q261" s="2" t="s">
        <v>42</v>
      </c>
      <c r="R261" s="2" t="s">
        <v>42</v>
      </c>
      <c r="S261" s="2" t="s">
        <v>41</v>
      </c>
      <c r="T261" s="2"/>
      <c r="U261" s="2" t="s">
        <v>41</v>
      </c>
      <c r="V261" s="2" t="s">
        <v>1250</v>
      </c>
      <c r="W261" s="3">
        <v>45199</v>
      </c>
      <c r="X261" s="2" t="s">
        <v>1251</v>
      </c>
      <c r="Y261" s="2"/>
      <c r="Z261" s="2"/>
      <c r="AA261" s="2"/>
      <c r="AB261" s="2"/>
      <c r="AC261" s="2" t="s">
        <v>1252</v>
      </c>
      <c r="AD261" s="2"/>
      <c r="AE261" s="2"/>
    </row>
    <row r="262" spans="1:31" ht="150.94999999999999">
      <c r="A262" s="2" t="s">
        <v>1253</v>
      </c>
      <c r="B262" s="2" t="s">
        <v>1254</v>
      </c>
      <c r="C262" s="2" t="str">
        <f>sheet13[[#This Row],[Nombre]]&amp;sheet13[[#This Row],[Bp Id]]</f>
        <v>Service ManagerITM0050</v>
      </c>
      <c r="D262" s="2" t="str">
        <f>VLOOKUP(sheet13[[#This Row],[Columna1]],Sheet2!C:S,4,FALSE)</f>
        <v>Retirado</v>
      </c>
      <c r="E262" s="2" t="s">
        <v>1255</v>
      </c>
      <c r="F262" s="2" t="s">
        <v>47</v>
      </c>
      <c r="G262" s="2" t="s">
        <v>58</v>
      </c>
      <c r="H262" s="2" t="s">
        <v>34</v>
      </c>
      <c r="I262" s="2" t="s">
        <v>68</v>
      </c>
      <c r="J262" s="2" t="s">
        <v>236</v>
      </c>
      <c r="K262" s="2"/>
      <c r="L262" s="2" t="s">
        <v>1256</v>
      </c>
      <c r="M262" s="2" t="s">
        <v>63</v>
      </c>
      <c r="N262" s="2" t="s">
        <v>2345</v>
      </c>
      <c r="O262" s="2" t="s">
        <v>40</v>
      </c>
      <c r="P262" s="2" t="s">
        <v>41</v>
      </c>
      <c r="Q262" s="2" t="s">
        <v>53</v>
      </c>
      <c r="R262" s="2" t="s">
        <v>53</v>
      </c>
      <c r="S262" s="2" t="s">
        <v>43</v>
      </c>
      <c r="T262" s="2"/>
      <c r="U262" s="2" t="s">
        <v>43</v>
      </c>
      <c r="V262" s="2"/>
      <c r="W262" s="3"/>
      <c r="X262" s="2"/>
      <c r="Y262" s="2"/>
      <c r="Z262" s="2"/>
      <c r="AA262" s="2"/>
      <c r="AB262" s="2"/>
      <c r="AC262" s="2"/>
      <c r="AD262" s="2"/>
      <c r="AE262" s="2"/>
    </row>
    <row r="263" spans="1:31" ht="88.5">
      <c r="A263" s="2" t="s">
        <v>1257</v>
      </c>
      <c r="B263" s="2" t="s">
        <v>1258</v>
      </c>
      <c r="C263" s="2" t="str">
        <f>sheet13[[#This Row],[Nombre]]&amp;sheet13[[#This Row],[Bp Id]]</f>
        <v>ServiceNow ITOM/ITAMITM0064</v>
      </c>
      <c r="D263" s="2" t="str">
        <f>VLOOKUP(sheet13[[#This Row],[Columna1]],Sheet2!C:S,4,FALSE)</f>
        <v>Operativo</v>
      </c>
      <c r="E263" s="2" t="s">
        <v>1259</v>
      </c>
      <c r="F263" s="2" t="s">
        <v>32</v>
      </c>
      <c r="G263" s="2" t="s">
        <v>76</v>
      </c>
      <c r="H263" s="2" t="s">
        <v>59</v>
      </c>
      <c r="I263" s="2" t="s">
        <v>68</v>
      </c>
      <c r="J263" s="2" t="s">
        <v>581</v>
      </c>
      <c r="K263" s="2" t="s">
        <v>1260</v>
      </c>
      <c r="L263" s="2" t="s">
        <v>1261</v>
      </c>
      <c r="M263" s="2" t="s">
        <v>63</v>
      </c>
      <c r="N263" s="2" t="s">
        <v>2343</v>
      </c>
      <c r="O263" s="2" t="s">
        <v>40</v>
      </c>
      <c r="P263" s="2" t="s">
        <v>41</v>
      </c>
      <c r="Q263" s="2" t="s">
        <v>42</v>
      </c>
      <c r="R263" s="2" t="s">
        <v>42</v>
      </c>
      <c r="S263" s="2" t="s">
        <v>43</v>
      </c>
      <c r="T263" s="2" t="s">
        <v>2344</v>
      </c>
      <c r="U263" s="2" t="s">
        <v>43</v>
      </c>
      <c r="V263" s="2"/>
      <c r="W263" s="3"/>
      <c r="X263" s="2"/>
      <c r="Y263" s="2"/>
      <c r="Z263" s="2"/>
      <c r="AA263" s="2"/>
      <c r="AB263" s="2"/>
      <c r="AC263" s="2"/>
      <c r="AD263" s="2"/>
      <c r="AE263" s="2"/>
    </row>
    <row r="264" spans="1:31" ht="88.5">
      <c r="A264" s="2" t="s">
        <v>1262</v>
      </c>
      <c r="B264" s="2" t="s">
        <v>1263</v>
      </c>
      <c r="C264" s="2" t="str">
        <f>sheet13[[#This Row],[Nombre]]&amp;sheet13[[#This Row],[Bp Id]]</f>
        <v>SGUCGOB0020</v>
      </c>
      <c r="D264" s="2" t="str">
        <f>VLOOKUP(sheet13[[#This Row],[Columna1]],Sheet2!C:S,4,FALSE)</f>
        <v>Operativo</v>
      </c>
      <c r="E264" s="2" t="s">
        <v>1264</v>
      </c>
      <c r="F264" s="2" t="s">
        <v>32</v>
      </c>
      <c r="G264" s="2" t="s">
        <v>48</v>
      </c>
      <c r="H264" s="2" t="s">
        <v>34</v>
      </c>
      <c r="I264" s="2" t="s">
        <v>225</v>
      </c>
      <c r="J264" s="2" t="s">
        <v>226</v>
      </c>
      <c r="K264" s="2" t="s">
        <v>227</v>
      </c>
      <c r="L264" s="2" t="s">
        <v>228</v>
      </c>
      <c r="M264" s="2" t="s">
        <v>296</v>
      </c>
      <c r="N264" s="2" t="s">
        <v>2343</v>
      </c>
      <c r="O264" s="2" t="s">
        <v>40</v>
      </c>
      <c r="P264" s="2"/>
      <c r="Q264" s="2"/>
      <c r="R264" s="2"/>
      <c r="S264" s="2"/>
      <c r="T264" s="2" t="s">
        <v>2344</v>
      </c>
      <c r="U264" s="2" t="s">
        <v>2345</v>
      </c>
      <c r="V264" s="2"/>
      <c r="W264" s="3"/>
      <c r="X264" s="2"/>
      <c r="Y264" s="2"/>
      <c r="Z264" s="2"/>
      <c r="AA264" s="2"/>
      <c r="AB264" s="2"/>
      <c r="AC264" s="2"/>
      <c r="AD264" s="2"/>
      <c r="AE264" s="2"/>
    </row>
    <row r="265" spans="1:31" ht="188.45">
      <c r="A265" s="2" t="s">
        <v>1265</v>
      </c>
      <c r="B265" s="2" t="s">
        <v>1266</v>
      </c>
      <c r="C265" s="2" t="str">
        <f>sheet13[[#This Row],[Nombre]]&amp;sheet13[[#This Row],[Bp Id]]</f>
        <v>SIEM - RSAGOB0006</v>
      </c>
      <c r="D265" s="2" t="str">
        <f>VLOOKUP(sheet13[[#This Row],[Columna1]],Sheet2!C:S,4,FALSE)</f>
        <v>Retirado</v>
      </c>
      <c r="E265" s="2" t="s">
        <v>1267</v>
      </c>
      <c r="F265" s="2" t="s">
        <v>47</v>
      </c>
      <c r="G265" s="2" t="s">
        <v>48</v>
      </c>
      <c r="H265" s="2" t="s">
        <v>34</v>
      </c>
      <c r="I265" s="2" t="s">
        <v>2346</v>
      </c>
      <c r="J265" s="2" t="s">
        <v>176</v>
      </c>
      <c r="K265" s="2"/>
      <c r="L265" s="2" t="s">
        <v>1268</v>
      </c>
      <c r="M265" s="2" t="s">
        <v>111</v>
      </c>
      <c r="N265" s="2" t="s">
        <v>2345</v>
      </c>
      <c r="O265" s="2" t="s">
        <v>40</v>
      </c>
      <c r="P265" s="2" t="s">
        <v>41</v>
      </c>
      <c r="Q265" s="2" t="s">
        <v>53</v>
      </c>
      <c r="R265" s="2" t="s">
        <v>53</v>
      </c>
      <c r="S265" s="2" t="s">
        <v>41</v>
      </c>
      <c r="T265" s="2"/>
      <c r="U265" s="2" t="s">
        <v>43</v>
      </c>
      <c r="V265" s="2"/>
      <c r="W265" s="3"/>
      <c r="X265" s="2"/>
      <c r="Y265" s="2"/>
      <c r="Z265" s="2"/>
      <c r="AA265" s="2"/>
      <c r="AB265" s="2"/>
      <c r="AC265" s="2"/>
      <c r="AD265" s="2"/>
      <c r="AE265" s="2"/>
    </row>
    <row r="266" spans="1:31" ht="150.94999999999999">
      <c r="A266" s="2" t="s">
        <v>1269</v>
      </c>
      <c r="B266" s="2" t="s">
        <v>1270</v>
      </c>
      <c r="C266" s="2" t="str">
        <f>sheet13[[#This Row],[Nombre]]&amp;sheet13[[#This Row],[Bp Id]]</f>
        <v>Siglo 21 Seguridad ¿ Acceso WebSEC0035</v>
      </c>
      <c r="D266" s="2" t="str">
        <f>VLOOKUP(sheet13[[#This Row],[Columna1]],Sheet2!C:S,4,FALSE)</f>
        <v>Operativo</v>
      </c>
      <c r="E266" s="2" t="s">
        <v>1271</v>
      </c>
      <c r="F266" s="2" t="s">
        <v>32</v>
      </c>
      <c r="G266" s="2" t="s">
        <v>123</v>
      </c>
      <c r="H266" s="2" t="s">
        <v>34</v>
      </c>
      <c r="I266" s="2" t="s">
        <v>258</v>
      </c>
      <c r="J266" s="2" t="s">
        <v>571</v>
      </c>
      <c r="K266" s="2" t="s">
        <v>260</v>
      </c>
      <c r="L266" s="2" t="s">
        <v>1435</v>
      </c>
      <c r="M266" s="2" t="s">
        <v>111</v>
      </c>
      <c r="N266" s="2" t="s">
        <v>2343</v>
      </c>
      <c r="O266" s="2" t="s">
        <v>40</v>
      </c>
      <c r="P266" s="2" t="s">
        <v>41</v>
      </c>
      <c r="Q266" s="2" t="s">
        <v>246</v>
      </c>
      <c r="R266" s="2" t="s">
        <v>247</v>
      </c>
      <c r="S266" s="2" t="s">
        <v>41</v>
      </c>
      <c r="T266" s="2" t="s">
        <v>2344</v>
      </c>
      <c r="U266" s="2" t="s">
        <v>43</v>
      </c>
      <c r="V266" s="2"/>
      <c r="W266" s="3"/>
      <c r="X266" s="2"/>
      <c r="Y266" s="2"/>
      <c r="Z266" s="2"/>
      <c r="AA266" s="2"/>
      <c r="AB266" s="2"/>
      <c r="AC266" s="2"/>
      <c r="AD266" s="2"/>
      <c r="AE266" s="2"/>
    </row>
    <row r="267" spans="1:31" ht="176.1">
      <c r="A267" s="2" t="s">
        <v>1272</v>
      </c>
      <c r="B267" s="2" t="s">
        <v>1273</v>
      </c>
      <c r="C267" s="2" t="str">
        <f>sheet13[[#This Row],[Nombre]]&amp;sheet13[[#This Row],[Bp Id]]</f>
        <v>Siglo21SEC0034</v>
      </c>
      <c r="D267" s="2" t="str">
        <f>VLOOKUP(sheet13[[#This Row],[Columna1]],Sheet2!C:S,4,FALSE)</f>
        <v>Operativo</v>
      </c>
      <c r="E267" s="2" t="s">
        <v>1274</v>
      </c>
      <c r="F267" s="2" t="s">
        <v>32</v>
      </c>
      <c r="G267" s="2" t="s">
        <v>58</v>
      </c>
      <c r="H267" s="2" t="s">
        <v>34</v>
      </c>
      <c r="I267" s="2" t="s">
        <v>339</v>
      </c>
      <c r="J267" s="2" t="s">
        <v>50</v>
      </c>
      <c r="K267" s="2" t="s">
        <v>1275</v>
      </c>
      <c r="L267" s="2" t="s">
        <v>941</v>
      </c>
      <c r="M267" s="2" t="s">
        <v>39</v>
      </c>
      <c r="N267" s="2" t="s">
        <v>2343</v>
      </c>
      <c r="O267" s="2" t="s">
        <v>40</v>
      </c>
      <c r="P267" s="2" t="s">
        <v>41</v>
      </c>
      <c r="Q267" s="2" t="s">
        <v>247</v>
      </c>
      <c r="R267" s="2" t="s">
        <v>247</v>
      </c>
      <c r="S267" s="2" t="s">
        <v>41</v>
      </c>
      <c r="T267" s="2" t="s">
        <v>2344</v>
      </c>
      <c r="U267" s="2" t="s">
        <v>2343</v>
      </c>
      <c r="V267" s="2"/>
      <c r="W267" s="3"/>
      <c r="X267" s="2"/>
      <c r="Y267" s="2"/>
      <c r="Z267" s="2"/>
      <c r="AA267" s="2"/>
      <c r="AB267" s="2"/>
      <c r="AC267" s="2"/>
      <c r="AD267" s="2"/>
      <c r="AE267" s="2"/>
    </row>
    <row r="268" spans="1:31" ht="225.95">
      <c r="A268" s="2" t="s">
        <v>1276</v>
      </c>
      <c r="B268" s="2" t="s">
        <v>1277</v>
      </c>
      <c r="C268" s="2" t="str">
        <f>sheet13[[#This Row],[Nombre]]&amp;sheet13[[#This Row],[Bp Id]]</f>
        <v>SIMA_APPPRD0056</v>
      </c>
      <c r="D268" s="2" t="str">
        <f>VLOOKUP(sheet13[[#This Row],[Columna1]],Sheet2!C:S,4,FALSE)</f>
        <v>Operativo</v>
      </c>
      <c r="E268" s="2" t="s">
        <v>1278</v>
      </c>
      <c r="F268" s="2" t="s">
        <v>32</v>
      </c>
      <c r="G268" s="2" t="s">
        <v>48</v>
      </c>
      <c r="H268" s="2" t="s">
        <v>59</v>
      </c>
      <c r="I268" s="2" t="s">
        <v>309</v>
      </c>
      <c r="J268" s="2" t="s">
        <v>96</v>
      </c>
      <c r="K268" s="2" t="s">
        <v>315</v>
      </c>
      <c r="L268" s="2" t="s">
        <v>316</v>
      </c>
      <c r="M268" s="2" t="s">
        <v>39</v>
      </c>
      <c r="N268" s="2" t="s">
        <v>2343</v>
      </c>
      <c r="O268" s="2" t="s">
        <v>40</v>
      </c>
      <c r="P268" s="2" t="s">
        <v>43</v>
      </c>
      <c r="Q268" s="2" t="s">
        <v>42</v>
      </c>
      <c r="R268" s="2" t="s">
        <v>42</v>
      </c>
      <c r="S268" s="2" t="s">
        <v>43</v>
      </c>
      <c r="T268" s="2"/>
      <c r="U268" s="2" t="s">
        <v>41</v>
      </c>
      <c r="V268" s="2" t="s">
        <v>1279</v>
      </c>
      <c r="W268" s="3">
        <v>45200</v>
      </c>
      <c r="X268" s="2"/>
      <c r="Y268" s="2" t="s">
        <v>125</v>
      </c>
      <c r="Z268" s="2" t="s">
        <v>262</v>
      </c>
      <c r="AA268" s="2" t="s">
        <v>147</v>
      </c>
      <c r="AB268" s="2" t="s">
        <v>127</v>
      </c>
      <c r="AC268" s="2" t="s">
        <v>263</v>
      </c>
      <c r="AD268" s="2" t="s">
        <v>129</v>
      </c>
      <c r="AE268" s="2" t="s">
        <v>1280</v>
      </c>
    </row>
    <row r="269" spans="1:31" ht="409.6">
      <c r="A269" s="2" t="s">
        <v>1281</v>
      </c>
      <c r="B269" s="2" t="s">
        <v>1282</v>
      </c>
      <c r="C269" s="2" t="str">
        <f>sheet13[[#This Row],[Nombre]]&amp;sheet13[[#This Row],[Bp Id]]</f>
        <v>SiroRIS0017</v>
      </c>
      <c r="D269" s="2" t="str">
        <f>VLOOKUP(sheet13[[#This Row],[Columna1]],Sheet2!C:S,4,FALSE)</f>
        <v>Operativo</v>
      </c>
      <c r="E269" s="2" t="s">
        <v>1283</v>
      </c>
      <c r="F269" s="2" t="s">
        <v>32</v>
      </c>
      <c r="G269" s="2" t="s">
        <v>48</v>
      </c>
      <c r="H269" s="2" t="s">
        <v>59</v>
      </c>
      <c r="I269" s="2" t="s">
        <v>320</v>
      </c>
      <c r="J269" s="2" t="s">
        <v>321</v>
      </c>
      <c r="K269" s="2" t="s">
        <v>321</v>
      </c>
      <c r="L269" s="2" t="s">
        <v>323</v>
      </c>
      <c r="M269" s="2" t="s">
        <v>39</v>
      </c>
      <c r="N269" s="2" t="s">
        <v>2343</v>
      </c>
      <c r="O269" s="2" t="s">
        <v>40</v>
      </c>
      <c r="P269" s="2" t="s">
        <v>41</v>
      </c>
      <c r="Q269" s="2" t="s">
        <v>64</v>
      </c>
      <c r="R269" s="2" t="s">
        <v>64</v>
      </c>
      <c r="S269" s="2" t="s">
        <v>41</v>
      </c>
      <c r="T269" s="2"/>
      <c r="U269" s="2" t="s">
        <v>41</v>
      </c>
      <c r="V269" s="2"/>
      <c r="W269" s="3">
        <v>45951</v>
      </c>
      <c r="X269" s="2" t="s">
        <v>538</v>
      </c>
      <c r="Y269" s="2" t="s">
        <v>100</v>
      </c>
      <c r="Z269" s="2"/>
      <c r="AA269" s="2" t="s">
        <v>127</v>
      </c>
      <c r="AB269" s="2" t="s">
        <v>127</v>
      </c>
      <c r="AC269" s="2" t="s">
        <v>263</v>
      </c>
      <c r="AD269" s="2" t="s">
        <v>129</v>
      </c>
      <c r="AE269" s="2" t="s">
        <v>1284</v>
      </c>
    </row>
    <row r="270" spans="1:31" ht="409.6">
      <c r="A270" s="2" t="s">
        <v>1285</v>
      </c>
      <c r="B270" s="2" t="s">
        <v>1286</v>
      </c>
      <c r="C270" s="2" t="str">
        <f>sheet13[[#This Row],[Nombre]]&amp;sheet13[[#This Row],[Bp Id]]</f>
        <v>Sistema de Chapter Desarrollo IniciativasITM0065</v>
      </c>
      <c r="D270" s="2" t="str">
        <f>VLOOKUP(sheet13[[#This Row],[Columna1]],Sheet2!C:S,4,FALSE)</f>
        <v>Retirado</v>
      </c>
      <c r="E270" s="2" t="s">
        <v>1287</v>
      </c>
      <c r="F270" s="2" t="s">
        <v>47</v>
      </c>
      <c r="G270" s="2" t="s">
        <v>48</v>
      </c>
      <c r="H270" s="2" t="s">
        <v>59</v>
      </c>
      <c r="I270" s="2" t="s">
        <v>198</v>
      </c>
      <c r="J270" s="2" t="s">
        <v>240</v>
      </c>
      <c r="K270" s="2" t="s">
        <v>1288</v>
      </c>
      <c r="L270" s="2" t="s">
        <v>433</v>
      </c>
      <c r="M270" s="2" t="s">
        <v>63</v>
      </c>
      <c r="N270" s="2" t="s">
        <v>2343</v>
      </c>
      <c r="O270" s="2" t="s">
        <v>40</v>
      </c>
      <c r="P270" s="2" t="s">
        <v>41</v>
      </c>
      <c r="Q270" s="2" t="s">
        <v>53</v>
      </c>
      <c r="R270" s="2" t="s">
        <v>53</v>
      </c>
      <c r="S270" s="2" t="s">
        <v>43</v>
      </c>
      <c r="T270" s="2" t="s">
        <v>2344</v>
      </c>
      <c r="U270" s="2" t="s">
        <v>43</v>
      </c>
      <c r="V270" s="2"/>
      <c r="W270" s="3"/>
      <c r="X270" s="2"/>
      <c r="Y270" s="2"/>
      <c r="Z270" s="2"/>
      <c r="AA270" s="2"/>
      <c r="AB270" s="2"/>
      <c r="AC270" s="2"/>
      <c r="AD270" s="2"/>
      <c r="AE270" s="2"/>
    </row>
    <row r="271" spans="1:31" ht="138.6">
      <c r="A271" s="2" t="s">
        <v>1289</v>
      </c>
      <c r="B271" s="2" t="s">
        <v>1290</v>
      </c>
      <c r="C271" s="2" t="str">
        <f>sheet13[[#This Row],[Nombre]]&amp;sheet13[[#This Row],[Bp Id]]</f>
        <v>Sistema de Gestión Gerencial (SGG)CHL0025</v>
      </c>
      <c r="D271" s="2" t="str">
        <f>VLOOKUP(sheet13[[#This Row],[Columna1]],Sheet2!C:S,4,FALSE)</f>
        <v>Operativo</v>
      </c>
      <c r="E271" s="2" t="s">
        <v>139</v>
      </c>
      <c r="F271" s="2" t="s">
        <v>32</v>
      </c>
      <c r="G271" s="2" t="s">
        <v>58</v>
      </c>
      <c r="H271" s="2" t="s">
        <v>34</v>
      </c>
      <c r="I271" s="2" t="s">
        <v>35</v>
      </c>
      <c r="J271" s="2" t="s">
        <v>36</v>
      </c>
      <c r="K271" s="2" t="s">
        <v>37</v>
      </c>
      <c r="L271" s="2" t="s">
        <v>38</v>
      </c>
      <c r="M271" s="2" t="s">
        <v>39</v>
      </c>
      <c r="N271" s="2" t="s">
        <v>2343</v>
      </c>
      <c r="O271" s="2" t="s">
        <v>40</v>
      </c>
      <c r="P271" s="2" t="s">
        <v>41</v>
      </c>
      <c r="Q271" s="2" t="s">
        <v>42</v>
      </c>
      <c r="R271" s="2" t="s">
        <v>53</v>
      </c>
      <c r="S271" s="2" t="s">
        <v>41</v>
      </c>
      <c r="T271" s="2"/>
      <c r="U271" s="2" t="s">
        <v>41</v>
      </c>
      <c r="V271" s="2" t="s">
        <v>1291</v>
      </c>
      <c r="W271" s="3">
        <v>45200</v>
      </c>
      <c r="X271" s="2"/>
      <c r="Y271" s="2" t="s">
        <v>179</v>
      </c>
      <c r="Z271" s="2" t="s">
        <v>101</v>
      </c>
      <c r="AA271" s="2" t="s">
        <v>363</v>
      </c>
      <c r="AB271" s="2" t="s">
        <v>127</v>
      </c>
      <c r="AC271" s="2" t="s">
        <v>1292</v>
      </c>
      <c r="AD271" s="2" t="s">
        <v>129</v>
      </c>
      <c r="AE271" s="2"/>
    </row>
    <row r="272" spans="1:31" ht="113.45">
      <c r="A272" s="2" t="s">
        <v>1293</v>
      </c>
      <c r="B272" s="2" t="s">
        <v>1294</v>
      </c>
      <c r="C272" s="2" t="str">
        <f>sheet13[[#This Row],[Nombre]]&amp;sheet13[[#This Row],[Bp Id]]</f>
        <v>Sistema Financiero IntegradoPRD0058</v>
      </c>
      <c r="D272" s="2" t="str">
        <f>VLOOKUP(sheet13[[#This Row],[Columna1]],Sheet2!C:S,4,FALSE)</f>
        <v>Operativo</v>
      </c>
      <c r="E272" s="2" t="s">
        <v>1295</v>
      </c>
      <c r="F272" s="2" t="s">
        <v>32</v>
      </c>
      <c r="G272" s="2" t="s">
        <v>48</v>
      </c>
      <c r="H272" s="2" t="s">
        <v>34</v>
      </c>
      <c r="I272" s="2" t="s">
        <v>309</v>
      </c>
      <c r="J272" s="2" t="s">
        <v>96</v>
      </c>
      <c r="K272" s="2" t="s">
        <v>315</v>
      </c>
      <c r="L272" s="2" t="s">
        <v>316</v>
      </c>
      <c r="M272" s="2" t="s">
        <v>39</v>
      </c>
      <c r="N272" s="2" t="s">
        <v>2343</v>
      </c>
      <c r="O272" s="2" t="s">
        <v>40</v>
      </c>
      <c r="P272" s="2" t="s">
        <v>41</v>
      </c>
      <c r="Q272" s="2" t="s">
        <v>53</v>
      </c>
      <c r="R272" s="2" t="s">
        <v>53</v>
      </c>
      <c r="S272" s="2" t="s">
        <v>41</v>
      </c>
      <c r="T272" s="2"/>
      <c r="U272" s="2" t="s">
        <v>41</v>
      </c>
      <c r="V272" s="2"/>
      <c r="W272" s="3">
        <v>45200</v>
      </c>
      <c r="X272" s="2"/>
      <c r="Y272" s="2" t="s">
        <v>100</v>
      </c>
      <c r="Z272" s="2" t="s">
        <v>369</v>
      </c>
      <c r="AA272" s="2" t="s">
        <v>147</v>
      </c>
      <c r="AB272" s="2" t="s">
        <v>147</v>
      </c>
      <c r="AC272" s="2" t="s">
        <v>180</v>
      </c>
      <c r="AD272" s="2" t="s">
        <v>129</v>
      </c>
      <c r="AE272" s="2" t="s">
        <v>1296</v>
      </c>
    </row>
    <row r="273" spans="1:31" ht="63.6">
      <c r="A273" s="2" t="s">
        <v>1297</v>
      </c>
      <c r="B273" s="2" t="s">
        <v>1298</v>
      </c>
      <c r="C273" s="2" t="str">
        <f>sheet13[[#This Row],[Nombre]]&amp;sheet13[[#This Row],[Bp Id]]</f>
        <v>Sistema Gestión de CuentasCOR0002</v>
      </c>
      <c r="D273" s="2" t="str">
        <f>VLOOKUP(sheet13[[#This Row],[Columna1]],Sheet2!C:S,4,FALSE)</f>
        <v>Operativo</v>
      </c>
      <c r="E273" s="2" t="s">
        <v>139</v>
      </c>
      <c r="F273" s="2" t="s">
        <v>32</v>
      </c>
      <c r="G273" s="2" t="s">
        <v>58</v>
      </c>
      <c r="H273" s="2" t="s">
        <v>140</v>
      </c>
      <c r="I273" s="2" t="s">
        <v>141</v>
      </c>
      <c r="J273" s="2" t="s">
        <v>151</v>
      </c>
      <c r="K273" s="2" t="s">
        <v>564</v>
      </c>
      <c r="L273" s="2" t="s">
        <v>565</v>
      </c>
      <c r="M273" s="2" t="s">
        <v>39</v>
      </c>
      <c r="N273" s="2" t="s">
        <v>2343</v>
      </c>
      <c r="O273" s="2" t="s">
        <v>40</v>
      </c>
      <c r="P273" s="2" t="s">
        <v>41</v>
      </c>
      <c r="Q273" s="2" t="s">
        <v>53</v>
      </c>
      <c r="R273" s="2" t="s">
        <v>53</v>
      </c>
      <c r="S273" s="2" t="s">
        <v>41</v>
      </c>
      <c r="T273" s="2" t="s">
        <v>2344</v>
      </c>
      <c r="U273" s="2" t="s">
        <v>43</v>
      </c>
      <c r="V273" s="2"/>
      <c r="W273" s="3"/>
      <c r="X273" s="2"/>
      <c r="Y273" s="2"/>
      <c r="Z273" s="2"/>
      <c r="AA273" s="2"/>
      <c r="AB273" s="2"/>
      <c r="AC273" s="2"/>
      <c r="AD273" s="2"/>
      <c r="AE273" s="2"/>
    </row>
    <row r="274" spans="1:31" ht="63.6">
      <c r="A274" s="2" t="s">
        <v>1299</v>
      </c>
      <c r="B274" s="2" t="s">
        <v>1300</v>
      </c>
      <c r="C274" s="2" t="str">
        <f>sheet13[[#This Row],[Nombre]]&amp;sheet13[[#This Row],[Bp Id]]</f>
        <v>Smart ProtectionSEC0036</v>
      </c>
      <c r="D274" s="2" t="str">
        <f>VLOOKUP(sheet13[[#This Row],[Columna1]],Sheet2!C:S,4,FALSE)</f>
        <v>Retirado</v>
      </c>
      <c r="E274" s="2" t="s">
        <v>1301</v>
      </c>
      <c r="F274" s="2" t="s">
        <v>47</v>
      </c>
      <c r="G274" s="2" t="s">
        <v>48</v>
      </c>
      <c r="H274" s="2" t="s">
        <v>34</v>
      </c>
      <c r="I274" s="2" t="s">
        <v>2346</v>
      </c>
      <c r="J274" s="2" t="s">
        <v>272</v>
      </c>
      <c r="K274" s="2" t="s">
        <v>176</v>
      </c>
      <c r="L274" s="2" t="s">
        <v>175</v>
      </c>
      <c r="M274" s="2" t="s">
        <v>111</v>
      </c>
      <c r="N274" s="2" t="s">
        <v>2345</v>
      </c>
      <c r="O274" s="2" t="s">
        <v>40</v>
      </c>
      <c r="P274" s="2" t="s">
        <v>41</v>
      </c>
      <c r="Q274" s="2" t="s">
        <v>53</v>
      </c>
      <c r="R274" s="2" t="s">
        <v>53</v>
      </c>
      <c r="S274" s="2" t="s">
        <v>41</v>
      </c>
      <c r="T274" s="2"/>
      <c r="U274" s="2" t="s">
        <v>43</v>
      </c>
      <c r="V274" s="2"/>
      <c r="W274" s="3"/>
      <c r="X274" s="2"/>
      <c r="Y274" s="2"/>
      <c r="Z274" s="2"/>
      <c r="AA274" s="2"/>
      <c r="AB274" s="2"/>
      <c r="AC274" s="2"/>
      <c r="AD274" s="2"/>
      <c r="AE274" s="2"/>
    </row>
    <row r="275" spans="1:31" ht="101.1">
      <c r="A275" s="2" t="s">
        <v>1302</v>
      </c>
      <c r="B275" s="2" t="s">
        <v>1303</v>
      </c>
      <c r="C275" s="2" t="str">
        <f>sheet13[[#This Row],[Nombre]]&amp;sheet13[[#This Row],[Bp Id]]</f>
        <v>SoftguardSEC0044</v>
      </c>
      <c r="D275" s="2" t="str">
        <f>VLOOKUP(sheet13[[#This Row],[Columna1]],Sheet2!C:S,4,FALSE)</f>
        <v>Operativo</v>
      </c>
      <c r="E275" s="2" t="s">
        <v>1304</v>
      </c>
      <c r="F275" s="2" t="s">
        <v>32</v>
      </c>
      <c r="G275" s="2" t="s">
        <v>123</v>
      </c>
      <c r="H275" s="2" t="s">
        <v>34</v>
      </c>
      <c r="I275" s="2" t="s">
        <v>2348</v>
      </c>
      <c r="J275" s="2" t="s">
        <v>546</v>
      </c>
      <c r="K275" s="2" t="s">
        <v>176</v>
      </c>
      <c r="L275" s="2" t="s">
        <v>412</v>
      </c>
      <c r="M275" s="2" t="s">
        <v>111</v>
      </c>
      <c r="N275" s="2" t="s">
        <v>2343</v>
      </c>
      <c r="O275" s="2" t="s">
        <v>40</v>
      </c>
      <c r="P275" s="2" t="s">
        <v>41</v>
      </c>
      <c r="Q275" s="2" t="s">
        <v>53</v>
      </c>
      <c r="R275" s="2" t="s">
        <v>53</v>
      </c>
      <c r="S275" s="2" t="s">
        <v>41</v>
      </c>
      <c r="T275" s="2"/>
      <c r="U275" s="2" t="s">
        <v>41</v>
      </c>
      <c r="V275" s="2" t="s">
        <v>180</v>
      </c>
      <c r="W275" s="3">
        <v>46052</v>
      </c>
      <c r="X275" s="2" t="s">
        <v>413</v>
      </c>
      <c r="Y275" s="2" t="s">
        <v>100</v>
      </c>
      <c r="Z275" s="2" t="s">
        <v>126</v>
      </c>
      <c r="AA275" s="2" t="s">
        <v>127</v>
      </c>
      <c r="AB275" s="2" t="s">
        <v>127</v>
      </c>
      <c r="AC275" s="2" t="s">
        <v>180</v>
      </c>
      <c r="AD275" s="2" t="s">
        <v>129</v>
      </c>
      <c r="AE275" s="2" t="s">
        <v>1305</v>
      </c>
    </row>
    <row r="276" spans="1:31" ht="409.6">
      <c r="A276" s="2" t="s">
        <v>1306</v>
      </c>
      <c r="B276" s="2" t="s">
        <v>1307</v>
      </c>
      <c r="C276" s="2" t="str">
        <f>sheet13[[#This Row],[Nombre]]&amp;sheet13[[#This Row],[Bp Id]]</f>
        <v>Solicitud Digital - Tarjetas de CréditoPAY0015</v>
      </c>
      <c r="D276" s="2" t="str">
        <f>VLOOKUP(sheet13[[#This Row],[Columna1]],Sheet2!C:S,4,FALSE)</f>
        <v>Operativo</v>
      </c>
      <c r="E276" s="2" t="s">
        <v>1308</v>
      </c>
      <c r="F276" s="2" t="s">
        <v>32</v>
      </c>
      <c r="G276" s="2" t="s">
        <v>48</v>
      </c>
      <c r="H276" s="2" t="s">
        <v>59</v>
      </c>
      <c r="I276" s="2" t="s">
        <v>141</v>
      </c>
      <c r="J276" s="2" t="s">
        <v>151</v>
      </c>
      <c r="K276" s="2" t="s">
        <v>143</v>
      </c>
      <c r="L276" s="2" t="s">
        <v>144</v>
      </c>
      <c r="M276" s="2" t="s">
        <v>39</v>
      </c>
      <c r="N276" s="2" t="s">
        <v>2345</v>
      </c>
      <c r="O276" s="2" t="s">
        <v>91</v>
      </c>
      <c r="P276" s="2" t="s">
        <v>43</v>
      </c>
      <c r="Q276" s="2" t="s">
        <v>64</v>
      </c>
      <c r="R276" s="2" t="s">
        <v>64</v>
      </c>
      <c r="S276" s="2" t="s">
        <v>43</v>
      </c>
      <c r="T276" s="2"/>
      <c r="U276" s="2" t="s">
        <v>43</v>
      </c>
      <c r="V276" s="2" t="s">
        <v>1309</v>
      </c>
      <c r="W276" s="3">
        <v>46083</v>
      </c>
      <c r="X276" s="2" t="s">
        <v>1310</v>
      </c>
      <c r="Y276" s="2"/>
      <c r="Z276" s="2"/>
      <c r="AA276" s="2"/>
      <c r="AB276" s="2"/>
      <c r="AC276" s="2"/>
      <c r="AD276" s="2"/>
      <c r="AE276" s="2"/>
    </row>
    <row r="277" spans="1:31" ht="63.6">
      <c r="A277" s="2" t="s">
        <v>1311</v>
      </c>
      <c r="B277" s="2" t="s">
        <v>1312</v>
      </c>
      <c r="C277" s="2" t="str">
        <f>sheet13[[#This Row],[Nombre]]&amp;sheet13[[#This Row],[Bp Id]]</f>
        <v>Solicitud inmediataCUS0012</v>
      </c>
      <c r="D277" s="2" t="str">
        <f>VLOOKUP(sheet13[[#This Row],[Columna1]],Sheet2!C:S,4,FALSE)</f>
        <v>Retirado</v>
      </c>
      <c r="E277" s="2" t="s">
        <v>1313</v>
      </c>
      <c r="F277" s="2" t="s">
        <v>47</v>
      </c>
      <c r="G277" s="2" t="s">
        <v>48</v>
      </c>
      <c r="H277" s="2" t="s">
        <v>59</v>
      </c>
      <c r="I277" s="2" t="s">
        <v>134</v>
      </c>
      <c r="J277" s="2" t="s">
        <v>88</v>
      </c>
      <c r="K277" s="2" t="s">
        <v>88</v>
      </c>
      <c r="L277" s="2" t="s">
        <v>480</v>
      </c>
      <c r="M277" s="2" t="s">
        <v>39</v>
      </c>
      <c r="N277" s="2" t="s">
        <v>2345</v>
      </c>
      <c r="O277" s="2" t="s">
        <v>91</v>
      </c>
      <c r="P277" s="2" t="s">
        <v>43</v>
      </c>
      <c r="Q277" s="2" t="s">
        <v>311</v>
      </c>
      <c r="R277" s="2" t="s">
        <v>311</v>
      </c>
      <c r="S277" s="2" t="s">
        <v>43</v>
      </c>
      <c r="T277" s="2"/>
      <c r="U277" s="2" t="s">
        <v>43</v>
      </c>
      <c r="V277" s="2"/>
      <c r="W277" s="3"/>
      <c r="X277" s="2"/>
      <c r="Y277" s="2"/>
      <c r="Z277" s="2"/>
      <c r="AA277" s="2"/>
      <c r="AB277" s="2"/>
      <c r="AC277" s="2"/>
      <c r="AD277" s="2"/>
      <c r="AE277" s="2"/>
    </row>
    <row r="278" spans="1:31" ht="75.95">
      <c r="A278" s="2" t="s">
        <v>1314</v>
      </c>
      <c r="B278" s="2" t="s">
        <v>1315</v>
      </c>
      <c r="C278" s="2" t="str">
        <f>sheet13[[#This Row],[Nombre]]&amp;sheet13[[#This Row],[Bp Id]]</f>
        <v>SPARTANGOB0007</v>
      </c>
      <c r="D278" s="2" t="str">
        <f>VLOOKUP(sheet13[[#This Row],[Columna1]],Sheet2!C:S,4,FALSE)</f>
        <v>Operativo</v>
      </c>
      <c r="E278" s="2" t="s">
        <v>1316</v>
      </c>
      <c r="F278" s="2" t="s">
        <v>32</v>
      </c>
      <c r="G278" s="2" t="s">
        <v>123</v>
      </c>
      <c r="H278" s="2" t="s">
        <v>345</v>
      </c>
      <c r="I278" s="2" t="s">
        <v>258</v>
      </c>
      <c r="J278" s="2" t="s">
        <v>214</v>
      </c>
      <c r="K278" s="2" t="s">
        <v>658</v>
      </c>
      <c r="L278" s="2" t="s">
        <v>658</v>
      </c>
      <c r="M278" s="2" t="s">
        <v>39</v>
      </c>
      <c r="N278" s="2" t="s">
        <v>2343</v>
      </c>
      <c r="O278" s="2" t="s">
        <v>40</v>
      </c>
      <c r="P278" s="2" t="s">
        <v>41</v>
      </c>
      <c r="Q278" s="2" t="s">
        <v>42</v>
      </c>
      <c r="R278" s="2" t="s">
        <v>53</v>
      </c>
      <c r="S278" s="2" t="s">
        <v>41</v>
      </c>
      <c r="T278" s="2"/>
      <c r="U278" s="2" t="s">
        <v>41</v>
      </c>
      <c r="V278" s="2" t="s">
        <v>1317</v>
      </c>
      <c r="W278" s="3">
        <v>45200</v>
      </c>
      <c r="X278" s="2"/>
      <c r="Y278" s="2" t="s">
        <v>253</v>
      </c>
      <c r="Z278" s="2" t="s">
        <v>146</v>
      </c>
      <c r="AA278" s="2" t="s">
        <v>147</v>
      </c>
      <c r="AB278" s="2" t="s">
        <v>147</v>
      </c>
      <c r="AC278" s="2" t="s">
        <v>180</v>
      </c>
      <c r="AD278" s="2" t="s">
        <v>129</v>
      </c>
      <c r="AE278" s="2" t="s">
        <v>2357</v>
      </c>
    </row>
    <row r="279" spans="1:31" ht="213.6">
      <c r="A279" s="2" t="s">
        <v>1319</v>
      </c>
      <c r="B279" s="2" t="s">
        <v>1320</v>
      </c>
      <c r="C279" s="2" t="str">
        <f>sheet13[[#This Row],[Nombre]]&amp;sheet13[[#This Row],[Bp Id]]</f>
        <v>Correlacionador de Eventos SOC (SPLUNK)SEC0068</v>
      </c>
      <c r="D279" s="2" t="str">
        <f>VLOOKUP(sheet13[[#This Row],[Columna1]],Sheet2!C:S,4,FALSE)</f>
        <v>Operativo</v>
      </c>
      <c r="E279" s="2" t="s">
        <v>1321</v>
      </c>
      <c r="F279" s="2" t="s">
        <v>32</v>
      </c>
      <c r="G279" s="2" t="s">
        <v>76</v>
      </c>
      <c r="H279" s="2" t="s">
        <v>59</v>
      </c>
      <c r="I279" s="2" t="s">
        <v>2348</v>
      </c>
      <c r="J279" s="2" t="s">
        <v>175</v>
      </c>
      <c r="K279" s="2" t="s">
        <v>176</v>
      </c>
      <c r="L279" s="2" t="s">
        <v>2349</v>
      </c>
      <c r="M279" s="2" t="s">
        <v>111</v>
      </c>
      <c r="N279" s="2" t="s">
        <v>2343</v>
      </c>
      <c r="O279" s="2" t="s">
        <v>40</v>
      </c>
      <c r="P279" s="2" t="s">
        <v>41</v>
      </c>
      <c r="Q279" s="2" t="s">
        <v>42</v>
      </c>
      <c r="R279" s="2" t="s">
        <v>42</v>
      </c>
      <c r="S279" s="2" t="s">
        <v>41</v>
      </c>
      <c r="T279" s="2"/>
      <c r="U279" s="2" t="s">
        <v>41</v>
      </c>
      <c r="V279" s="2"/>
      <c r="W279" s="3">
        <v>45713</v>
      </c>
      <c r="X279" s="2"/>
      <c r="Y279" s="2" t="s">
        <v>179</v>
      </c>
      <c r="Z279" s="2" t="s">
        <v>959</v>
      </c>
      <c r="AA279" s="2" t="s">
        <v>376</v>
      </c>
      <c r="AB279" s="2" t="s">
        <v>376</v>
      </c>
      <c r="AC279" s="2" t="s">
        <v>263</v>
      </c>
      <c r="AD279" s="2" t="s">
        <v>129</v>
      </c>
      <c r="AE279" s="2" t="s">
        <v>1322</v>
      </c>
    </row>
    <row r="280" spans="1:31" ht="88.5">
      <c r="A280" s="2" t="s">
        <v>1323</v>
      </c>
      <c r="B280" s="2" t="s">
        <v>1324</v>
      </c>
      <c r="C280" s="2" t="str">
        <f>sheet13[[#This Row],[Nombre]]&amp;sheet13[[#This Row],[Bp Id]]</f>
        <v>SSTOBITM0053</v>
      </c>
      <c r="D280" s="2" t="str">
        <f>VLOOKUP(sheet13[[#This Row],[Columna1]],Sheet2!C:S,4,FALSE)</f>
        <v>Retirado</v>
      </c>
      <c r="E280" s="2" t="s">
        <v>1325</v>
      </c>
      <c r="F280" s="2" t="s">
        <v>47</v>
      </c>
      <c r="G280" s="2" t="s">
        <v>48</v>
      </c>
      <c r="H280" s="2" t="s">
        <v>140</v>
      </c>
      <c r="I280" s="2" t="s">
        <v>232</v>
      </c>
      <c r="J280" s="2" t="s">
        <v>69</v>
      </c>
      <c r="K280" s="2" t="s">
        <v>381</v>
      </c>
      <c r="L280" s="2" t="s">
        <v>1326</v>
      </c>
      <c r="M280" s="2" t="s">
        <v>52</v>
      </c>
      <c r="N280" s="2" t="s">
        <v>2345</v>
      </c>
      <c r="O280" s="2" t="s">
        <v>40</v>
      </c>
      <c r="P280" s="2" t="s">
        <v>41</v>
      </c>
      <c r="Q280" s="2" t="s">
        <v>53</v>
      </c>
      <c r="R280" s="2" t="s">
        <v>53</v>
      </c>
      <c r="S280" s="2" t="s">
        <v>41</v>
      </c>
      <c r="T280" s="2"/>
      <c r="U280" s="2" t="s">
        <v>43</v>
      </c>
      <c r="V280" s="2"/>
      <c r="W280" s="3"/>
      <c r="X280" s="2"/>
      <c r="Y280" s="2"/>
      <c r="Z280" s="2"/>
      <c r="AA280" s="2"/>
      <c r="AB280" s="2"/>
      <c r="AC280" s="2"/>
      <c r="AD280" s="2"/>
      <c r="AE280" s="2"/>
    </row>
    <row r="281" spans="1:31" ht="75.95">
      <c r="A281" s="2" t="s">
        <v>1327</v>
      </c>
      <c r="B281" s="2" t="s">
        <v>1328</v>
      </c>
      <c r="C281" s="2" t="str">
        <f>sheet13[[#This Row],[Nombre]]&amp;sheet13[[#This Row],[Bp Id]]</f>
        <v>StackHawkSEC0058</v>
      </c>
      <c r="D281" s="2" t="str">
        <f>VLOOKUP(sheet13[[#This Row],[Columna1]],Sheet2!C:S,4,FALSE)</f>
        <v>Operativo</v>
      </c>
      <c r="E281" s="2" t="s">
        <v>1329</v>
      </c>
      <c r="F281" s="2" t="s">
        <v>32</v>
      </c>
      <c r="G281" s="2" t="s">
        <v>48</v>
      </c>
      <c r="H281" s="2" t="s">
        <v>345</v>
      </c>
      <c r="I281" s="2" t="s">
        <v>2348</v>
      </c>
      <c r="J281" s="2" t="s">
        <v>1330</v>
      </c>
      <c r="K281" s="2" t="s">
        <v>176</v>
      </c>
      <c r="L281" s="2" t="s">
        <v>214</v>
      </c>
      <c r="M281" s="2" t="s">
        <v>111</v>
      </c>
      <c r="N281" s="2" t="s">
        <v>2343</v>
      </c>
      <c r="O281" s="2" t="s">
        <v>40</v>
      </c>
      <c r="P281" s="2" t="s">
        <v>41</v>
      </c>
      <c r="Q281" s="2" t="s">
        <v>64</v>
      </c>
      <c r="R281" s="2" t="s">
        <v>64</v>
      </c>
      <c r="S281" s="2" t="s">
        <v>41</v>
      </c>
      <c r="T281" s="2"/>
      <c r="U281" s="2" t="s">
        <v>41</v>
      </c>
      <c r="V281" s="2" t="s">
        <v>1331</v>
      </c>
      <c r="W281" s="3">
        <v>45716</v>
      </c>
      <c r="X281" s="2"/>
      <c r="Y281" s="2" t="s">
        <v>101</v>
      </c>
      <c r="Z281" s="2" t="s">
        <v>146</v>
      </c>
      <c r="AA281" s="2" t="s">
        <v>1332</v>
      </c>
      <c r="AB281" s="2"/>
      <c r="AC281" s="2" t="s">
        <v>180</v>
      </c>
      <c r="AD281" s="2" t="s">
        <v>129</v>
      </c>
      <c r="AE281" s="2" t="s">
        <v>1333</v>
      </c>
    </row>
    <row r="282" spans="1:31" ht="150.94999999999999">
      <c r="A282" s="2" t="s">
        <v>1334</v>
      </c>
      <c r="B282" s="2" t="s">
        <v>1335</v>
      </c>
      <c r="C282" s="2" t="str">
        <f>sheet13[[#This Row],[Nombre]]&amp;sheet13[[#This Row],[Bp Id]]</f>
        <v>StealtwatchSEC0038</v>
      </c>
      <c r="D282" s="2" t="str">
        <f>VLOOKUP(sheet13[[#This Row],[Columna1]],Sheet2!C:S,4,FALSE)</f>
        <v>Operativo</v>
      </c>
      <c r="E282" s="2" t="s">
        <v>1336</v>
      </c>
      <c r="F282" s="2" t="s">
        <v>32</v>
      </c>
      <c r="G282" s="2" t="s">
        <v>48</v>
      </c>
      <c r="H282" s="2" t="s">
        <v>34</v>
      </c>
      <c r="I282" s="2" t="s">
        <v>2348</v>
      </c>
      <c r="J282" s="2" t="s">
        <v>177</v>
      </c>
      <c r="K282" s="2" t="s">
        <v>176</v>
      </c>
      <c r="L282" s="2" t="s">
        <v>185</v>
      </c>
      <c r="M282" s="2" t="s">
        <v>111</v>
      </c>
      <c r="N282" s="2" t="s">
        <v>2343</v>
      </c>
      <c r="O282" s="2" t="s">
        <v>40</v>
      </c>
      <c r="P282" s="2" t="s">
        <v>41</v>
      </c>
      <c r="Q282" s="2" t="s">
        <v>53</v>
      </c>
      <c r="R282" s="2" t="s">
        <v>53</v>
      </c>
      <c r="S282" s="2" t="s">
        <v>41</v>
      </c>
      <c r="T282" s="2"/>
      <c r="U282" s="2" t="s">
        <v>41</v>
      </c>
      <c r="V282" s="2" t="s">
        <v>1337</v>
      </c>
      <c r="W282" s="3">
        <v>46028</v>
      </c>
      <c r="X282" s="2" t="s">
        <v>186</v>
      </c>
      <c r="Y282" s="2" t="s">
        <v>375</v>
      </c>
      <c r="Z282" s="2" t="s">
        <v>959</v>
      </c>
      <c r="AA282" s="2" t="s">
        <v>127</v>
      </c>
      <c r="AB282" s="2" t="s">
        <v>127</v>
      </c>
      <c r="AC282" s="2" t="s">
        <v>180</v>
      </c>
      <c r="AD282" s="2" t="s">
        <v>129</v>
      </c>
      <c r="AE282" s="2" t="s">
        <v>1338</v>
      </c>
    </row>
    <row r="283" spans="1:31" ht="288.60000000000002">
      <c r="A283" s="2" t="s">
        <v>1339</v>
      </c>
      <c r="B283" s="2" t="s">
        <v>1340</v>
      </c>
      <c r="C283" s="2" t="str">
        <f>sheet13[[#This Row],[Nombre]]&amp;sheet13[[#This Row],[Bp Id]]</f>
        <v>SupermetricsCUS0013</v>
      </c>
      <c r="D283" s="2" t="str">
        <f>VLOOKUP(sheet13[[#This Row],[Columna1]],Sheet2!C:S,4,FALSE)</f>
        <v>Operativo</v>
      </c>
      <c r="E283" s="2" t="s">
        <v>1341</v>
      </c>
      <c r="F283" s="2" t="s">
        <v>32</v>
      </c>
      <c r="G283" s="2" t="s">
        <v>48</v>
      </c>
      <c r="H283" s="2" t="s">
        <v>59</v>
      </c>
      <c r="I283" s="2" t="s">
        <v>87</v>
      </c>
      <c r="J283" s="2" t="s">
        <v>88</v>
      </c>
      <c r="K283" s="2" t="s">
        <v>1342</v>
      </c>
      <c r="L283" s="2" t="s">
        <v>88</v>
      </c>
      <c r="M283" s="2" t="s">
        <v>63</v>
      </c>
      <c r="N283" s="2" t="s">
        <v>2343</v>
      </c>
      <c r="O283" s="2" t="s">
        <v>40</v>
      </c>
      <c r="P283" s="2" t="s">
        <v>41</v>
      </c>
      <c r="Q283" s="2" t="s">
        <v>53</v>
      </c>
      <c r="R283" s="2" t="s">
        <v>53</v>
      </c>
      <c r="S283" s="2" t="s">
        <v>43</v>
      </c>
      <c r="T283" s="2" t="s">
        <v>2344</v>
      </c>
      <c r="U283" s="2" t="s">
        <v>43</v>
      </c>
      <c r="V283" s="2"/>
      <c r="W283" s="3"/>
      <c r="X283" s="2"/>
      <c r="Y283" s="2"/>
      <c r="Z283" s="2"/>
      <c r="AA283" s="2"/>
      <c r="AB283" s="2"/>
      <c r="AC283" s="2"/>
      <c r="AD283" s="2"/>
      <c r="AE283" s="2"/>
    </row>
    <row r="284" spans="1:31" ht="276">
      <c r="A284" s="2" t="s">
        <v>1343</v>
      </c>
      <c r="B284" s="2" t="s">
        <v>1344</v>
      </c>
      <c r="C284" s="2" t="str">
        <f>sheet13[[#This Row],[Nombre]]&amp;sheet13[[#This Row],[Bp Id]]</f>
        <v>Swift Alliance FullStackPRD0040</v>
      </c>
      <c r="D284" s="2" t="str">
        <f>VLOOKUP(sheet13[[#This Row],[Columna1]],Sheet2!C:S,4,FALSE)</f>
        <v>Operativo</v>
      </c>
      <c r="E284" s="2" t="s">
        <v>1345</v>
      </c>
      <c r="F284" s="2" t="s">
        <v>32</v>
      </c>
      <c r="G284" s="2" t="s">
        <v>33</v>
      </c>
      <c r="H284" s="2" t="s">
        <v>34</v>
      </c>
      <c r="I284" s="2" t="s">
        <v>141</v>
      </c>
      <c r="J284" s="2" t="s">
        <v>151</v>
      </c>
      <c r="K284" s="2" t="s">
        <v>634</v>
      </c>
      <c r="L284" s="2" t="s">
        <v>1347</v>
      </c>
      <c r="M284" s="2" t="s">
        <v>39</v>
      </c>
      <c r="N284" s="2" t="s">
        <v>2343</v>
      </c>
      <c r="O284" s="2" t="s">
        <v>40</v>
      </c>
      <c r="P284" s="2" t="s">
        <v>41</v>
      </c>
      <c r="Q284" s="2" t="s">
        <v>53</v>
      </c>
      <c r="R284" s="2" t="s">
        <v>53</v>
      </c>
      <c r="S284" s="2" t="s">
        <v>41</v>
      </c>
      <c r="T284" s="2"/>
      <c r="U284" s="2" t="s">
        <v>41</v>
      </c>
      <c r="V284" s="2" t="s">
        <v>1348</v>
      </c>
      <c r="W284" s="3">
        <v>45200</v>
      </c>
      <c r="X284" s="2" t="s">
        <v>970</v>
      </c>
      <c r="Y284" s="2"/>
      <c r="Z284" s="2" t="s">
        <v>126</v>
      </c>
      <c r="AA284" s="2" t="s">
        <v>147</v>
      </c>
      <c r="AB284" s="2" t="s">
        <v>127</v>
      </c>
      <c r="AC284" s="2" t="s">
        <v>180</v>
      </c>
      <c r="AD284" s="2" t="s">
        <v>129</v>
      </c>
      <c r="AE284" s="2"/>
    </row>
    <row r="285" spans="1:31" ht="276">
      <c r="A285" s="2" t="s">
        <v>1350</v>
      </c>
      <c r="B285" s="2" t="s">
        <v>1351</v>
      </c>
      <c r="C285" s="2" t="str">
        <f>sheet13[[#This Row],[Nombre]]&amp;sheet13[[#This Row],[Bp Id]]</f>
        <v>Swift Alliance WareHousePRD0041</v>
      </c>
      <c r="D285" s="2" t="str">
        <f>VLOOKUP(sheet13[[#This Row],[Columna1]],Sheet2!C:S,4,FALSE)</f>
        <v>Retirado</v>
      </c>
      <c r="E285" s="2" t="s">
        <v>1345</v>
      </c>
      <c r="F285" s="2" t="s">
        <v>47</v>
      </c>
      <c r="G285" s="2" t="s">
        <v>76</v>
      </c>
      <c r="H285" s="2" t="s">
        <v>34</v>
      </c>
      <c r="I285" s="2" t="s">
        <v>921</v>
      </c>
      <c r="J285" s="2" t="s">
        <v>50</v>
      </c>
      <c r="K285" s="2" t="s">
        <v>634</v>
      </c>
      <c r="L285" s="2" t="s">
        <v>1189</v>
      </c>
      <c r="M285" s="2" t="s">
        <v>39</v>
      </c>
      <c r="N285" s="2" t="s">
        <v>2345</v>
      </c>
      <c r="O285" s="2" t="s">
        <v>40</v>
      </c>
      <c r="P285" s="2" t="s">
        <v>41</v>
      </c>
      <c r="Q285" s="2" t="s">
        <v>53</v>
      </c>
      <c r="R285" s="2" t="s">
        <v>53</v>
      </c>
      <c r="S285" s="2" t="s">
        <v>41</v>
      </c>
      <c r="T285" s="2"/>
      <c r="U285" s="2" t="s">
        <v>41</v>
      </c>
      <c r="V285" s="2" t="s">
        <v>1352</v>
      </c>
      <c r="W285" s="3">
        <v>45200</v>
      </c>
      <c r="X285" s="2" t="s">
        <v>970</v>
      </c>
      <c r="Y285" s="2"/>
      <c r="Z285" s="2" t="s">
        <v>126</v>
      </c>
      <c r="AA285" s="2" t="s">
        <v>147</v>
      </c>
      <c r="AB285" s="2" t="s">
        <v>127</v>
      </c>
      <c r="AC285" s="2" t="s">
        <v>180</v>
      </c>
      <c r="AD285" s="2" t="s">
        <v>129</v>
      </c>
      <c r="AE285" s="2"/>
    </row>
    <row r="286" spans="1:31" ht="150.94999999999999">
      <c r="A286" s="2" t="s">
        <v>1354</v>
      </c>
      <c r="B286" s="2" t="s">
        <v>1355</v>
      </c>
      <c r="C286" s="2" t="str">
        <f>sheet13[[#This Row],[Nombre]]&amp;sheet13[[#This Row],[Bp Id]]</f>
        <v>Swift Transaction ScreeningGOB0019</v>
      </c>
      <c r="D286" s="2" t="str">
        <f>VLOOKUP(sheet13[[#This Row],[Columna1]],Sheet2!C:S,4,FALSE)</f>
        <v>Retirado</v>
      </c>
      <c r="E286" s="2" t="s">
        <v>1356</v>
      </c>
      <c r="F286" s="2" t="s">
        <v>47</v>
      </c>
      <c r="G286" s="2" t="s">
        <v>76</v>
      </c>
      <c r="H286" s="2" t="s">
        <v>140</v>
      </c>
      <c r="I286" s="2" t="s">
        <v>921</v>
      </c>
      <c r="J286" s="2" t="s">
        <v>50</v>
      </c>
      <c r="K286" s="2" t="s">
        <v>634</v>
      </c>
      <c r="L286" s="2" t="s">
        <v>1189</v>
      </c>
      <c r="M286" s="2" t="s">
        <v>39</v>
      </c>
      <c r="N286" s="2" t="s">
        <v>2345</v>
      </c>
      <c r="O286" s="2" t="s">
        <v>40</v>
      </c>
      <c r="P286" s="2" t="s">
        <v>41</v>
      </c>
      <c r="Q286" s="2" t="s">
        <v>53</v>
      </c>
      <c r="R286" s="2" t="s">
        <v>53</v>
      </c>
      <c r="S286" s="2" t="s">
        <v>41</v>
      </c>
      <c r="T286" s="2"/>
      <c r="U286" s="2" t="s">
        <v>41</v>
      </c>
      <c r="V286" s="2" t="s">
        <v>1331</v>
      </c>
      <c r="W286" s="3">
        <v>45200</v>
      </c>
      <c r="X286" s="2"/>
      <c r="Y286" s="2" t="s">
        <v>126</v>
      </c>
      <c r="Z286" s="2"/>
      <c r="AA286" s="2" t="s">
        <v>147</v>
      </c>
      <c r="AB286" s="2" t="s">
        <v>147</v>
      </c>
      <c r="AC286" s="2" t="s">
        <v>180</v>
      </c>
      <c r="AD286" s="2" t="s">
        <v>129</v>
      </c>
      <c r="AE286" s="2"/>
    </row>
    <row r="287" spans="1:31" ht="63.6">
      <c r="A287" s="2" t="s">
        <v>1357</v>
      </c>
      <c r="B287" s="2" t="s">
        <v>1358</v>
      </c>
      <c r="C287" s="2" t="str">
        <f>sheet13[[#This Row],[Nombre]]&amp;sheet13[[#This Row],[Bp Id]]</f>
        <v>Switch Banred - RemesasPRD0036</v>
      </c>
      <c r="D287" s="2" t="str">
        <f>VLOOKUP(sheet13[[#This Row],[Columna1]],Sheet2!C:S,4,FALSE)</f>
        <v>Retirado</v>
      </c>
      <c r="E287" s="2" t="s">
        <v>139</v>
      </c>
      <c r="F287" s="2" t="s">
        <v>47</v>
      </c>
      <c r="G287" s="2" t="s">
        <v>76</v>
      </c>
      <c r="H287" s="2" t="s">
        <v>140</v>
      </c>
      <c r="I287" s="2" t="s">
        <v>141</v>
      </c>
      <c r="J287" s="2" t="s">
        <v>142</v>
      </c>
      <c r="K287" s="2" t="s">
        <v>1359</v>
      </c>
      <c r="L287" s="2" t="s">
        <v>160</v>
      </c>
      <c r="M287" s="2" t="s">
        <v>621</v>
      </c>
      <c r="N287" s="2" t="s">
        <v>2345</v>
      </c>
      <c r="O287" s="2" t="s">
        <v>40</v>
      </c>
      <c r="P287" s="2" t="s">
        <v>43</v>
      </c>
      <c r="Q287" s="2" t="s">
        <v>53</v>
      </c>
      <c r="R287" s="2" t="s">
        <v>53</v>
      </c>
      <c r="S287" s="2" t="s">
        <v>43</v>
      </c>
      <c r="T287" s="2"/>
      <c r="U287" s="2" t="s">
        <v>43</v>
      </c>
      <c r="V287" s="2"/>
      <c r="W287" s="3"/>
      <c r="X287" s="2"/>
      <c r="Y287" s="2"/>
      <c r="Z287" s="2"/>
      <c r="AA287" s="2"/>
      <c r="AB287" s="2"/>
      <c r="AC287" s="2"/>
      <c r="AD287" s="2"/>
      <c r="AE287" s="2"/>
    </row>
    <row r="288" spans="1:31" ht="63.6">
      <c r="A288" s="2" t="s">
        <v>1360</v>
      </c>
      <c r="B288" s="2" t="s">
        <v>1361</v>
      </c>
      <c r="C288" s="2" t="str">
        <f>sheet13[[#This Row],[Nombre]]&amp;sheet13[[#This Row],[Bp Id]]</f>
        <v>Switch Transacciones TarjetasPAY0016</v>
      </c>
      <c r="D288" s="2" t="str">
        <f>VLOOKUP(sheet13[[#This Row],[Columna1]],Sheet2!C:S,4,FALSE)</f>
        <v>Operativo</v>
      </c>
      <c r="E288" s="2" t="s">
        <v>139</v>
      </c>
      <c r="F288" s="2" t="s">
        <v>32</v>
      </c>
      <c r="G288" s="2" t="s">
        <v>76</v>
      </c>
      <c r="H288" s="2" t="s">
        <v>140</v>
      </c>
      <c r="I288" s="2" t="s">
        <v>141</v>
      </c>
      <c r="J288" s="2" t="s">
        <v>151</v>
      </c>
      <c r="K288" s="2" t="s">
        <v>143</v>
      </c>
      <c r="L288" s="2" t="s">
        <v>144</v>
      </c>
      <c r="M288" s="2" t="s">
        <v>621</v>
      </c>
      <c r="N288" s="2" t="s">
        <v>2345</v>
      </c>
      <c r="O288" s="2" t="s">
        <v>40</v>
      </c>
      <c r="P288" s="2" t="s">
        <v>43</v>
      </c>
      <c r="Q288" s="2" t="s">
        <v>53</v>
      </c>
      <c r="R288" s="2" t="s">
        <v>53</v>
      </c>
      <c r="S288" s="2" t="s">
        <v>43</v>
      </c>
      <c r="T288" s="2"/>
      <c r="U288" s="2" t="s">
        <v>43</v>
      </c>
      <c r="V288" s="2"/>
      <c r="W288" s="3"/>
      <c r="X288" s="2"/>
      <c r="Y288" s="2"/>
      <c r="Z288" s="2"/>
      <c r="AA288" s="2"/>
      <c r="AB288" s="2"/>
      <c r="AC288" s="2"/>
      <c r="AD288" s="2"/>
      <c r="AE288" s="2"/>
    </row>
    <row r="289" spans="1:31" ht="63.6">
      <c r="A289" s="2" t="s">
        <v>1362</v>
      </c>
      <c r="B289" s="2" t="s">
        <v>1363</v>
      </c>
      <c r="C289" s="2" t="str">
        <f>sheet13[[#This Row],[Nombre]]&amp;sheet13[[#This Row],[Bp Id]]</f>
        <v>Switch Banred - Tarjeta DébitoPAY0017</v>
      </c>
      <c r="D289" s="2" t="str">
        <f>VLOOKUP(sheet13[[#This Row],[Columna1]],Sheet2!C:S,4,FALSE)</f>
        <v>Retirado</v>
      </c>
      <c r="E289" s="2" t="s">
        <v>139</v>
      </c>
      <c r="F289" s="2" t="s">
        <v>47</v>
      </c>
      <c r="G289" s="2" t="s">
        <v>33</v>
      </c>
      <c r="H289" s="2" t="s">
        <v>140</v>
      </c>
      <c r="I289" s="2" t="s">
        <v>141</v>
      </c>
      <c r="J289" s="2" t="s">
        <v>142</v>
      </c>
      <c r="K289" s="2" t="s">
        <v>564</v>
      </c>
      <c r="L289" s="2" t="s">
        <v>565</v>
      </c>
      <c r="M289" s="2" t="s">
        <v>621</v>
      </c>
      <c r="N289" s="2" t="s">
        <v>2345</v>
      </c>
      <c r="O289" s="2" t="s">
        <v>40</v>
      </c>
      <c r="P289" s="2" t="s">
        <v>43</v>
      </c>
      <c r="Q289" s="2" t="s">
        <v>53</v>
      </c>
      <c r="R289" s="2" t="s">
        <v>53</v>
      </c>
      <c r="S289" s="2" t="s">
        <v>43</v>
      </c>
      <c r="T289" s="2"/>
      <c r="U289" s="2" t="s">
        <v>43</v>
      </c>
      <c r="V289" s="2"/>
      <c r="W289" s="3"/>
      <c r="X289" s="2"/>
      <c r="Y289" s="2"/>
      <c r="Z289" s="2"/>
      <c r="AA289" s="2"/>
      <c r="AB289" s="2"/>
      <c r="AC289" s="2"/>
      <c r="AD289" s="2"/>
      <c r="AE289" s="2"/>
    </row>
    <row r="290" spans="1:31" ht="63.6">
      <c r="A290" s="2" t="s">
        <v>1364</v>
      </c>
      <c r="B290" s="2" t="s">
        <v>1365</v>
      </c>
      <c r="C290" s="2" t="str">
        <f>sheet13[[#This Row],[Nombre]]&amp;sheet13[[#This Row],[Bp Id]]</f>
        <v>Switch Banred - Tarjeta PrepagoPAY0018</v>
      </c>
      <c r="D290" s="2" t="str">
        <f>VLOOKUP(sheet13[[#This Row],[Columna1]],Sheet2!C:S,4,FALSE)</f>
        <v>Retirado</v>
      </c>
      <c r="E290" s="2" t="s">
        <v>139</v>
      </c>
      <c r="F290" s="2" t="s">
        <v>47</v>
      </c>
      <c r="G290" s="2" t="s">
        <v>48</v>
      </c>
      <c r="H290" s="2" t="s">
        <v>140</v>
      </c>
      <c r="I290" s="2" t="s">
        <v>141</v>
      </c>
      <c r="J290" s="2" t="s">
        <v>142</v>
      </c>
      <c r="K290" s="2" t="s">
        <v>1366</v>
      </c>
      <c r="L290" s="2" t="s">
        <v>1367</v>
      </c>
      <c r="M290" s="2" t="s">
        <v>621</v>
      </c>
      <c r="N290" s="2" t="s">
        <v>2345</v>
      </c>
      <c r="O290" s="2" t="s">
        <v>40</v>
      </c>
      <c r="P290" s="2" t="s">
        <v>43</v>
      </c>
      <c r="Q290" s="2" t="s">
        <v>53</v>
      </c>
      <c r="R290" s="2" t="s">
        <v>53</v>
      </c>
      <c r="S290" s="2" t="s">
        <v>43</v>
      </c>
      <c r="T290" s="2"/>
      <c r="U290" s="2" t="s">
        <v>43</v>
      </c>
      <c r="V290" s="2"/>
      <c r="W290" s="3"/>
      <c r="X290" s="2"/>
      <c r="Y290" s="2"/>
      <c r="Z290" s="2"/>
      <c r="AA290" s="2"/>
      <c r="AB290" s="2"/>
      <c r="AC290" s="2"/>
      <c r="AD290" s="2"/>
      <c r="AE290" s="2"/>
    </row>
    <row r="291" spans="1:31" ht="251.1">
      <c r="A291" s="2" t="s">
        <v>1368</v>
      </c>
      <c r="B291" s="2" t="s">
        <v>1369</v>
      </c>
      <c r="C291" s="2" t="str">
        <f>sheet13[[#This Row],[Nombre]]&amp;sheet13[[#This Row],[Bp Id]]</f>
        <v>Switch BayteqINT0001</v>
      </c>
      <c r="D291" s="2" t="str">
        <f>VLOOKUP(sheet13[[#This Row],[Columna1]],Sheet2!C:S,4,FALSE)</f>
        <v>Operativo</v>
      </c>
      <c r="E291" s="2" t="s">
        <v>1370</v>
      </c>
      <c r="F291" s="2" t="s">
        <v>32</v>
      </c>
      <c r="G291" s="2" t="s">
        <v>76</v>
      </c>
      <c r="H291" s="2" t="s">
        <v>34</v>
      </c>
      <c r="I291" s="2" t="s">
        <v>116</v>
      </c>
      <c r="J291" s="2" t="s">
        <v>62</v>
      </c>
      <c r="K291" s="2" t="s">
        <v>555</v>
      </c>
      <c r="L291" s="2" t="s">
        <v>1174</v>
      </c>
      <c r="M291" s="2" t="s">
        <v>621</v>
      </c>
      <c r="N291" s="2" t="s">
        <v>2345</v>
      </c>
      <c r="O291" s="2" t="s">
        <v>40</v>
      </c>
      <c r="P291" s="2" t="s">
        <v>43</v>
      </c>
      <c r="Q291" s="2" t="s">
        <v>53</v>
      </c>
      <c r="R291" s="2" t="s">
        <v>53</v>
      </c>
      <c r="S291" s="2" t="s">
        <v>43</v>
      </c>
      <c r="T291" s="2"/>
      <c r="U291" s="2" t="s">
        <v>43</v>
      </c>
      <c r="V291" s="2"/>
      <c r="W291" s="3"/>
      <c r="X291" s="2"/>
      <c r="Y291" s="2"/>
      <c r="Z291" s="2"/>
      <c r="AA291" s="2"/>
      <c r="AB291" s="2"/>
      <c r="AC291" s="2"/>
      <c r="AD291" s="2"/>
      <c r="AE291" s="2"/>
    </row>
    <row r="292" spans="1:31" ht="409.6">
      <c r="A292" s="2" t="s">
        <v>1371</v>
      </c>
      <c r="B292" s="2" t="s">
        <v>1372</v>
      </c>
      <c r="C292" s="2" t="str">
        <f>sheet13[[#This Row],[Nombre]]&amp;sheet13[[#This Row],[Bp Id]]</f>
        <v>Switch NETManager CNBCHL0028</v>
      </c>
      <c r="D292" s="2" t="str">
        <f>VLOOKUP(sheet13[[#This Row],[Columna1]],Sheet2!C:S,4,FALSE)</f>
        <v>Operativo</v>
      </c>
      <c r="E292" s="2" t="s">
        <v>1373</v>
      </c>
      <c r="F292" s="2" t="s">
        <v>32</v>
      </c>
      <c r="G292" s="2" t="s">
        <v>33</v>
      </c>
      <c r="H292" s="2" t="s">
        <v>34</v>
      </c>
      <c r="I292" s="2" t="s">
        <v>35</v>
      </c>
      <c r="J292" s="2" t="s">
        <v>36</v>
      </c>
      <c r="K292" s="2" t="s">
        <v>1374</v>
      </c>
      <c r="L292" s="2" t="s">
        <v>382</v>
      </c>
      <c r="M292" s="2" t="s">
        <v>621</v>
      </c>
      <c r="N292" s="2" t="s">
        <v>2345</v>
      </c>
      <c r="O292" s="2" t="s">
        <v>40</v>
      </c>
      <c r="P292" s="2" t="s">
        <v>43</v>
      </c>
      <c r="Q292" s="2" t="s">
        <v>53</v>
      </c>
      <c r="R292" s="2" t="s">
        <v>53</v>
      </c>
      <c r="S292" s="2" t="s">
        <v>43</v>
      </c>
      <c r="T292" s="2"/>
      <c r="U292" s="2" t="s">
        <v>43</v>
      </c>
      <c r="V292" s="2"/>
      <c r="W292" s="3"/>
      <c r="X292" s="2"/>
      <c r="Y292" s="2"/>
      <c r="Z292" s="2"/>
      <c r="AA292" s="2"/>
      <c r="AB292" s="2"/>
      <c r="AC292" s="2"/>
      <c r="AD292" s="2"/>
      <c r="AE292" s="2"/>
    </row>
    <row r="293" spans="1:31" ht="409.6">
      <c r="A293" s="2" t="s">
        <v>1375</v>
      </c>
      <c r="B293" s="2" t="s">
        <v>1376</v>
      </c>
      <c r="C293" s="2" t="str">
        <f>sheet13[[#This Row],[Nombre]]&amp;sheet13[[#This Row],[Bp Id]]</f>
        <v>Switch NETManager Pago Directo / IESSPRD0029</v>
      </c>
      <c r="D293" s="2" t="str">
        <f>VLOOKUP(sheet13[[#This Row],[Columna1]],Sheet2!C:S,4,FALSE)</f>
        <v>Operativo</v>
      </c>
      <c r="E293" s="2" t="s">
        <v>1373</v>
      </c>
      <c r="F293" s="2" t="s">
        <v>32</v>
      </c>
      <c r="G293" s="2" t="s">
        <v>48</v>
      </c>
      <c r="H293" s="2" t="s">
        <v>34</v>
      </c>
      <c r="I293" s="2" t="s">
        <v>116</v>
      </c>
      <c r="J293" s="2" t="s">
        <v>62</v>
      </c>
      <c r="K293" s="2" t="s">
        <v>555</v>
      </c>
      <c r="L293" s="2" t="s">
        <v>1174</v>
      </c>
      <c r="M293" s="2" t="s">
        <v>621</v>
      </c>
      <c r="N293" s="2" t="s">
        <v>2345</v>
      </c>
      <c r="O293" s="2" t="s">
        <v>40</v>
      </c>
      <c r="P293" s="2" t="s">
        <v>43</v>
      </c>
      <c r="Q293" s="2" t="s">
        <v>53</v>
      </c>
      <c r="R293" s="2" t="s">
        <v>53</v>
      </c>
      <c r="S293" s="2" t="s">
        <v>43</v>
      </c>
      <c r="T293" s="2"/>
      <c r="U293" s="2" t="s">
        <v>43</v>
      </c>
      <c r="V293" s="2"/>
      <c r="W293" s="3"/>
      <c r="X293" s="2"/>
      <c r="Y293" s="2"/>
      <c r="Z293" s="2"/>
      <c r="AA293" s="2"/>
      <c r="AB293" s="2"/>
      <c r="AC293" s="2"/>
      <c r="AD293" s="2"/>
      <c r="AE293" s="2"/>
    </row>
    <row r="294" spans="1:31" ht="288.60000000000002">
      <c r="A294" s="2" t="s">
        <v>1377</v>
      </c>
      <c r="B294" s="2" t="s">
        <v>1378</v>
      </c>
      <c r="C294" s="2" t="str">
        <f>sheet13[[#This Row],[Nombre]]&amp;sheet13[[#This Row],[Bp Id]]</f>
        <v>Pichincha TokenPRD0026</v>
      </c>
      <c r="D294" s="2" t="str">
        <f>VLOOKUP(sheet13[[#This Row],[Columna1]],Sheet2!C:S,4,FALSE)</f>
        <v>Retirado</v>
      </c>
      <c r="E294" s="2" t="s">
        <v>1379</v>
      </c>
      <c r="F294" s="2" t="s">
        <v>47</v>
      </c>
      <c r="G294" s="2" t="s">
        <v>123</v>
      </c>
      <c r="H294" s="2" t="s">
        <v>59</v>
      </c>
      <c r="I294" s="2" t="s">
        <v>553</v>
      </c>
      <c r="J294" s="2" t="s">
        <v>554</v>
      </c>
      <c r="K294" s="2" t="s">
        <v>1380</v>
      </c>
      <c r="L294" s="2" t="s">
        <v>1381</v>
      </c>
      <c r="M294" s="2" t="s">
        <v>296</v>
      </c>
      <c r="N294" s="2" t="s">
        <v>2345</v>
      </c>
      <c r="O294" s="2" t="s">
        <v>40</v>
      </c>
      <c r="P294" s="2" t="s">
        <v>41</v>
      </c>
      <c r="Q294" s="2" t="s">
        <v>53</v>
      </c>
      <c r="R294" s="2" t="s">
        <v>53</v>
      </c>
      <c r="S294" s="2" t="s">
        <v>43</v>
      </c>
      <c r="T294" s="2"/>
      <c r="U294" s="2" t="s">
        <v>43</v>
      </c>
      <c r="V294" s="2"/>
      <c r="W294" s="3"/>
      <c r="X294" s="2"/>
      <c r="Y294" s="2"/>
      <c r="Z294" s="2"/>
      <c r="AA294" s="2"/>
      <c r="AB294" s="2"/>
      <c r="AC294" s="2"/>
      <c r="AD294" s="2"/>
      <c r="AE294" s="2"/>
    </row>
    <row r="295" spans="1:31" ht="138.6">
      <c r="A295" s="2" t="s">
        <v>1382</v>
      </c>
      <c r="B295" s="2" t="s">
        <v>1383</v>
      </c>
      <c r="C295" s="2" t="str">
        <f>sheet13[[#This Row],[Nombre]]&amp;sheet13[[#This Row],[Bp Id]]</f>
        <v>PichinchaDigitalCHL0036</v>
      </c>
      <c r="D295" s="2" t="str">
        <f>VLOOKUP(sheet13[[#This Row],[Columna1]],Sheet2!C:S,4,FALSE)</f>
        <v>Retirado</v>
      </c>
      <c r="E295" s="2" t="s">
        <v>1384</v>
      </c>
      <c r="F295" s="2" t="s">
        <v>47</v>
      </c>
      <c r="G295" s="2" t="s">
        <v>48</v>
      </c>
      <c r="H295" s="2" t="s">
        <v>59</v>
      </c>
      <c r="I295" s="2" t="s">
        <v>225</v>
      </c>
      <c r="J295" s="2" t="s">
        <v>226</v>
      </c>
      <c r="K295" s="2" t="s">
        <v>277</v>
      </c>
      <c r="L295" s="2" t="s">
        <v>1385</v>
      </c>
      <c r="M295" s="2" t="s">
        <v>39</v>
      </c>
      <c r="N295" s="2" t="s">
        <v>2345</v>
      </c>
      <c r="O295" s="2" t="s">
        <v>91</v>
      </c>
      <c r="P295" s="2" t="s">
        <v>43</v>
      </c>
      <c r="Q295" s="2" t="s">
        <v>53</v>
      </c>
      <c r="R295" s="2" t="s">
        <v>53</v>
      </c>
      <c r="S295" s="2" t="s">
        <v>43</v>
      </c>
      <c r="T295" s="2"/>
      <c r="U295" s="2" t="s">
        <v>43</v>
      </c>
      <c r="V295" s="2"/>
      <c r="W295" s="3"/>
      <c r="X295" s="2"/>
      <c r="Y295" s="2"/>
      <c r="Z295" s="2"/>
      <c r="AA295" s="2"/>
      <c r="AB295" s="2"/>
      <c r="AC295" s="2"/>
      <c r="AD295" s="2"/>
      <c r="AE295" s="2"/>
    </row>
    <row r="296" spans="1:31" ht="176.1">
      <c r="A296" s="2" t="s">
        <v>1386</v>
      </c>
      <c r="B296" s="2" t="s">
        <v>1387</v>
      </c>
      <c r="C296" s="2" t="str">
        <f>sheet13[[#This Row],[Nombre]]&amp;sheet13[[#This Row],[Bp Id]]</f>
        <v>PichinchaServiciosSUP0001</v>
      </c>
      <c r="D296" s="2" t="str">
        <f>VLOOKUP(sheet13[[#This Row],[Columna1]],Sheet2!C:S,4,FALSE)</f>
        <v>Retirado</v>
      </c>
      <c r="E296" s="2" t="s">
        <v>1388</v>
      </c>
      <c r="F296" s="2" t="s">
        <v>47</v>
      </c>
      <c r="G296" s="2" t="s">
        <v>48</v>
      </c>
      <c r="H296" s="2" t="s">
        <v>34</v>
      </c>
      <c r="I296" s="2" t="s">
        <v>2346</v>
      </c>
      <c r="J296" s="2" t="s">
        <v>571</v>
      </c>
      <c r="K296" s="2" t="s">
        <v>260</v>
      </c>
      <c r="L296" s="2" t="s">
        <v>108</v>
      </c>
      <c r="M296" s="2" t="s">
        <v>111</v>
      </c>
      <c r="N296" s="2" t="s">
        <v>2345</v>
      </c>
      <c r="O296" s="2" t="s">
        <v>40</v>
      </c>
      <c r="P296" s="2" t="s">
        <v>41</v>
      </c>
      <c r="Q296" s="2" t="s">
        <v>53</v>
      </c>
      <c r="R296" s="2" t="s">
        <v>53</v>
      </c>
      <c r="S296" s="2" t="s">
        <v>41</v>
      </c>
      <c r="T296" s="2"/>
      <c r="U296" s="2" t="s">
        <v>43</v>
      </c>
      <c r="V296" s="2"/>
      <c r="W296" s="3"/>
      <c r="X296" s="2"/>
      <c r="Y296" s="2"/>
      <c r="Z296" s="2"/>
      <c r="AA296" s="2"/>
      <c r="AB296" s="2"/>
      <c r="AC296" s="2"/>
      <c r="AD296" s="2"/>
      <c r="AE296" s="2"/>
    </row>
    <row r="297" spans="1:31" ht="75.95">
      <c r="A297" s="2" t="s">
        <v>1389</v>
      </c>
      <c r="B297" s="2" t="s">
        <v>1390</v>
      </c>
      <c r="C297" s="2" t="str">
        <f>sheet13[[#This Row],[Nombre]]&amp;sheet13[[#This Row],[Bp Id]]</f>
        <v>PichinchaVacantesSUP0015</v>
      </c>
      <c r="D297" s="2" t="str">
        <f>VLOOKUP(sheet13[[#This Row],[Columna1]],Sheet2!C:S,4,FALSE)</f>
        <v>Retirado</v>
      </c>
      <c r="E297" s="2" t="s">
        <v>1391</v>
      </c>
      <c r="F297" s="2" t="s">
        <v>47</v>
      </c>
      <c r="G297" s="2" t="s">
        <v>48</v>
      </c>
      <c r="H297" s="2" t="s">
        <v>59</v>
      </c>
      <c r="I297" s="2" t="s">
        <v>225</v>
      </c>
      <c r="J297" s="2" t="s">
        <v>226</v>
      </c>
      <c r="K297" s="2" t="s">
        <v>300</v>
      </c>
      <c r="L297" s="2" t="s">
        <v>1392</v>
      </c>
      <c r="M297" s="2" t="s">
        <v>63</v>
      </c>
      <c r="N297" s="2" t="s">
        <v>2345</v>
      </c>
      <c r="O297" s="2" t="s">
        <v>40</v>
      </c>
      <c r="P297" s="2" t="s">
        <v>43</v>
      </c>
      <c r="Q297" s="2" t="s">
        <v>53</v>
      </c>
      <c r="R297" s="2" t="s">
        <v>53</v>
      </c>
      <c r="S297" s="2" t="s">
        <v>43</v>
      </c>
      <c r="T297" s="2"/>
      <c r="U297" s="2" t="s">
        <v>43</v>
      </c>
      <c r="V297" s="2"/>
      <c r="W297" s="3"/>
      <c r="X297" s="2"/>
      <c r="Y297" s="2"/>
      <c r="Z297" s="2"/>
      <c r="AA297" s="2"/>
      <c r="AB297" s="2"/>
      <c r="AC297" s="2"/>
      <c r="AD297" s="2"/>
      <c r="AE297" s="2"/>
    </row>
    <row r="298" spans="1:31" ht="163.5">
      <c r="A298" s="2" t="s">
        <v>1393</v>
      </c>
      <c r="B298" s="2" t="s">
        <v>1394</v>
      </c>
      <c r="C298" s="2" t="str">
        <f>sheet13[[#This Row],[Nombre]]&amp;sheet13[[#This Row],[Bp Id]]</f>
        <v>PinPadCHL0020</v>
      </c>
      <c r="D298" s="2" t="str">
        <f>VLOOKUP(sheet13[[#This Row],[Columna1]],Sheet2!C:S,4,FALSE)</f>
        <v>Operativo</v>
      </c>
      <c r="E298" s="2" t="s">
        <v>1395</v>
      </c>
      <c r="F298" s="2" t="s">
        <v>32</v>
      </c>
      <c r="G298" s="2" t="s">
        <v>48</v>
      </c>
      <c r="H298" s="2" t="s">
        <v>34</v>
      </c>
      <c r="I298" s="2" t="s">
        <v>35</v>
      </c>
      <c r="J298" s="2" t="s">
        <v>349</v>
      </c>
      <c r="K298" s="2" t="s">
        <v>37</v>
      </c>
      <c r="L298" s="2" t="s">
        <v>38</v>
      </c>
      <c r="M298" s="2" t="s">
        <v>39</v>
      </c>
      <c r="N298" s="2" t="s">
        <v>2343</v>
      </c>
      <c r="O298" s="2" t="s">
        <v>40</v>
      </c>
      <c r="P298" s="2" t="s">
        <v>41</v>
      </c>
      <c r="Q298" s="2" t="s">
        <v>53</v>
      </c>
      <c r="R298" s="2" t="s">
        <v>53</v>
      </c>
      <c r="S298" s="2" t="s">
        <v>41</v>
      </c>
      <c r="T298" s="2"/>
      <c r="U298" s="2" t="s">
        <v>41</v>
      </c>
      <c r="V298" s="2"/>
      <c r="W298" s="3">
        <v>45199</v>
      </c>
      <c r="X298" s="2" t="s">
        <v>1396</v>
      </c>
      <c r="Y298" s="2" t="s">
        <v>262</v>
      </c>
      <c r="Z298" s="2" t="s">
        <v>626</v>
      </c>
      <c r="AA298" s="2" t="s">
        <v>311</v>
      </c>
      <c r="AB298" s="2" t="s">
        <v>311</v>
      </c>
      <c r="AC298" s="2" t="s">
        <v>1175</v>
      </c>
      <c r="AD298" s="2" t="s">
        <v>415</v>
      </c>
      <c r="AE298" s="2" t="s">
        <v>1397</v>
      </c>
    </row>
    <row r="299" spans="1:31" ht="288.60000000000002">
      <c r="A299" s="2" t="s">
        <v>1398</v>
      </c>
      <c r="B299" s="2" t="s">
        <v>1399</v>
      </c>
      <c r="C299" s="2" t="str">
        <f>sheet13[[#This Row],[Nombre]]&amp;sheet13[[#This Row],[Bp Id]]</f>
        <v>Plataforma de Pagos RippleNetPRD0035</v>
      </c>
      <c r="D299" s="2" t="str">
        <f>VLOOKUP(sheet13[[#This Row],[Columna1]],Sheet2!C:S,4,FALSE)</f>
        <v>Retirado</v>
      </c>
      <c r="E299" s="2" t="s">
        <v>1400</v>
      </c>
      <c r="F299" s="2" t="s">
        <v>47</v>
      </c>
      <c r="G299" s="2" t="s">
        <v>76</v>
      </c>
      <c r="H299" s="2" t="s">
        <v>34</v>
      </c>
      <c r="I299" s="2" t="s">
        <v>141</v>
      </c>
      <c r="J299" s="2" t="s">
        <v>142</v>
      </c>
      <c r="K299" s="2" t="s">
        <v>142</v>
      </c>
      <c r="L299" s="2" t="s">
        <v>160</v>
      </c>
      <c r="M299" s="2" t="s">
        <v>39</v>
      </c>
      <c r="N299" s="2" t="s">
        <v>2345</v>
      </c>
      <c r="O299" s="2" t="s">
        <v>91</v>
      </c>
      <c r="P299" s="2" t="s">
        <v>41</v>
      </c>
      <c r="Q299" s="2" t="s">
        <v>53</v>
      </c>
      <c r="R299" s="2" t="s">
        <v>53</v>
      </c>
      <c r="S299" s="2" t="s">
        <v>43</v>
      </c>
      <c r="T299" s="2"/>
      <c r="U299" s="2" t="s">
        <v>43</v>
      </c>
      <c r="V299" s="2"/>
      <c r="W299" s="3"/>
      <c r="X299" s="2"/>
      <c r="Y299" s="2"/>
      <c r="Z299" s="2"/>
      <c r="AA299" s="2"/>
      <c r="AB299" s="2"/>
      <c r="AC299" s="2"/>
      <c r="AD299" s="2"/>
      <c r="AE299" s="2"/>
    </row>
    <row r="300" spans="1:31" ht="51">
      <c r="A300" s="2" t="s">
        <v>1401</v>
      </c>
      <c r="B300" s="2" t="s">
        <v>1402</v>
      </c>
      <c r="C300" s="2" t="str">
        <f>sheet13[[#This Row],[Nombre]]&amp;sheet13[[#This Row],[Bp Id]]</f>
        <v>Polaris CloudCHL0021</v>
      </c>
      <c r="D300" s="2" t="str">
        <f>VLOOKUP(sheet13[[#This Row],[Columna1]],Sheet2!C:S,4,FALSE)</f>
        <v>Operativo</v>
      </c>
      <c r="E300" s="2" t="s">
        <v>139</v>
      </c>
      <c r="F300" s="2" t="s">
        <v>32</v>
      </c>
      <c r="G300" s="2" t="s">
        <v>48</v>
      </c>
      <c r="H300" s="2" t="s">
        <v>59</v>
      </c>
      <c r="I300" s="2" t="s">
        <v>35</v>
      </c>
      <c r="J300" s="2" t="s">
        <v>36</v>
      </c>
      <c r="K300" s="2" t="s">
        <v>1374</v>
      </c>
      <c r="L300" s="2" t="s">
        <v>382</v>
      </c>
      <c r="M300" s="2" t="s">
        <v>52</v>
      </c>
      <c r="N300" s="2" t="s">
        <v>2343</v>
      </c>
      <c r="O300" s="2" t="s">
        <v>40</v>
      </c>
      <c r="P300" s="2" t="s">
        <v>41</v>
      </c>
      <c r="Q300" s="2" t="s">
        <v>53</v>
      </c>
      <c r="R300" s="2" t="s">
        <v>53</v>
      </c>
      <c r="S300" s="2" t="s">
        <v>43</v>
      </c>
      <c r="T300" s="2" t="s">
        <v>2344</v>
      </c>
      <c r="U300" s="2" t="s">
        <v>43</v>
      </c>
      <c r="V300" s="2"/>
      <c r="W300" s="3"/>
      <c r="X300" s="2"/>
      <c r="Y300" s="2"/>
      <c r="Z300" s="2"/>
      <c r="AA300" s="2"/>
      <c r="AB300" s="2"/>
      <c r="AC300" s="2"/>
      <c r="AD300" s="2"/>
      <c r="AE300" s="2"/>
    </row>
    <row r="301" spans="1:31" ht="63.6">
      <c r="A301" s="2" t="s">
        <v>1403</v>
      </c>
      <c r="B301" s="2" t="s">
        <v>1404</v>
      </c>
      <c r="C301" s="2" t="str">
        <f>sheet13[[#This Row],[Nombre]]&amp;sheet13[[#This Row],[Bp Id]]</f>
        <v>Portal APIsINT0015</v>
      </c>
      <c r="D301" s="2" t="str">
        <f>VLOOKUP(sheet13[[#This Row],[Columna1]],Sheet2!C:S,4,FALSE)</f>
        <v>Retirado</v>
      </c>
      <c r="E301" s="2" t="s">
        <v>432</v>
      </c>
      <c r="F301" s="2" t="s">
        <v>47</v>
      </c>
      <c r="G301" s="2" t="s">
        <v>48</v>
      </c>
      <c r="H301" s="2" t="s">
        <v>59</v>
      </c>
      <c r="I301" s="2" t="s">
        <v>921</v>
      </c>
      <c r="J301" s="2" t="s">
        <v>50</v>
      </c>
      <c r="K301" s="2" t="s">
        <v>340</v>
      </c>
      <c r="L301" s="2" t="s">
        <v>473</v>
      </c>
      <c r="M301" s="2" t="s">
        <v>63</v>
      </c>
      <c r="N301" s="2" t="s">
        <v>2345</v>
      </c>
      <c r="O301" s="2" t="s">
        <v>40</v>
      </c>
      <c r="P301" s="2" t="s">
        <v>43</v>
      </c>
      <c r="Q301" s="2" t="s">
        <v>64</v>
      </c>
      <c r="R301" s="2" t="s">
        <v>64</v>
      </c>
      <c r="S301" s="2" t="s">
        <v>43</v>
      </c>
      <c r="T301" s="2"/>
      <c r="U301" s="2" t="s">
        <v>43</v>
      </c>
      <c r="V301" s="2"/>
      <c r="W301" s="3"/>
      <c r="X301" s="2"/>
      <c r="Y301" s="2"/>
      <c r="Z301" s="2"/>
      <c r="AA301" s="2"/>
      <c r="AB301" s="2"/>
      <c r="AC301" s="2"/>
      <c r="AD301" s="2"/>
      <c r="AE301" s="2"/>
    </row>
    <row r="302" spans="1:31" ht="75.95">
      <c r="A302" s="2" t="s">
        <v>1405</v>
      </c>
      <c r="B302" s="2" t="s">
        <v>1406</v>
      </c>
      <c r="C302" s="2" t="str">
        <f>sheet13[[#This Row],[Nombre]]&amp;sheet13[[#This Row],[Bp Id]]</f>
        <v>Portal de Gestión Formiik - MicrofinanzasPRD0054</v>
      </c>
      <c r="D302" s="2" t="str">
        <f>VLOOKUP(sheet13[[#This Row],[Columna1]],Sheet2!C:S,4,FALSE)</f>
        <v>Operativo</v>
      </c>
      <c r="E302" s="2" t="s">
        <v>139</v>
      </c>
      <c r="F302" s="2" t="s">
        <v>32</v>
      </c>
      <c r="G302" s="2" t="s">
        <v>48</v>
      </c>
      <c r="H302" s="2" t="s">
        <v>59</v>
      </c>
      <c r="I302" s="2" t="s">
        <v>309</v>
      </c>
      <c r="J302" s="2" t="s">
        <v>96</v>
      </c>
      <c r="K302" s="2" t="s">
        <v>315</v>
      </c>
      <c r="L302" s="2" t="s">
        <v>316</v>
      </c>
      <c r="M302" s="2" t="s">
        <v>39</v>
      </c>
      <c r="N302" s="2" t="s">
        <v>2343</v>
      </c>
      <c r="O302" s="2" t="s">
        <v>40</v>
      </c>
      <c r="P302" s="2" t="s">
        <v>41</v>
      </c>
      <c r="Q302" s="2" t="s">
        <v>42</v>
      </c>
      <c r="R302" s="2" t="s">
        <v>42</v>
      </c>
      <c r="S302" s="2" t="s">
        <v>41</v>
      </c>
      <c r="T302" s="2" t="s">
        <v>2344</v>
      </c>
      <c r="U302" s="2" t="s">
        <v>43</v>
      </c>
      <c r="V302" s="2"/>
      <c r="W302" s="3"/>
      <c r="X302" s="2"/>
      <c r="Y302" s="2"/>
      <c r="Z302" s="2"/>
      <c r="AA302" s="2"/>
      <c r="AB302" s="2"/>
      <c r="AC302" s="2"/>
      <c r="AD302" s="2"/>
      <c r="AE302" s="2"/>
    </row>
    <row r="303" spans="1:31" ht="409.6">
      <c r="A303" s="2" t="s">
        <v>1407</v>
      </c>
      <c r="B303" s="2" t="s">
        <v>1408</v>
      </c>
      <c r="C303" s="2" t="str">
        <f>sheet13[[#This Row],[Nombre]]&amp;sheet13[[#This Row],[Bp Id]]</f>
        <v>Portal de Verificacion MicrofinanzasPRD0055</v>
      </c>
      <c r="D303" s="2" t="str">
        <f>VLOOKUP(sheet13[[#This Row],[Columna1]],Sheet2!C:S,4,FALSE)</f>
        <v>Operativo</v>
      </c>
      <c r="E303" s="2" t="s">
        <v>1409</v>
      </c>
      <c r="F303" s="2" t="s">
        <v>32</v>
      </c>
      <c r="G303" s="2" t="s">
        <v>48</v>
      </c>
      <c r="H303" s="2" t="s">
        <v>59</v>
      </c>
      <c r="I303" s="2" t="s">
        <v>309</v>
      </c>
      <c r="J303" s="2" t="s">
        <v>96</v>
      </c>
      <c r="K303" s="2" t="s">
        <v>315</v>
      </c>
      <c r="L303" s="2" t="s">
        <v>316</v>
      </c>
      <c r="M303" s="2" t="s">
        <v>39</v>
      </c>
      <c r="N303" s="2" t="s">
        <v>2343</v>
      </c>
      <c r="O303" s="2" t="s">
        <v>40</v>
      </c>
      <c r="P303" s="2" t="s">
        <v>43</v>
      </c>
      <c r="Q303" s="2" t="s">
        <v>53</v>
      </c>
      <c r="R303" s="2" t="s">
        <v>53</v>
      </c>
      <c r="S303" s="2" t="s">
        <v>43</v>
      </c>
      <c r="T303" s="2" t="s">
        <v>2344</v>
      </c>
      <c r="U303" s="2" t="s">
        <v>43</v>
      </c>
      <c r="V303" s="2" t="s">
        <v>1410</v>
      </c>
      <c r="W303" s="3">
        <v>46092</v>
      </c>
      <c r="X303" s="2" t="s">
        <v>1411</v>
      </c>
      <c r="Y303" s="2"/>
      <c r="Z303" s="2"/>
      <c r="AA303" s="2"/>
      <c r="AB303" s="2"/>
      <c r="AC303" s="2" t="s">
        <v>1252</v>
      </c>
      <c r="AD303" s="2"/>
      <c r="AE303" s="2"/>
    </row>
    <row r="304" spans="1:31" ht="138.6">
      <c r="A304" s="2" t="s">
        <v>1412</v>
      </c>
      <c r="B304" s="2" t="s">
        <v>1413</v>
      </c>
      <c r="C304" s="2" t="str">
        <f>sheet13[[#This Row],[Nombre]]&amp;sheet13[[#This Row],[Bp Id]]</f>
        <v>Portal Informativo PichinchaCHL0022</v>
      </c>
      <c r="D304" s="2" t="str">
        <f>VLOOKUP(sheet13[[#This Row],[Columna1]],Sheet2!C:S,4,FALSE)</f>
        <v>Operativo</v>
      </c>
      <c r="E304" s="2" t="s">
        <v>1414</v>
      </c>
      <c r="F304" s="2" t="s">
        <v>32</v>
      </c>
      <c r="G304" s="2" t="s">
        <v>48</v>
      </c>
      <c r="H304" s="2" t="s">
        <v>59</v>
      </c>
      <c r="I304" s="2" t="s">
        <v>35</v>
      </c>
      <c r="J304" s="2" t="s">
        <v>394</v>
      </c>
      <c r="K304" s="2" t="s">
        <v>1415</v>
      </c>
      <c r="L304" s="2" t="s">
        <v>680</v>
      </c>
      <c r="M304" s="2" t="s">
        <v>63</v>
      </c>
      <c r="N304" s="2" t="s">
        <v>2343</v>
      </c>
      <c r="O304" s="2" t="s">
        <v>40</v>
      </c>
      <c r="P304" s="2" t="s">
        <v>41</v>
      </c>
      <c r="Q304" s="2" t="s">
        <v>53</v>
      </c>
      <c r="R304" s="2" t="s">
        <v>53</v>
      </c>
      <c r="S304" s="2" t="s">
        <v>43</v>
      </c>
      <c r="T304" s="2" t="s">
        <v>2344</v>
      </c>
      <c r="U304" s="2" t="s">
        <v>43</v>
      </c>
      <c r="V304" s="2"/>
      <c r="W304" s="3"/>
      <c r="X304" s="2"/>
      <c r="Y304" s="2"/>
      <c r="Z304" s="2"/>
      <c r="AA304" s="2"/>
      <c r="AB304" s="2"/>
      <c r="AC304" s="2"/>
      <c r="AD304" s="2"/>
      <c r="AE304" s="2"/>
    </row>
    <row r="305" spans="1:31" ht="409.6">
      <c r="A305" s="2" t="s">
        <v>1416</v>
      </c>
      <c r="B305" s="2" t="s">
        <v>1417</v>
      </c>
      <c r="C305" s="2" t="str">
        <f>sheet13[[#This Row],[Nombre]]&amp;sheet13[[#This Row],[Bp Id]]</f>
        <v>POS_CNBCHL0023</v>
      </c>
      <c r="D305" s="2" t="str">
        <f>VLOOKUP(sheet13[[#This Row],[Columna1]],Sheet2!C:S,4,FALSE)</f>
        <v>Operativo</v>
      </c>
      <c r="E305" s="2" t="s">
        <v>1418</v>
      </c>
      <c r="F305" s="2" t="s">
        <v>32</v>
      </c>
      <c r="G305" s="2" t="s">
        <v>48</v>
      </c>
      <c r="H305" s="2" t="s">
        <v>140</v>
      </c>
      <c r="I305" s="2" t="s">
        <v>35</v>
      </c>
      <c r="J305" s="2" t="s">
        <v>36</v>
      </c>
      <c r="K305" s="2" t="s">
        <v>1374</v>
      </c>
      <c r="L305" s="2" t="s">
        <v>382</v>
      </c>
      <c r="M305" s="2" t="s">
        <v>39</v>
      </c>
      <c r="N305" s="2" t="s">
        <v>2343</v>
      </c>
      <c r="O305" s="2" t="s">
        <v>40</v>
      </c>
      <c r="P305" s="2" t="s">
        <v>41</v>
      </c>
      <c r="Q305" s="2" t="s">
        <v>53</v>
      </c>
      <c r="R305" s="2" t="s">
        <v>53</v>
      </c>
      <c r="S305" s="2" t="s">
        <v>41</v>
      </c>
      <c r="T305" s="2"/>
      <c r="U305" s="2" t="s">
        <v>41</v>
      </c>
      <c r="V305" s="2" t="s">
        <v>119</v>
      </c>
      <c r="W305" s="3">
        <v>45199</v>
      </c>
      <c r="X305" s="2"/>
      <c r="Y305" s="2"/>
      <c r="Z305" s="2"/>
      <c r="AA305" s="2"/>
      <c r="AB305" s="2"/>
      <c r="AC305" s="2"/>
      <c r="AD305" s="2"/>
      <c r="AE305" s="2"/>
    </row>
    <row r="306" spans="1:31" ht="51">
      <c r="A306" s="2" t="s">
        <v>1419</v>
      </c>
      <c r="B306" s="2" t="s">
        <v>1420</v>
      </c>
      <c r="C306" s="2" t="str">
        <f>sheet13[[#This Row],[Nombre]]&amp;sheet13[[#This Row],[Bp Id]]</f>
        <v>Power AppTIE0010</v>
      </c>
      <c r="D306" s="2" t="str">
        <f>VLOOKUP(sheet13[[#This Row],[Columna1]],Sheet2!C:S,4,FALSE)</f>
        <v>Retirado</v>
      </c>
      <c r="E306" s="2" t="s">
        <v>139</v>
      </c>
      <c r="F306" s="2" t="s">
        <v>47</v>
      </c>
      <c r="G306" s="2" t="s">
        <v>48</v>
      </c>
      <c r="H306" s="2" t="s">
        <v>59</v>
      </c>
      <c r="I306" s="2" t="s">
        <v>487</v>
      </c>
      <c r="J306" s="2" t="s">
        <v>488</v>
      </c>
      <c r="K306" s="2" t="s">
        <v>508</v>
      </c>
      <c r="L306" s="2" t="s">
        <v>509</v>
      </c>
      <c r="M306" s="2" t="s">
        <v>63</v>
      </c>
      <c r="N306" s="2" t="s">
        <v>2345</v>
      </c>
      <c r="O306" s="2" t="s">
        <v>40</v>
      </c>
      <c r="P306" s="2" t="s">
        <v>41</v>
      </c>
      <c r="Q306" s="2" t="s">
        <v>64</v>
      </c>
      <c r="R306" s="2" t="s">
        <v>64</v>
      </c>
      <c r="S306" s="2" t="s">
        <v>43</v>
      </c>
      <c r="T306" s="2"/>
      <c r="U306" s="2" t="s">
        <v>43</v>
      </c>
      <c r="V306" s="2"/>
      <c r="W306" s="3"/>
      <c r="X306" s="2"/>
      <c r="Y306" s="2"/>
      <c r="Z306" s="2"/>
      <c r="AA306" s="2"/>
      <c r="AB306" s="2"/>
      <c r="AC306" s="2"/>
      <c r="AD306" s="2"/>
      <c r="AE306" s="2"/>
    </row>
    <row r="307" spans="1:31" ht="51">
      <c r="A307" s="2" t="s">
        <v>1421</v>
      </c>
      <c r="B307" s="2" t="s">
        <v>1422</v>
      </c>
      <c r="C307" s="2" t="str">
        <f>sheet13[[#This Row],[Nombre]]&amp;sheet13[[#This Row],[Bp Id]]</f>
        <v>Power AutomateTIE0011</v>
      </c>
      <c r="D307" s="2" t="str">
        <f>VLOOKUP(sheet13[[#This Row],[Columna1]],Sheet2!C:S,4,FALSE)</f>
        <v>Retirado</v>
      </c>
      <c r="E307" s="2" t="s">
        <v>139</v>
      </c>
      <c r="F307" s="2" t="s">
        <v>47</v>
      </c>
      <c r="G307" s="2" t="s">
        <v>48</v>
      </c>
      <c r="H307" s="2" t="s">
        <v>59</v>
      </c>
      <c r="I307" s="2" t="s">
        <v>487</v>
      </c>
      <c r="J307" s="2" t="s">
        <v>488</v>
      </c>
      <c r="K307" s="2" t="s">
        <v>508</v>
      </c>
      <c r="L307" s="2" t="s">
        <v>509</v>
      </c>
      <c r="M307" s="2" t="s">
        <v>63</v>
      </c>
      <c r="N307" s="2" t="s">
        <v>2345</v>
      </c>
      <c r="O307" s="2" t="s">
        <v>40</v>
      </c>
      <c r="P307" s="2" t="s">
        <v>43</v>
      </c>
      <c r="Q307" s="2" t="s">
        <v>64</v>
      </c>
      <c r="R307" s="2" t="s">
        <v>64</v>
      </c>
      <c r="S307" s="2" t="s">
        <v>43</v>
      </c>
      <c r="T307" s="2"/>
      <c r="U307" s="2" t="s">
        <v>43</v>
      </c>
      <c r="V307" s="2"/>
      <c r="W307" s="3"/>
      <c r="X307" s="2"/>
      <c r="Y307" s="2"/>
      <c r="Z307" s="2"/>
      <c r="AA307" s="2"/>
      <c r="AB307" s="2"/>
      <c r="AC307" s="2"/>
      <c r="AD307" s="2"/>
      <c r="AE307" s="2"/>
    </row>
    <row r="308" spans="1:31" ht="263.45">
      <c r="A308" s="2" t="s">
        <v>1423</v>
      </c>
      <c r="B308" s="2" t="s">
        <v>1424</v>
      </c>
      <c r="C308" s="2" t="str">
        <f>sheet13[[#This Row],[Nombre]]&amp;sheet13[[#This Row],[Bp Id]]</f>
        <v>Power BIDAT0007</v>
      </c>
      <c r="D308" s="2" t="str">
        <f>VLOOKUP(sheet13[[#This Row],[Columna1]],Sheet2!C:S,4,FALSE)</f>
        <v>Retirado</v>
      </c>
      <c r="E308" s="2" t="s">
        <v>1425</v>
      </c>
      <c r="F308" s="2" t="s">
        <v>47</v>
      </c>
      <c r="G308" s="2" t="s">
        <v>58</v>
      </c>
      <c r="H308" s="2" t="s">
        <v>59</v>
      </c>
      <c r="I308" s="2" t="s">
        <v>328</v>
      </c>
      <c r="J308" s="2" t="s">
        <v>329</v>
      </c>
      <c r="K308" s="2" t="s">
        <v>646</v>
      </c>
      <c r="L308" s="2" t="s">
        <v>1426</v>
      </c>
      <c r="M308" s="2" t="s">
        <v>63</v>
      </c>
      <c r="N308" s="2" t="s">
        <v>2345</v>
      </c>
      <c r="O308" s="2" t="s">
        <v>40</v>
      </c>
      <c r="P308" s="2" t="s">
        <v>41</v>
      </c>
      <c r="Q308" s="2" t="s">
        <v>64</v>
      </c>
      <c r="R308" s="2" t="s">
        <v>64</v>
      </c>
      <c r="S308" s="2" t="s">
        <v>43</v>
      </c>
      <c r="T308" s="2"/>
      <c r="U308" s="2" t="s">
        <v>43</v>
      </c>
      <c r="V308" s="2"/>
      <c r="W308" s="3"/>
      <c r="X308" s="2"/>
      <c r="Y308" s="2"/>
      <c r="Z308" s="2"/>
      <c r="AA308" s="2"/>
      <c r="AB308" s="2"/>
      <c r="AC308" s="2"/>
      <c r="AD308" s="2"/>
      <c r="AE308" s="2"/>
    </row>
    <row r="309" spans="1:31" ht="213.6">
      <c r="A309" s="2" t="s">
        <v>1427</v>
      </c>
      <c r="B309" s="2" t="s">
        <v>1428</v>
      </c>
      <c r="C309" s="2" t="str">
        <f>sheet13[[#This Row],[Nombre]]&amp;sheet13[[#This Row],[Bp Id]]</f>
        <v>PPM Pichincha MilesCUS0016</v>
      </c>
      <c r="D309" s="2" t="str">
        <f>VLOOKUP(sheet13[[#This Row],[Columna1]],Sheet2!C:S,4,FALSE)</f>
        <v>Operativo</v>
      </c>
      <c r="E309" s="2" t="s">
        <v>1429</v>
      </c>
      <c r="F309" s="2" t="s">
        <v>32</v>
      </c>
      <c r="G309" s="2" t="s">
        <v>48</v>
      </c>
      <c r="H309" s="2" t="s">
        <v>140</v>
      </c>
      <c r="I309" s="2" t="s">
        <v>141</v>
      </c>
      <c r="J309" s="2" t="s">
        <v>142</v>
      </c>
      <c r="K309" s="2" t="s">
        <v>1430</v>
      </c>
      <c r="L309" s="2" t="s">
        <v>142</v>
      </c>
      <c r="M309" s="2" t="s">
        <v>39</v>
      </c>
      <c r="N309" s="2" t="s">
        <v>2345</v>
      </c>
      <c r="O309" s="2" t="s">
        <v>91</v>
      </c>
      <c r="P309" s="2" t="s">
        <v>41</v>
      </c>
      <c r="Q309" s="2" t="s">
        <v>53</v>
      </c>
      <c r="R309" s="2" t="s">
        <v>53</v>
      </c>
      <c r="S309" s="2" t="s">
        <v>43</v>
      </c>
      <c r="T309" s="2"/>
      <c r="U309" s="2" t="s">
        <v>43</v>
      </c>
      <c r="V309" s="2"/>
      <c r="W309" s="3"/>
      <c r="X309" s="2"/>
      <c r="Y309" s="2"/>
      <c r="Z309" s="2"/>
      <c r="AA309" s="2"/>
      <c r="AB309" s="2"/>
      <c r="AC309" s="2"/>
      <c r="AD309" s="2"/>
      <c r="AE309" s="2"/>
    </row>
    <row r="310" spans="1:31" ht="101.1">
      <c r="A310" s="2" t="s">
        <v>1432</v>
      </c>
      <c r="B310" s="2" t="s">
        <v>1433</v>
      </c>
      <c r="C310" s="2" t="str">
        <f>sheet13[[#This Row],[Nombre]]&amp;sheet13[[#This Row],[Bp Id]]</f>
        <v>Preguntas de ValidaciónSEC0077</v>
      </c>
      <c r="D310" s="2" t="str">
        <f>VLOOKUP(sheet13[[#This Row],[Columna1]],Sheet2!C:S,4,FALSE)</f>
        <v>Operativo</v>
      </c>
      <c r="E310" s="2" t="s">
        <v>1434</v>
      </c>
      <c r="F310" s="2" t="s">
        <v>32</v>
      </c>
      <c r="G310" s="2" t="s">
        <v>48</v>
      </c>
      <c r="H310" s="2" t="s">
        <v>59</v>
      </c>
      <c r="I310" s="2" t="s">
        <v>258</v>
      </c>
      <c r="J310" s="2" t="s">
        <v>658</v>
      </c>
      <c r="K310" s="2" t="s">
        <v>658</v>
      </c>
      <c r="L310" s="2" t="s">
        <v>1435</v>
      </c>
      <c r="M310" s="2" t="s">
        <v>39</v>
      </c>
      <c r="N310" s="2" t="s">
        <v>2343</v>
      </c>
      <c r="O310" s="2" t="s">
        <v>40</v>
      </c>
      <c r="P310" s="2" t="s">
        <v>43</v>
      </c>
      <c r="Q310" s="2" t="s">
        <v>64</v>
      </c>
      <c r="R310" s="2" t="s">
        <v>53</v>
      </c>
      <c r="S310" s="2" t="s">
        <v>43</v>
      </c>
      <c r="T310" s="2" t="s">
        <v>2344</v>
      </c>
      <c r="U310" s="2" t="s">
        <v>43</v>
      </c>
      <c r="V310" s="2"/>
      <c r="W310" s="3"/>
      <c r="X310" s="2"/>
      <c r="Y310" s="2"/>
      <c r="Z310" s="2"/>
      <c r="AA310" s="2"/>
      <c r="AB310" s="2"/>
      <c r="AC310" s="2"/>
      <c r="AD310" s="2"/>
      <c r="AE310" s="2"/>
    </row>
    <row r="311" spans="1:31" ht="88.5">
      <c r="A311" s="2" t="s">
        <v>1436</v>
      </c>
      <c r="B311" s="2" t="s">
        <v>1437</v>
      </c>
      <c r="C311" s="2" t="str">
        <f>sheet13[[#This Row],[Nombre]]&amp;sheet13[[#This Row],[Bp Id]]</f>
        <v>Nutanix Prism CentralITM0045</v>
      </c>
      <c r="D311" s="2" t="str">
        <f>VLOOKUP(sheet13[[#This Row],[Columna1]],Sheet2!C:S,4,FALSE)</f>
        <v>Operativo</v>
      </c>
      <c r="E311" s="2" t="s">
        <v>1438</v>
      </c>
      <c r="F311" s="2" t="s">
        <v>32</v>
      </c>
      <c r="G311" s="2" t="s">
        <v>58</v>
      </c>
      <c r="H311" s="2" t="s">
        <v>34</v>
      </c>
      <c r="I311" s="2" t="s">
        <v>68</v>
      </c>
      <c r="J311" s="2" t="s">
        <v>69</v>
      </c>
      <c r="K311" s="2" t="s">
        <v>82</v>
      </c>
      <c r="L311" s="2" t="s">
        <v>1147</v>
      </c>
      <c r="M311" s="2" t="s">
        <v>111</v>
      </c>
      <c r="N311" s="2" t="s">
        <v>2343</v>
      </c>
      <c r="O311" s="2" t="s">
        <v>40</v>
      </c>
      <c r="P311" s="2" t="s">
        <v>41</v>
      </c>
      <c r="Q311" s="2" t="s">
        <v>42</v>
      </c>
      <c r="R311" s="2" t="s">
        <v>53</v>
      </c>
      <c r="S311" s="2" t="s">
        <v>41</v>
      </c>
      <c r="T311" s="2"/>
      <c r="U311" s="2" t="s">
        <v>41</v>
      </c>
      <c r="V311" s="2"/>
      <c r="W311" s="3">
        <v>46203</v>
      </c>
      <c r="X311" s="2"/>
      <c r="Y311" s="2"/>
      <c r="Z311" s="2"/>
      <c r="AA311" s="2"/>
      <c r="AB311" s="2"/>
      <c r="AC311" s="2"/>
      <c r="AD311" s="2"/>
      <c r="AE311" s="2"/>
    </row>
    <row r="312" spans="1:31" ht="75.95">
      <c r="A312" s="2" t="s">
        <v>1439</v>
      </c>
      <c r="B312" s="2" t="s">
        <v>1440</v>
      </c>
      <c r="C312" s="2" t="str">
        <f>sheet13[[#This Row],[Nombre]]&amp;sheet13[[#This Row],[Bp Id]]</f>
        <v>Prisma CloudITM0046</v>
      </c>
      <c r="D312" s="2" t="str">
        <f>VLOOKUP(sheet13[[#This Row],[Columna1]],Sheet2!C:S,4,FALSE)</f>
        <v>Operativo</v>
      </c>
      <c r="E312" s="2" t="s">
        <v>139</v>
      </c>
      <c r="F312" s="2" t="s">
        <v>32</v>
      </c>
      <c r="G312" s="2" t="s">
        <v>48</v>
      </c>
      <c r="H312" s="2" t="s">
        <v>59</v>
      </c>
      <c r="I312" s="2" t="s">
        <v>2348</v>
      </c>
      <c r="J312" s="2" t="s">
        <v>1441</v>
      </c>
      <c r="K312" s="2" t="s">
        <v>176</v>
      </c>
      <c r="L312" s="2" t="s">
        <v>175</v>
      </c>
      <c r="M312" s="2" t="s">
        <v>111</v>
      </c>
      <c r="N312" s="2" t="s">
        <v>2343</v>
      </c>
      <c r="O312" s="2" t="s">
        <v>40</v>
      </c>
      <c r="P312" s="2" t="s">
        <v>41</v>
      </c>
      <c r="Q312" s="2" t="s">
        <v>64</v>
      </c>
      <c r="R312" s="2" t="s">
        <v>64</v>
      </c>
      <c r="S312" s="2" t="s">
        <v>41</v>
      </c>
      <c r="T312" s="2"/>
      <c r="U312" s="2" t="s">
        <v>41</v>
      </c>
      <c r="V312" s="2"/>
      <c r="W312" s="3">
        <v>45657</v>
      </c>
      <c r="X312" s="2"/>
      <c r="Y312" s="2"/>
      <c r="Z312" s="2" t="s">
        <v>959</v>
      </c>
      <c r="AA312" s="2" t="s">
        <v>376</v>
      </c>
      <c r="AB312" s="2" t="s">
        <v>376</v>
      </c>
      <c r="AC312" s="2" t="s">
        <v>263</v>
      </c>
      <c r="AD312" s="2" t="s">
        <v>129</v>
      </c>
      <c r="AE312" s="2" t="s">
        <v>1443</v>
      </c>
    </row>
    <row r="313" spans="1:31" ht="126">
      <c r="A313" s="2" t="s">
        <v>1444</v>
      </c>
      <c r="B313" s="2" t="s">
        <v>1445</v>
      </c>
      <c r="C313" s="2" t="str">
        <f>sheet13[[#This Row],[Nombre]]&amp;sheet13[[#This Row],[Bp Id]]</f>
        <v>ProofpointSEC0060</v>
      </c>
      <c r="D313" s="2" t="str">
        <f>VLOOKUP(sheet13[[#This Row],[Columna1]],Sheet2!C:S,4,FALSE)</f>
        <v>Operativo</v>
      </c>
      <c r="E313" s="2" t="s">
        <v>1446</v>
      </c>
      <c r="F313" s="2" t="s">
        <v>32</v>
      </c>
      <c r="G313" s="2" t="s">
        <v>76</v>
      </c>
      <c r="H313" s="2" t="s">
        <v>59</v>
      </c>
      <c r="I313" s="2" t="s">
        <v>2348</v>
      </c>
      <c r="J313" s="2" t="s">
        <v>218</v>
      </c>
      <c r="K313" s="2" t="s">
        <v>176</v>
      </c>
      <c r="L313" s="2" t="s">
        <v>219</v>
      </c>
      <c r="M313" s="2" t="s">
        <v>111</v>
      </c>
      <c r="N313" s="2" t="s">
        <v>2343</v>
      </c>
      <c r="O313" s="2" t="s">
        <v>40</v>
      </c>
      <c r="P313" s="2" t="s">
        <v>41</v>
      </c>
      <c r="Q313" s="2" t="s">
        <v>64</v>
      </c>
      <c r="R313" s="2" t="s">
        <v>53</v>
      </c>
      <c r="S313" s="2" t="s">
        <v>41</v>
      </c>
      <c r="T313" s="2"/>
      <c r="U313" s="2" t="s">
        <v>41</v>
      </c>
      <c r="V313" s="2"/>
      <c r="W313" s="3">
        <v>45716</v>
      </c>
      <c r="X313" s="2" t="s">
        <v>820</v>
      </c>
      <c r="Y313" s="2" t="s">
        <v>590</v>
      </c>
      <c r="Z313" s="2" t="s">
        <v>179</v>
      </c>
      <c r="AA313" s="2" t="s">
        <v>127</v>
      </c>
      <c r="AB313" s="2" t="s">
        <v>127</v>
      </c>
      <c r="AC313" s="2" t="s">
        <v>180</v>
      </c>
      <c r="AD313" s="2" t="s">
        <v>129</v>
      </c>
      <c r="AE313" s="2" t="s">
        <v>1447</v>
      </c>
    </row>
    <row r="314" spans="1:31" ht="138.6">
      <c r="A314" s="2" t="s">
        <v>1448</v>
      </c>
      <c r="B314" s="2" t="s">
        <v>1449</v>
      </c>
      <c r="C314" s="2" t="str">
        <f>sheet13[[#This Row],[Nombre]]&amp;sheet13[[#This Row],[Bp Id]]</f>
        <v>Protección de datos personales - OneTrustDAT0014</v>
      </c>
      <c r="D314" s="2" t="str">
        <f>VLOOKUP(sheet13[[#This Row],[Columna1]],Sheet2!C:S,4,FALSE)</f>
        <v>Operativo</v>
      </c>
      <c r="E314" s="2" t="s">
        <v>1450</v>
      </c>
      <c r="F314" s="2" t="s">
        <v>32</v>
      </c>
      <c r="G314" s="2" t="s">
        <v>48</v>
      </c>
      <c r="H314" s="2" t="s">
        <v>59</v>
      </c>
      <c r="I314" s="2" t="s">
        <v>225</v>
      </c>
      <c r="J314" s="2" t="s">
        <v>226</v>
      </c>
      <c r="K314" s="2" t="s">
        <v>2358</v>
      </c>
      <c r="L314" s="2" t="s">
        <v>1452</v>
      </c>
      <c r="M314" s="2" t="s">
        <v>39</v>
      </c>
      <c r="N314" s="2" t="s">
        <v>2343</v>
      </c>
      <c r="O314" s="2" t="s">
        <v>40</v>
      </c>
      <c r="P314" s="2" t="s">
        <v>41</v>
      </c>
      <c r="Q314" s="2" t="s">
        <v>64</v>
      </c>
      <c r="R314" s="2" t="s">
        <v>64</v>
      </c>
      <c r="S314" s="2" t="s">
        <v>41</v>
      </c>
      <c r="T314" s="2"/>
      <c r="U314" s="2" t="s">
        <v>41</v>
      </c>
      <c r="V314" s="2"/>
      <c r="W314" s="3">
        <v>45814</v>
      </c>
      <c r="X314" s="2" t="s">
        <v>1453</v>
      </c>
      <c r="Y314" s="2" t="s">
        <v>253</v>
      </c>
      <c r="Z314" s="2" t="s">
        <v>101</v>
      </c>
      <c r="AA314" s="2" t="s">
        <v>127</v>
      </c>
      <c r="AB314" s="2" t="s">
        <v>127</v>
      </c>
      <c r="AC314" s="2" t="s">
        <v>263</v>
      </c>
      <c r="AD314" s="2" t="s">
        <v>129</v>
      </c>
      <c r="AE314" s="2" t="s">
        <v>1454</v>
      </c>
    </row>
    <row r="315" spans="1:31" ht="401.1">
      <c r="A315" s="2" t="s">
        <v>1455</v>
      </c>
      <c r="B315" s="2" t="s">
        <v>1456</v>
      </c>
      <c r="C315" s="2" t="str">
        <f>sheet13[[#This Row],[Nombre]]&amp;sheet13[[#This Row],[Bp Id]]</f>
        <v>360 Brand GuardianSEC0061</v>
      </c>
      <c r="D315" s="2" t="str">
        <f>VLOOKUP(sheet13[[#This Row],[Columna1]],Sheet2!C:S,4,FALSE)</f>
        <v>Operativo</v>
      </c>
      <c r="E315" s="2" t="s">
        <v>1457</v>
      </c>
      <c r="F315" s="2" t="s">
        <v>32</v>
      </c>
      <c r="G315" s="2" t="s">
        <v>48</v>
      </c>
      <c r="H315" s="2" t="s">
        <v>59</v>
      </c>
      <c r="I315" s="2" t="s">
        <v>2348</v>
      </c>
      <c r="J315" s="2" t="s">
        <v>2349</v>
      </c>
      <c r="K315" s="2" t="s">
        <v>176</v>
      </c>
      <c r="L315" s="2" t="s">
        <v>214</v>
      </c>
      <c r="M315" s="2" t="s">
        <v>111</v>
      </c>
      <c r="N315" s="2" t="s">
        <v>2343</v>
      </c>
      <c r="O315" s="2" t="s">
        <v>40</v>
      </c>
      <c r="P315" s="2" t="s">
        <v>41</v>
      </c>
      <c r="Q315" s="2" t="s">
        <v>53</v>
      </c>
      <c r="R315" s="2" t="s">
        <v>53</v>
      </c>
      <c r="S315" s="2" t="s">
        <v>41</v>
      </c>
      <c r="T315" s="2"/>
      <c r="U315" s="2" t="s">
        <v>41</v>
      </c>
      <c r="V315" s="2" t="s">
        <v>1458</v>
      </c>
      <c r="W315" s="3">
        <v>46170</v>
      </c>
      <c r="X315" s="2" t="s">
        <v>1459</v>
      </c>
      <c r="Y315" s="2" t="s">
        <v>146</v>
      </c>
      <c r="Z315" s="2" t="s">
        <v>369</v>
      </c>
      <c r="AA315" s="2" t="s">
        <v>127</v>
      </c>
      <c r="AB315" s="2" t="s">
        <v>127</v>
      </c>
      <c r="AC315" s="2"/>
      <c r="AD315" s="2" t="s">
        <v>129</v>
      </c>
      <c r="AE315" s="2" t="s">
        <v>1460</v>
      </c>
    </row>
    <row r="316" spans="1:31" ht="75.95">
      <c r="A316" s="2" t="s">
        <v>1461</v>
      </c>
      <c r="B316" s="2" t="s">
        <v>1462</v>
      </c>
      <c r="C316" s="2" t="str">
        <f>sheet13[[#This Row],[Nombre]]&amp;sheet13[[#This Row],[Bp Id]]</f>
        <v>ProtegeGXSEC0075</v>
      </c>
      <c r="D316" s="2" t="str">
        <f>VLOOKUP(sheet13[[#This Row],[Columna1]],Sheet2!C:S,4,FALSE)</f>
        <v>Operativo</v>
      </c>
      <c r="E316" s="2" t="s">
        <v>1463</v>
      </c>
      <c r="F316" s="2" t="s">
        <v>32</v>
      </c>
      <c r="G316" s="2" t="s">
        <v>76</v>
      </c>
      <c r="H316" s="2" t="s">
        <v>34</v>
      </c>
      <c r="I316" s="2" t="s">
        <v>2348</v>
      </c>
      <c r="J316" s="2" t="s">
        <v>546</v>
      </c>
      <c r="K316" s="2" t="s">
        <v>176</v>
      </c>
      <c r="L316" s="2" t="s">
        <v>411</v>
      </c>
      <c r="M316" s="2" t="s">
        <v>111</v>
      </c>
      <c r="N316" s="2" t="s">
        <v>2343</v>
      </c>
      <c r="O316" s="2" t="s">
        <v>40</v>
      </c>
      <c r="P316" s="2" t="s">
        <v>41</v>
      </c>
      <c r="Q316" s="2" t="s">
        <v>53</v>
      </c>
      <c r="R316" s="2" t="s">
        <v>53</v>
      </c>
      <c r="S316" s="2" t="s">
        <v>41</v>
      </c>
      <c r="T316" s="2"/>
      <c r="U316" s="2" t="s">
        <v>41</v>
      </c>
      <c r="V316" s="2"/>
      <c r="W316" s="3">
        <v>45930</v>
      </c>
      <c r="X316" s="2" t="s">
        <v>1464</v>
      </c>
      <c r="Y316" s="2" t="s">
        <v>252</v>
      </c>
      <c r="Z316" s="2" t="s">
        <v>125</v>
      </c>
      <c r="AA316" s="2" t="s">
        <v>839</v>
      </c>
      <c r="AB316" s="2" t="s">
        <v>127</v>
      </c>
      <c r="AC316" s="2" t="s">
        <v>180</v>
      </c>
      <c r="AD316" s="2" t="s">
        <v>129</v>
      </c>
      <c r="AE316" s="2" t="s">
        <v>1465</v>
      </c>
    </row>
    <row r="317" spans="1:31" ht="126">
      <c r="A317" s="2" t="s">
        <v>1466</v>
      </c>
      <c r="B317" s="2" t="s">
        <v>1467</v>
      </c>
      <c r="C317" s="2" t="str">
        <f>sheet13[[#This Row],[Nombre]]&amp;sheet13[[#This Row],[Bp Id]]</f>
        <v>QualtricsCUS0017</v>
      </c>
      <c r="D317" s="2" t="str">
        <f>VLOOKUP(sheet13[[#This Row],[Columna1]],Sheet2!C:S,4,FALSE)</f>
        <v>Operativo</v>
      </c>
      <c r="E317" s="2" t="s">
        <v>1468</v>
      </c>
      <c r="F317" s="2" t="s">
        <v>32</v>
      </c>
      <c r="G317" s="2" t="s">
        <v>48</v>
      </c>
      <c r="H317" s="2" t="s">
        <v>59</v>
      </c>
      <c r="I317" s="2" t="s">
        <v>87</v>
      </c>
      <c r="J317" s="2" t="s">
        <v>88</v>
      </c>
      <c r="K317" s="2" t="s">
        <v>1469</v>
      </c>
      <c r="L317" s="2" t="s">
        <v>1469</v>
      </c>
      <c r="M317" s="2" t="s">
        <v>63</v>
      </c>
      <c r="N317" s="2" t="s">
        <v>2345</v>
      </c>
      <c r="O317" s="2" t="s">
        <v>91</v>
      </c>
      <c r="P317" s="2" t="s">
        <v>41</v>
      </c>
      <c r="Q317" s="2" t="s">
        <v>42</v>
      </c>
      <c r="R317" s="2" t="s">
        <v>42</v>
      </c>
      <c r="S317" s="2" t="s">
        <v>43</v>
      </c>
      <c r="T317" s="2"/>
      <c r="U317" s="2" t="s">
        <v>43</v>
      </c>
      <c r="V317" s="2"/>
      <c r="W317" s="3"/>
      <c r="X317" s="2"/>
      <c r="Y317" s="2"/>
      <c r="Z317" s="2"/>
      <c r="AA317" s="2"/>
      <c r="AB317" s="2"/>
      <c r="AC317" s="2"/>
      <c r="AD317" s="2"/>
      <c r="AE317" s="2"/>
    </row>
    <row r="318" spans="1:31" ht="201">
      <c r="A318" s="2" t="s">
        <v>1470</v>
      </c>
      <c r="B318" s="2" t="s">
        <v>1471</v>
      </c>
      <c r="C318" s="2" t="str">
        <f>sheet13[[#This Row],[Nombre]]&amp;sheet13[[#This Row],[Bp Id]]</f>
        <v>Reclamos y RequerimientosCUS0015</v>
      </c>
      <c r="D318" s="2" t="str">
        <f>VLOOKUP(sheet13[[#This Row],[Columna1]],Sheet2!C:S,4,FALSE)</f>
        <v>Retirado</v>
      </c>
      <c r="E318" s="2" t="s">
        <v>1472</v>
      </c>
      <c r="F318" s="2" t="s">
        <v>47</v>
      </c>
      <c r="G318" s="2" t="s">
        <v>76</v>
      </c>
      <c r="H318" s="2" t="s">
        <v>34</v>
      </c>
      <c r="I318" s="2" t="s">
        <v>134</v>
      </c>
      <c r="J318" s="2" t="s">
        <v>88</v>
      </c>
      <c r="K318" s="2" t="s">
        <v>360</v>
      </c>
      <c r="L318" s="2" t="s">
        <v>136</v>
      </c>
      <c r="M318" s="2" t="s">
        <v>39</v>
      </c>
      <c r="N318" s="2" t="s">
        <v>2345</v>
      </c>
      <c r="O318" s="2" t="s">
        <v>40</v>
      </c>
      <c r="P318" s="2" t="s">
        <v>41</v>
      </c>
      <c r="Q318" s="2" t="s">
        <v>53</v>
      </c>
      <c r="R318" s="2" t="s">
        <v>53</v>
      </c>
      <c r="S318" s="2" t="s">
        <v>41</v>
      </c>
      <c r="T318" s="2"/>
      <c r="U318" s="2" t="s">
        <v>43</v>
      </c>
      <c r="V318" s="2" t="s">
        <v>193</v>
      </c>
      <c r="W318" s="3"/>
      <c r="X318" s="2"/>
      <c r="Y318" s="2"/>
      <c r="Z318" s="2"/>
      <c r="AA318" s="2"/>
      <c r="AB318" s="2"/>
      <c r="AC318" s="2"/>
      <c r="AD318" s="2"/>
      <c r="AE318" s="2"/>
    </row>
    <row r="319" spans="1:31" ht="388.5">
      <c r="A319" s="2" t="s">
        <v>1473</v>
      </c>
      <c r="B319" s="2" t="s">
        <v>1474</v>
      </c>
      <c r="C319" s="2" t="str">
        <f>sheet13[[#This Row],[Nombre]]&amp;sheet13[[#This Row],[Bp Id]]</f>
        <v>Recovery ApplianceITM0047</v>
      </c>
      <c r="D319" s="2" t="str">
        <f>VLOOKUP(sheet13[[#This Row],[Columna1]],Sheet2!C:S,4,FALSE)</f>
        <v>Operativo</v>
      </c>
      <c r="E319" s="2" t="s">
        <v>1475</v>
      </c>
      <c r="F319" s="2" t="s">
        <v>32</v>
      </c>
      <c r="G319" s="2" t="s">
        <v>48</v>
      </c>
      <c r="H319" s="2" t="s">
        <v>34</v>
      </c>
      <c r="I319" s="2" t="s">
        <v>68</v>
      </c>
      <c r="J319" s="2" t="s">
        <v>69</v>
      </c>
      <c r="K319" s="2" t="s">
        <v>70</v>
      </c>
      <c r="L319" s="2" t="s">
        <v>586</v>
      </c>
      <c r="M319" s="2" t="s">
        <v>52</v>
      </c>
      <c r="N319" s="2" t="s">
        <v>2343</v>
      </c>
      <c r="O319" s="2" t="s">
        <v>40</v>
      </c>
      <c r="P319" s="2" t="s">
        <v>43</v>
      </c>
      <c r="Q319" s="2" t="s">
        <v>53</v>
      </c>
      <c r="R319" s="2" t="s">
        <v>53</v>
      </c>
      <c r="S319" s="2" t="s">
        <v>43</v>
      </c>
      <c r="T319" s="2" t="s">
        <v>2344</v>
      </c>
      <c r="U319" s="2" t="s">
        <v>43</v>
      </c>
      <c r="V319" s="2"/>
      <c r="W319" s="3"/>
      <c r="X319" s="2"/>
      <c r="Y319" s="2"/>
      <c r="Z319" s="2"/>
      <c r="AA319" s="2"/>
      <c r="AB319" s="2"/>
      <c r="AC319" s="2"/>
      <c r="AD319" s="2"/>
      <c r="AE319" s="2"/>
    </row>
    <row r="320" spans="1:31" ht="113.45">
      <c r="A320" s="2" t="s">
        <v>1476</v>
      </c>
      <c r="B320" s="2" t="s">
        <v>1477</v>
      </c>
      <c r="C320" s="2" t="str">
        <f>sheet13[[#This Row],[Nombre]]&amp;sheet13[[#This Row],[Bp Id]]</f>
        <v>Red Hat Directory ServerSEC0031</v>
      </c>
      <c r="D320" s="2" t="str">
        <f>VLOOKUP(sheet13[[#This Row],[Columna1]],Sheet2!C:S,4,FALSE)</f>
        <v>Operativo</v>
      </c>
      <c r="E320" s="2" t="s">
        <v>1478</v>
      </c>
      <c r="F320" s="2" t="s">
        <v>32</v>
      </c>
      <c r="G320" s="2" t="s">
        <v>48</v>
      </c>
      <c r="H320" s="2" t="s">
        <v>34</v>
      </c>
      <c r="I320" s="2" t="s">
        <v>68</v>
      </c>
      <c r="J320" s="2" t="s">
        <v>69</v>
      </c>
      <c r="K320" s="2" t="s">
        <v>82</v>
      </c>
      <c r="L320" s="2" t="s">
        <v>1479</v>
      </c>
      <c r="M320" s="2" t="s">
        <v>111</v>
      </c>
      <c r="N320" s="2" t="s">
        <v>2343</v>
      </c>
      <c r="O320" s="2" t="s">
        <v>40</v>
      </c>
      <c r="P320" s="2" t="s">
        <v>41</v>
      </c>
      <c r="Q320" s="2" t="s">
        <v>42</v>
      </c>
      <c r="R320" s="2" t="s">
        <v>42</v>
      </c>
      <c r="S320" s="2" t="s">
        <v>41</v>
      </c>
      <c r="T320" s="2"/>
      <c r="U320" s="2" t="s">
        <v>41</v>
      </c>
      <c r="V320" s="2"/>
      <c r="W320" s="3">
        <v>45199</v>
      </c>
      <c r="X320" s="2"/>
      <c r="Y320" s="2"/>
      <c r="Z320" s="2"/>
      <c r="AA320" s="2"/>
      <c r="AB320" s="2"/>
      <c r="AC320" s="2"/>
      <c r="AD320" s="2"/>
      <c r="AE320" s="2"/>
    </row>
    <row r="321" spans="1:31" ht="238.5">
      <c r="A321" s="2" t="s">
        <v>1480</v>
      </c>
      <c r="B321" s="2" t="s">
        <v>1481</v>
      </c>
      <c r="C321" s="2" t="str">
        <f>sheet13[[#This Row],[Nombre]]&amp;sheet13[[#This Row],[Bp Id]]</f>
        <v>Red Hat OpenShift Container PlatformITM0048</v>
      </c>
      <c r="D321" s="2" t="str">
        <f>VLOOKUP(sheet13[[#This Row],[Columna1]],Sheet2!C:S,4,FALSE)</f>
        <v>Operativo</v>
      </c>
      <c r="E321" s="2" t="s">
        <v>1482</v>
      </c>
      <c r="F321" s="2" t="s">
        <v>32</v>
      </c>
      <c r="G321" s="2" t="s">
        <v>123</v>
      </c>
      <c r="H321" s="2" t="s">
        <v>34</v>
      </c>
      <c r="I321" s="2" t="s">
        <v>449</v>
      </c>
      <c r="J321" s="2" t="s">
        <v>450</v>
      </c>
      <c r="K321" s="2" t="s">
        <v>450</v>
      </c>
      <c r="L321" s="2" t="s">
        <v>450</v>
      </c>
      <c r="M321" s="2" t="s">
        <v>52</v>
      </c>
      <c r="N321" s="2" t="s">
        <v>2343</v>
      </c>
      <c r="O321" s="2" t="s">
        <v>40</v>
      </c>
      <c r="P321" s="2" t="s">
        <v>41</v>
      </c>
      <c r="Q321" s="2" t="s">
        <v>53</v>
      </c>
      <c r="R321" s="2" t="s">
        <v>53</v>
      </c>
      <c r="S321" s="2" t="s">
        <v>41</v>
      </c>
      <c r="T321" s="2"/>
      <c r="U321" s="2" t="s">
        <v>41</v>
      </c>
      <c r="V321" s="2" t="s">
        <v>1483</v>
      </c>
      <c r="W321" s="3">
        <v>45567</v>
      </c>
      <c r="X321" s="2" t="s">
        <v>1484</v>
      </c>
      <c r="Y321" s="2" t="s">
        <v>187</v>
      </c>
      <c r="Z321" s="2" t="s">
        <v>179</v>
      </c>
      <c r="AA321" s="2" t="s">
        <v>127</v>
      </c>
      <c r="AB321" s="2" t="s">
        <v>127</v>
      </c>
      <c r="AC321" s="2" t="s">
        <v>180</v>
      </c>
      <c r="AD321" s="2" t="s">
        <v>129</v>
      </c>
      <c r="AE321" s="2" t="s">
        <v>1485</v>
      </c>
    </row>
    <row r="322" spans="1:31" ht="63.6">
      <c r="A322" s="2" t="s">
        <v>1486</v>
      </c>
      <c r="B322" s="2" t="s">
        <v>1487</v>
      </c>
      <c r="C322" s="2" t="str">
        <f>sheet13[[#This Row],[Nombre]]&amp;sheet13[[#This Row],[Bp Id]]</f>
        <v>Red Hat SatelliteITM0049</v>
      </c>
      <c r="D322" s="2" t="str">
        <f>VLOOKUP(sheet13[[#This Row],[Columna1]],Sheet2!C:S,4,FALSE)</f>
        <v>Operativo</v>
      </c>
      <c r="E322" s="2" t="s">
        <v>1488</v>
      </c>
      <c r="F322" s="2" t="s">
        <v>32</v>
      </c>
      <c r="G322" s="2" t="s">
        <v>48</v>
      </c>
      <c r="H322" s="2" t="s">
        <v>34</v>
      </c>
      <c r="I322" s="2" t="s">
        <v>68</v>
      </c>
      <c r="J322" s="2" t="s">
        <v>69</v>
      </c>
      <c r="K322" s="2" t="s">
        <v>82</v>
      </c>
      <c r="L322" s="2" t="s">
        <v>1479</v>
      </c>
      <c r="M322" s="2" t="s">
        <v>52</v>
      </c>
      <c r="N322" s="2" t="s">
        <v>2343</v>
      </c>
      <c r="O322" s="2" t="s">
        <v>40</v>
      </c>
      <c r="P322" s="2" t="s">
        <v>41</v>
      </c>
      <c r="Q322" s="2" t="s">
        <v>53</v>
      </c>
      <c r="R322" s="2" t="s">
        <v>53</v>
      </c>
      <c r="S322" s="2" t="s">
        <v>43</v>
      </c>
      <c r="T322" s="2" t="s">
        <v>2344</v>
      </c>
      <c r="U322" s="2" t="s">
        <v>43</v>
      </c>
      <c r="V322" s="2"/>
      <c r="W322" s="3"/>
      <c r="X322" s="2"/>
      <c r="Y322" s="2"/>
      <c r="Z322" s="2"/>
      <c r="AA322" s="2"/>
      <c r="AB322" s="2"/>
      <c r="AC322" s="2"/>
      <c r="AD322" s="2"/>
      <c r="AE322" s="2"/>
    </row>
    <row r="323" spans="1:31" ht="201">
      <c r="A323" s="2" t="s">
        <v>1489</v>
      </c>
      <c r="B323" s="2" t="s">
        <v>1490</v>
      </c>
      <c r="C323" s="2" t="str">
        <f>sheet13[[#This Row],[Nombre]]&amp;sheet13[[#This Row],[Bp Id]]</f>
        <v>RedmineSUP0062</v>
      </c>
      <c r="D323" s="2" t="str">
        <f>VLOOKUP(sheet13[[#This Row],[Columna1]],Sheet2!C:S,4,FALSE)</f>
        <v>Retirado</v>
      </c>
      <c r="E323" s="2" t="s">
        <v>1491</v>
      </c>
      <c r="F323" s="2" t="s">
        <v>47</v>
      </c>
      <c r="G323" s="2" t="s">
        <v>48</v>
      </c>
      <c r="H323" s="2" t="s">
        <v>59</v>
      </c>
      <c r="I323" s="2" t="s">
        <v>2346</v>
      </c>
      <c r="J323" s="2" t="s">
        <v>1492</v>
      </c>
      <c r="K323" s="2" t="s">
        <v>219</v>
      </c>
      <c r="L323" s="2" t="s">
        <v>1492</v>
      </c>
      <c r="M323" s="2" t="s">
        <v>111</v>
      </c>
      <c r="N323" s="2" t="s">
        <v>2345</v>
      </c>
      <c r="O323" s="2" t="s">
        <v>40</v>
      </c>
      <c r="P323" s="2" t="s">
        <v>41</v>
      </c>
      <c r="Q323" s="2" t="s">
        <v>64</v>
      </c>
      <c r="R323" s="2" t="s">
        <v>64</v>
      </c>
      <c r="S323" s="2" t="s">
        <v>41</v>
      </c>
      <c r="T323" s="2"/>
      <c r="U323" s="2" t="s">
        <v>43</v>
      </c>
      <c r="V323" s="2"/>
      <c r="W323" s="3"/>
      <c r="X323" s="2"/>
      <c r="Y323" s="2"/>
      <c r="Z323" s="2"/>
      <c r="AA323" s="2"/>
      <c r="AB323" s="2"/>
      <c r="AC323" s="2"/>
      <c r="AD323" s="2"/>
      <c r="AE323" s="2"/>
    </row>
    <row r="324" spans="1:31" ht="75.95">
      <c r="A324" s="2" t="s">
        <v>1493</v>
      </c>
      <c r="B324" s="2" t="s">
        <v>1494</v>
      </c>
      <c r="C324" s="2" t="str">
        <f>sheet13[[#This Row],[Nombre]]&amp;sheet13[[#This Row],[Bp Id]]</f>
        <v>RemesasPAY0023</v>
      </c>
      <c r="D324" s="2" t="str">
        <f>VLOOKUP(sheet13[[#This Row],[Columna1]],Sheet2!C:S,4,FALSE)</f>
        <v>Operativo</v>
      </c>
      <c r="E324" s="2" t="s">
        <v>1495</v>
      </c>
      <c r="F324" s="2" t="s">
        <v>32</v>
      </c>
      <c r="G324" s="2" t="s">
        <v>76</v>
      </c>
      <c r="H324" s="2" t="s">
        <v>345</v>
      </c>
      <c r="I324" s="2" t="s">
        <v>141</v>
      </c>
      <c r="J324" s="2" t="s">
        <v>151</v>
      </c>
      <c r="K324" s="2" t="s">
        <v>769</v>
      </c>
      <c r="L324" s="2" t="s">
        <v>770</v>
      </c>
      <c r="M324" s="2" t="s">
        <v>39</v>
      </c>
      <c r="N324" s="2" t="s">
        <v>2343</v>
      </c>
      <c r="O324" s="2" t="s">
        <v>40</v>
      </c>
      <c r="P324" s="2" t="s">
        <v>41</v>
      </c>
      <c r="Q324" s="2" t="s">
        <v>53</v>
      </c>
      <c r="R324" s="2" t="s">
        <v>53</v>
      </c>
      <c r="S324" s="2" t="s">
        <v>41</v>
      </c>
      <c r="T324" s="2" t="s">
        <v>2344</v>
      </c>
      <c r="U324" s="2" t="s">
        <v>43</v>
      </c>
      <c r="V324" s="2"/>
      <c r="W324" s="3"/>
      <c r="X324" s="2"/>
      <c r="Y324" s="2"/>
      <c r="Z324" s="2"/>
      <c r="AA324" s="2"/>
      <c r="AB324" s="2"/>
      <c r="AC324" s="2"/>
      <c r="AD324" s="2"/>
      <c r="AE324" s="2"/>
    </row>
    <row r="325" spans="1:31" ht="113.45">
      <c r="A325" s="2" t="s">
        <v>1496</v>
      </c>
      <c r="B325" s="2" t="s">
        <v>1497</v>
      </c>
      <c r="C325" s="2" t="str">
        <f>sheet13[[#This Row],[Nombre]]&amp;sheet13[[#This Row],[Bp Id]]</f>
        <v>RENPAY0025</v>
      </c>
      <c r="D325" s="2" t="str">
        <f>VLOOKUP(sheet13[[#This Row],[Columna1]],Sheet2!C:S,4,FALSE)</f>
        <v>Operativo</v>
      </c>
      <c r="E325" s="2" t="s">
        <v>1498</v>
      </c>
      <c r="F325" s="2" t="s">
        <v>32</v>
      </c>
      <c r="G325" s="2" t="s">
        <v>33</v>
      </c>
      <c r="H325" s="2" t="s">
        <v>140</v>
      </c>
      <c r="I325" s="2" t="s">
        <v>141</v>
      </c>
      <c r="J325" s="2" t="s">
        <v>151</v>
      </c>
      <c r="K325" s="2" t="s">
        <v>564</v>
      </c>
      <c r="L325" s="2" t="s">
        <v>1499</v>
      </c>
      <c r="M325" s="2" t="s">
        <v>39</v>
      </c>
      <c r="N325" s="2" t="s">
        <v>2343</v>
      </c>
      <c r="O325" s="2" t="s">
        <v>40</v>
      </c>
      <c r="P325" s="2" t="s">
        <v>41</v>
      </c>
      <c r="Q325" s="2" t="s">
        <v>64</v>
      </c>
      <c r="R325" s="2" t="s">
        <v>53</v>
      </c>
      <c r="S325" s="2" t="s">
        <v>41</v>
      </c>
      <c r="T325" s="2"/>
      <c r="U325" s="2" t="s">
        <v>41</v>
      </c>
      <c r="V325" s="2"/>
      <c r="W325" s="3">
        <v>45807</v>
      </c>
      <c r="X325" s="2"/>
      <c r="Y325" s="2" t="s">
        <v>100</v>
      </c>
      <c r="Z325" s="2" t="s">
        <v>590</v>
      </c>
      <c r="AA325" s="2"/>
      <c r="AB325" s="2"/>
      <c r="AC325" s="2" t="s">
        <v>180</v>
      </c>
      <c r="AD325" s="2" t="s">
        <v>129</v>
      </c>
      <c r="AE325" s="2" t="s">
        <v>1500</v>
      </c>
    </row>
    <row r="326" spans="1:31" ht="409.6">
      <c r="A326" s="2" t="s">
        <v>1501</v>
      </c>
      <c r="B326" s="2" t="s">
        <v>1502</v>
      </c>
      <c r="C326" s="2" t="str">
        <f>sheet13[[#This Row],[Nombre]]&amp;sheet13[[#This Row],[Bp Id]]</f>
        <v>ReporteBuroCreditoRIS0010</v>
      </c>
      <c r="D326" s="2" t="str">
        <f>VLOOKUP(sheet13[[#This Row],[Columna1]],Sheet2!C:S,4,FALSE)</f>
        <v>Operativo</v>
      </c>
      <c r="E326" s="2" t="s">
        <v>1503</v>
      </c>
      <c r="F326" s="2" t="s">
        <v>32</v>
      </c>
      <c r="G326" s="2" t="s">
        <v>76</v>
      </c>
      <c r="H326" s="2" t="s">
        <v>59</v>
      </c>
      <c r="I326" s="2" t="s">
        <v>320</v>
      </c>
      <c r="J326" s="2" t="s">
        <v>321</v>
      </c>
      <c r="K326" s="2" t="s">
        <v>322</v>
      </c>
      <c r="L326" s="2" t="s">
        <v>323</v>
      </c>
      <c r="M326" s="2" t="s">
        <v>39</v>
      </c>
      <c r="N326" s="2" t="s">
        <v>2343</v>
      </c>
      <c r="O326" s="2" t="s">
        <v>40</v>
      </c>
      <c r="P326" s="2" t="s">
        <v>43</v>
      </c>
      <c r="Q326" s="2" t="s">
        <v>64</v>
      </c>
      <c r="R326" s="2" t="s">
        <v>64</v>
      </c>
      <c r="S326" s="2" t="s">
        <v>43</v>
      </c>
      <c r="T326" s="2" t="s">
        <v>2344</v>
      </c>
      <c r="U326" s="2" t="s">
        <v>43</v>
      </c>
      <c r="V326" s="2" t="s">
        <v>1504</v>
      </c>
      <c r="W326" s="3">
        <v>46115</v>
      </c>
      <c r="X326" s="2" t="s">
        <v>597</v>
      </c>
      <c r="Y326" s="2"/>
      <c r="Z326" s="2"/>
      <c r="AA326" s="2"/>
      <c r="AB326" s="2"/>
      <c r="AC326" s="2" t="s">
        <v>1505</v>
      </c>
      <c r="AD326" s="2"/>
      <c r="AE326" s="2" t="s">
        <v>1506</v>
      </c>
    </row>
    <row r="327" spans="1:31" ht="409.6">
      <c r="A327" s="2" t="s">
        <v>1507</v>
      </c>
      <c r="B327" s="2" t="s">
        <v>1508</v>
      </c>
      <c r="C327" s="2" t="str">
        <f>sheet13[[#This Row],[Nombre]]&amp;sheet13[[#This Row],[Bp Id]]</f>
        <v>ReportesGafTIE0017</v>
      </c>
      <c r="D327" s="2" t="str">
        <f>VLOOKUP(sheet13[[#This Row],[Columna1]],Sheet2!C:S,4,FALSE)</f>
        <v>Operativo</v>
      </c>
      <c r="E327" s="2" t="s">
        <v>1509</v>
      </c>
      <c r="F327" s="2" t="s">
        <v>32</v>
      </c>
      <c r="G327" s="2" t="s">
        <v>48</v>
      </c>
      <c r="H327" s="2" t="s">
        <v>59</v>
      </c>
      <c r="I327" s="2" t="s">
        <v>339</v>
      </c>
      <c r="J327" s="2" t="s">
        <v>50</v>
      </c>
      <c r="K327" s="2" t="s">
        <v>833</v>
      </c>
      <c r="L327" s="2" t="s">
        <v>941</v>
      </c>
      <c r="M327" s="2" t="s">
        <v>39</v>
      </c>
      <c r="N327" s="2" t="s">
        <v>2343</v>
      </c>
      <c r="O327" s="2" t="s">
        <v>40</v>
      </c>
      <c r="P327" s="2" t="s">
        <v>43</v>
      </c>
      <c r="Q327" s="2" t="s">
        <v>2359</v>
      </c>
      <c r="R327" s="2" t="s">
        <v>53</v>
      </c>
      <c r="S327" s="2" t="s">
        <v>43</v>
      </c>
      <c r="T327" s="2" t="s">
        <v>2344</v>
      </c>
      <c r="U327" s="2" t="s">
        <v>2343</v>
      </c>
      <c r="V327" s="2" t="s">
        <v>2360</v>
      </c>
      <c r="W327" s="3">
        <v>46084</v>
      </c>
      <c r="X327" s="2" t="s">
        <v>1510</v>
      </c>
      <c r="Y327" s="2"/>
      <c r="Z327" s="2"/>
      <c r="AA327" s="2"/>
      <c r="AB327" s="2"/>
      <c r="AC327" s="2"/>
      <c r="AD327" s="2"/>
      <c r="AE327" s="2"/>
    </row>
    <row r="328" spans="1:31" ht="409.6">
      <c r="A328" s="2" t="s">
        <v>1513</v>
      </c>
      <c r="B328" s="2" t="s">
        <v>1514</v>
      </c>
      <c r="C328" s="2" t="str">
        <f>sheet13[[#This Row],[Nombre]]&amp;sheet13[[#This Row],[Bp Id]]</f>
        <v>MonitorCajerosCHL0038</v>
      </c>
      <c r="D328" s="2" t="str">
        <f>VLOOKUP(sheet13[[#This Row],[Columna1]],Sheet2!C:S,4,FALSE)</f>
        <v>Operativo</v>
      </c>
      <c r="E328" s="2" t="s">
        <v>1515</v>
      </c>
      <c r="F328" s="2" t="s">
        <v>32</v>
      </c>
      <c r="G328" s="2" t="s">
        <v>48</v>
      </c>
      <c r="H328" s="2" t="s">
        <v>34</v>
      </c>
      <c r="I328" s="2" t="s">
        <v>35</v>
      </c>
      <c r="J328" s="2" t="s">
        <v>36</v>
      </c>
      <c r="K328" s="2" t="s">
        <v>37</v>
      </c>
      <c r="L328" s="2" t="s">
        <v>38</v>
      </c>
      <c r="M328" s="2" t="s">
        <v>39</v>
      </c>
      <c r="N328" s="2" t="s">
        <v>2343</v>
      </c>
      <c r="O328" s="2" t="s">
        <v>40</v>
      </c>
      <c r="P328" s="2" t="s">
        <v>41</v>
      </c>
      <c r="Q328" s="2" t="s">
        <v>42</v>
      </c>
      <c r="R328" s="2" t="s">
        <v>53</v>
      </c>
      <c r="S328" s="2" t="s">
        <v>41</v>
      </c>
      <c r="T328" s="2"/>
      <c r="U328" s="2" t="s">
        <v>41</v>
      </c>
      <c r="V328" s="2" t="s">
        <v>99</v>
      </c>
      <c r="W328" s="3">
        <v>45199</v>
      </c>
      <c r="X328" s="2"/>
      <c r="Y328" s="2"/>
      <c r="Z328" s="2"/>
      <c r="AA328" s="2"/>
      <c r="AB328" s="2"/>
      <c r="AC328" s="2" t="s">
        <v>1516</v>
      </c>
      <c r="AD328" s="2"/>
      <c r="AE328" s="2" t="s">
        <v>103</v>
      </c>
    </row>
    <row r="329" spans="1:31" ht="363.6">
      <c r="A329" s="2" t="s">
        <v>1517</v>
      </c>
      <c r="B329" s="2" t="s">
        <v>1518</v>
      </c>
      <c r="C329" s="2" t="str">
        <f>sheet13[[#This Row],[Nombre]]&amp;sheet13[[#This Row],[Bp Id]]</f>
        <v>Monitoreo ATM SSTOBITM0040</v>
      </c>
      <c r="D329" s="2" t="str">
        <f>VLOOKUP(sheet13[[#This Row],[Columna1]],Sheet2!C:S,4,FALSE)</f>
        <v>Operativo</v>
      </c>
      <c r="E329" s="2" t="s">
        <v>1519</v>
      </c>
      <c r="F329" s="2" t="s">
        <v>32</v>
      </c>
      <c r="G329" s="2" t="s">
        <v>76</v>
      </c>
      <c r="H329" s="2" t="s">
        <v>140</v>
      </c>
      <c r="I329" s="2" t="s">
        <v>232</v>
      </c>
      <c r="J329" s="2" t="s">
        <v>349</v>
      </c>
      <c r="K329" s="2" t="s">
        <v>381</v>
      </c>
      <c r="L329" s="2" t="s">
        <v>350</v>
      </c>
      <c r="M329" s="2" t="s">
        <v>63</v>
      </c>
      <c r="N329" s="2" t="s">
        <v>2343</v>
      </c>
      <c r="O329" s="2" t="s">
        <v>40</v>
      </c>
      <c r="P329" s="2" t="s">
        <v>41</v>
      </c>
      <c r="Q329" s="2" t="s">
        <v>53</v>
      </c>
      <c r="R329" s="2" t="s">
        <v>53</v>
      </c>
      <c r="S329" s="2" t="s">
        <v>43</v>
      </c>
      <c r="T329" s="2" t="s">
        <v>2344</v>
      </c>
      <c r="U329" s="2" t="s">
        <v>43</v>
      </c>
      <c r="V329" s="2"/>
      <c r="W329" s="3"/>
      <c r="X329" s="2"/>
      <c r="Y329" s="2"/>
      <c r="Z329" s="2"/>
      <c r="AA329" s="2"/>
      <c r="AB329" s="2"/>
      <c r="AC329" s="2"/>
      <c r="AD329" s="2"/>
      <c r="AE329" s="2"/>
    </row>
    <row r="330" spans="1:31" ht="201">
      <c r="A330" s="2" t="s">
        <v>1520</v>
      </c>
      <c r="B330" s="2" t="s">
        <v>1521</v>
      </c>
      <c r="C330" s="2" t="str">
        <f>sheet13[[#This Row],[Nombre]]&amp;sheet13[[#This Row],[Bp Id]]</f>
        <v>MonitoreoEfectivoCHL0002</v>
      </c>
      <c r="D330" s="2" t="str">
        <f>VLOOKUP(sheet13[[#This Row],[Columna1]],Sheet2!C:S,4,FALSE)</f>
        <v>Operativo</v>
      </c>
      <c r="E330" s="2" t="s">
        <v>1522</v>
      </c>
      <c r="F330" s="2" t="s">
        <v>32</v>
      </c>
      <c r="G330" s="2" t="s">
        <v>76</v>
      </c>
      <c r="H330" s="2" t="s">
        <v>34</v>
      </c>
      <c r="I330" s="2" t="s">
        <v>225</v>
      </c>
      <c r="J330" s="2" t="s">
        <v>226</v>
      </c>
      <c r="K330" s="2" t="s">
        <v>268</v>
      </c>
      <c r="L330" s="2" t="s">
        <v>268</v>
      </c>
      <c r="M330" s="2" t="s">
        <v>39</v>
      </c>
      <c r="N330" s="2" t="s">
        <v>2343</v>
      </c>
      <c r="O330" s="2" t="s">
        <v>40</v>
      </c>
      <c r="P330" s="2" t="s">
        <v>43</v>
      </c>
      <c r="Q330" s="2" t="s">
        <v>42</v>
      </c>
      <c r="R330" s="2" t="s">
        <v>53</v>
      </c>
      <c r="S330" s="2" t="s">
        <v>41</v>
      </c>
      <c r="T330" s="2"/>
      <c r="U330" s="2" t="s">
        <v>41</v>
      </c>
      <c r="V330" s="2" t="s">
        <v>1105</v>
      </c>
      <c r="W330" s="3">
        <v>45199</v>
      </c>
      <c r="X330" s="2"/>
      <c r="Y330" s="2"/>
      <c r="Z330" s="2"/>
      <c r="AA330" s="2"/>
      <c r="AB330" s="2"/>
      <c r="AC330" s="2"/>
      <c r="AD330" s="2"/>
      <c r="AE330" s="2"/>
    </row>
    <row r="331" spans="1:31" ht="409.6">
      <c r="A331" s="2" t="s">
        <v>1523</v>
      </c>
      <c r="B331" s="2" t="s">
        <v>1524</v>
      </c>
      <c r="C331" s="2" t="str">
        <f>sheet13[[#This Row],[Nombre]]&amp;sheet13[[#This Row],[Bp Id]]</f>
        <v>Motor de OfertasCUS0011</v>
      </c>
      <c r="D331" s="2" t="str">
        <f>VLOOKUP(sheet13[[#This Row],[Columna1]],Sheet2!C:S,4,FALSE)</f>
        <v>Retirado</v>
      </c>
      <c r="E331" s="2" t="s">
        <v>1525</v>
      </c>
      <c r="F331" s="2" t="s">
        <v>47</v>
      </c>
      <c r="G331" s="2" t="s">
        <v>48</v>
      </c>
      <c r="H331" s="2" t="s">
        <v>34</v>
      </c>
      <c r="I331" s="2" t="s">
        <v>134</v>
      </c>
      <c r="J331" s="2" t="s">
        <v>88</v>
      </c>
      <c r="K331" s="2" t="s">
        <v>1526</v>
      </c>
      <c r="L331" s="2" t="s">
        <v>136</v>
      </c>
      <c r="M331" s="2" t="s">
        <v>39</v>
      </c>
      <c r="N331" s="2" t="s">
        <v>2345</v>
      </c>
      <c r="O331" s="2" t="s">
        <v>40</v>
      </c>
      <c r="P331" s="2" t="s">
        <v>43</v>
      </c>
      <c r="Q331" s="2" t="s">
        <v>42</v>
      </c>
      <c r="R331" s="2" t="s">
        <v>42</v>
      </c>
      <c r="S331" s="2" t="s">
        <v>43</v>
      </c>
      <c r="T331" s="2"/>
      <c r="U331" s="2" t="s">
        <v>43</v>
      </c>
      <c r="V331" s="2"/>
      <c r="W331" s="3"/>
      <c r="X331" s="2"/>
      <c r="Y331" s="2"/>
      <c r="Z331" s="2"/>
      <c r="AA331" s="2"/>
      <c r="AB331" s="2"/>
      <c r="AC331" s="2"/>
      <c r="AD331" s="2"/>
      <c r="AE331" s="2"/>
    </row>
    <row r="332" spans="1:31" ht="113.45">
      <c r="A332" s="2" t="s">
        <v>1527</v>
      </c>
      <c r="B332" s="2" t="s">
        <v>1528</v>
      </c>
      <c r="C332" s="2" t="str">
        <f>sheet13[[#This Row],[Nombre]]&amp;sheet13[[#This Row],[Bp Id]]</f>
        <v>Motor de pagos PTSSEC0062</v>
      </c>
      <c r="D332" s="2" t="str">
        <f>VLOOKUP(sheet13[[#This Row],[Columna1]],Sheet2!C:S,4,FALSE)</f>
        <v>Operativo</v>
      </c>
      <c r="E332" s="2" t="s">
        <v>1529</v>
      </c>
      <c r="F332" s="2" t="s">
        <v>32</v>
      </c>
      <c r="G332" s="2" t="s">
        <v>123</v>
      </c>
      <c r="H332" s="2" t="s">
        <v>59</v>
      </c>
      <c r="I332" s="2" t="s">
        <v>208</v>
      </c>
      <c r="J332" s="2" t="s">
        <v>209</v>
      </c>
      <c r="K332" s="2" t="s">
        <v>209</v>
      </c>
      <c r="L332" s="2" t="s">
        <v>209</v>
      </c>
      <c r="M332" s="2" t="s">
        <v>52</v>
      </c>
      <c r="N332" s="2" t="s">
        <v>2343</v>
      </c>
      <c r="O332" s="2" t="s">
        <v>40</v>
      </c>
      <c r="P332" s="2" t="s">
        <v>41</v>
      </c>
      <c r="Q332" s="2" t="s">
        <v>42</v>
      </c>
      <c r="R332" s="2" t="s">
        <v>42</v>
      </c>
      <c r="S332" s="2" t="s">
        <v>41</v>
      </c>
      <c r="T332" s="2" t="s">
        <v>2344</v>
      </c>
      <c r="U332" s="2" t="s">
        <v>43</v>
      </c>
      <c r="V332" s="2"/>
      <c r="W332" s="3"/>
      <c r="X332" s="2"/>
      <c r="Y332" s="2"/>
      <c r="Z332" s="2"/>
      <c r="AA332" s="2"/>
      <c r="AB332" s="2"/>
      <c r="AC332" s="2"/>
      <c r="AD332" s="2"/>
      <c r="AE332" s="2"/>
    </row>
    <row r="333" spans="1:31" ht="88.5">
      <c r="A333" s="2" t="s">
        <v>1530</v>
      </c>
      <c r="B333" s="2" t="s">
        <v>1531</v>
      </c>
      <c r="C333" s="2" t="str">
        <f>sheet13[[#This Row],[Nombre]]&amp;sheet13[[#This Row],[Bp Id]]</f>
        <v>Motor de Tarjetas TransportePAY0026</v>
      </c>
      <c r="D333" s="2" t="str">
        <f>VLOOKUP(sheet13[[#This Row],[Columna1]],Sheet2!C:S,4,FALSE)</f>
        <v>Operativo</v>
      </c>
      <c r="E333" s="2" t="s">
        <v>1532</v>
      </c>
      <c r="F333" s="2" t="s">
        <v>32</v>
      </c>
      <c r="G333" s="2" t="s">
        <v>48</v>
      </c>
      <c r="H333" s="2" t="s">
        <v>59</v>
      </c>
      <c r="I333" s="2" t="s">
        <v>141</v>
      </c>
      <c r="J333" s="2" t="s">
        <v>151</v>
      </c>
      <c r="K333" s="2" t="s">
        <v>1533</v>
      </c>
      <c r="L333" s="2" t="s">
        <v>770</v>
      </c>
      <c r="M333" s="2" t="s">
        <v>39</v>
      </c>
      <c r="N333" s="2" t="s">
        <v>2343</v>
      </c>
      <c r="O333" s="2" t="s">
        <v>40</v>
      </c>
      <c r="P333" s="2"/>
      <c r="Q333" s="2"/>
      <c r="R333" s="2"/>
      <c r="S333" s="2"/>
      <c r="T333" s="2" t="s">
        <v>2344</v>
      </c>
      <c r="U333" s="2" t="s">
        <v>2345</v>
      </c>
      <c r="V333" s="2"/>
      <c r="W333" s="3"/>
      <c r="X333" s="2"/>
      <c r="Y333" s="2"/>
      <c r="Z333" s="2"/>
      <c r="AA333" s="2"/>
      <c r="AB333" s="2"/>
      <c r="AC333" s="2"/>
      <c r="AD333" s="2"/>
      <c r="AE333" s="2"/>
    </row>
    <row r="334" spans="1:31" ht="351">
      <c r="A334" s="2" t="s">
        <v>1534</v>
      </c>
      <c r="B334" s="2" t="s">
        <v>1535</v>
      </c>
      <c r="C334" s="2" t="str">
        <f>sheet13[[#This Row],[Nombre]]&amp;sheet13[[#This Row],[Bp Id]]</f>
        <v>Motor de TransferenciasPRD0039</v>
      </c>
      <c r="D334" s="2" t="str">
        <f>VLOOKUP(sheet13[[#This Row],[Columna1]],Sheet2!C:S,4,FALSE)</f>
        <v>Operativo</v>
      </c>
      <c r="E334" s="2" t="s">
        <v>1536</v>
      </c>
      <c r="F334" s="2" t="s">
        <v>32</v>
      </c>
      <c r="G334" s="2" t="s">
        <v>123</v>
      </c>
      <c r="H334" s="2" t="s">
        <v>34</v>
      </c>
      <c r="I334" s="2" t="s">
        <v>339</v>
      </c>
      <c r="J334" s="2" t="s">
        <v>50</v>
      </c>
      <c r="K334" s="2" t="s">
        <v>2361</v>
      </c>
      <c r="L334" s="2" t="s">
        <v>1189</v>
      </c>
      <c r="M334" s="2" t="s">
        <v>39</v>
      </c>
      <c r="N334" s="2" t="s">
        <v>2343</v>
      </c>
      <c r="O334" s="2" t="s">
        <v>40</v>
      </c>
      <c r="P334" s="2" t="s">
        <v>41</v>
      </c>
      <c r="Q334" s="2" t="s">
        <v>42</v>
      </c>
      <c r="R334" s="2" t="s">
        <v>42</v>
      </c>
      <c r="S334" s="2" t="s">
        <v>41</v>
      </c>
      <c r="T334" s="2"/>
      <c r="U334" s="2" t="s">
        <v>41</v>
      </c>
      <c r="V334" s="2" t="s">
        <v>1537</v>
      </c>
      <c r="W334" s="3">
        <v>45200</v>
      </c>
      <c r="X334" s="2"/>
      <c r="Y334" s="2" t="s">
        <v>100</v>
      </c>
      <c r="Z334" s="2" t="s">
        <v>125</v>
      </c>
      <c r="AA334" s="2" t="s">
        <v>147</v>
      </c>
      <c r="AB334" s="2" t="s">
        <v>363</v>
      </c>
      <c r="AC334" s="2" t="s">
        <v>263</v>
      </c>
      <c r="AD334" s="2" t="s">
        <v>129</v>
      </c>
      <c r="AE334" s="2" t="s">
        <v>1538</v>
      </c>
    </row>
    <row r="335" spans="1:31" ht="238.5">
      <c r="A335" s="2" t="s">
        <v>1539</v>
      </c>
      <c r="B335" s="2" t="s">
        <v>1540</v>
      </c>
      <c r="C335" s="2" t="str">
        <f>sheet13[[#This Row],[Nombre]]&amp;sheet13[[#This Row],[Bp Id]]</f>
        <v>Móvil VendorPRD0023</v>
      </c>
      <c r="D335" s="2" t="str">
        <f>VLOOKUP(sheet13[[#This Row],[Columna1]],Sheet2!C:S,4,FALSE)</f>
        <v>Retirado</v>
      </c>
      <c r="E335" s="2" t="s">
        <v>1541</v>
      </c>
      <c r="F335" s="2" t="s">
        <v>47</v>
      </c>
      <c r="G335" s="2" t="s">
        <v>123</v>
      </c>
      <c r="H335" s="2" t="s">
        <v>59</v>
      </c>
      <c r="I335" s="2" t="s">
        <v>553</v>
      </c>
      <c r="J335" s="2" t="s">
        <v>554</v>
      </c>
      <c r="K335" s="2" t="s">
        <v>555</v>
      </c>
      <c r="L335" s="2" t="s">
        <v>556</v>
      </c>
      <c r="M335" s="2" t="s">
        <v>39</v>
      </c>
      <c r="N335" s="2" t="s">
        <v>2345</v>
      </c>
      <c r="O335" s="2" t="s">
        <v>91</v>
      </c>
      <c r="P335" s="2" t="s">
        <v>41</v>
      </c>
      <c r="Q335" s="2" t="s">
        <v>53</v>
      </c>
      <c r="R335" s="2" t="s">
        <v>53</v>
      </c>
      <c r="S335" s="2" t="s">
        <v>43</v>
      </c>
      <c r="T335" s="2"/>
      <c r="U335" s="2" t="s">
        <v>43</v>
      </c>
      <c r="V335" s="2"/>
      <c r="W335" s="3"/>
      <c r="X335" s="2"/>
      <c r="Y335" s="2"/>
      <c r="Z335" s="2"/>
      <c r="AA335" s="2"/>
      <c r="AB335" s="2"/>
      <c r="AC335" s="2"/>
      <c r="AD335" s="2"/>
      <c r="AE335" s="2"/>
    </row>
    <row r="336" spans="1:31" ht="63.6">
      <c r="A336" s="2" t="s">
        <v>1542</v>
      </c>
      <c r="B336" s="2" t="s">
        <v>1543</v>
      </c>
      <c r="C336" s="2" t="str">
        <f>sheet13[[#This Row],[Nombre]]&amp;sheet13[[#This Row],[Bp Id]]</f>
        <v>MQ Gateway (BUS Omnicanal)INT0010</v>
      </c>
      <c r="D336" s="2" t="str">
        <f>VLOOKUP(sheet13[[#This Row],[Columna1]],Sheet2!C:S,4,FALSE)</f>
        <v>Retirado</v>
      </c>
      <c r="E336" s="2" t="s">
        <v>1544</v>
      </c>
      <c r="F336" s="2" t="s">
        <v>47</v>
      </c>
      <c r="G336" s="2" t="s">
        <v>123</v>
      </c>
      <c r="H336" s="2" t="s">
        <v>34</v>
      </c>
      <c r="I336" s="2" t="s">
        <v>921</v>
      </c>
      <c r="J336" s="2" t="s">
        <v>50</v>
      </c>
      <c r="K336" s="2" t="s">
        <v>51</v>
      </c>
      <c r="L336" s="2" t="s">
        <v>51</v>
      </c>
      <c r="M336" s="2" t="s">
        <v>52</v>
      </c>
      <c r="N336" s="2" t="s">
        <v>2345</v>
      </c>
      <c r="O336" s="2" t="s">
        <v>40</v>
      </c>
      <c r="P336" s="2" t="s">
        <v>43</v>
      </c>
      <c r="Q336" s="2" t="s">
        <v>53</v>
      </c>
      <c r="R336" s="2" t="s">
        <v>53</v>
      </c>
      <c r="S336" s="2" t="s">
        <v>43</v>
      </c>
      <c r="T336" s="2"/>
      <c r="U336" s="2" t="s">
        <v>43</v>
      </c>
      <c r="V336" s="2"/>
      <c r="W336" s="3"/>
      <c r="X336" s="2"/>
      <c r="Y336" s="2"/>
      <c r="Z336" s="2"/>
      <c r="AA336" s="2"/>
      <c r="AB336" s="2"/>
      <c r="AC336" s="2"/>
      <c r="AD336" s="2"/>
      <c r="AE336" s="2"/>
    </row>
    <row r="337" spans="1:31" ht="75.95">
      <c r="A337" s="2" t="s">
        <v>1545</v>
      </c>
      <c r="B337" s="2" t="s">
        <v>1546</v>
      </c>
      <c r="C337" s="2" t="str">
        <f>sheet13[[#This Row],[Nombre]]&amp;sheet13[[#This Row],[Bp Id]]</f>
        <v>MQ Gateway (BUS Soporte)INT0011</v>
      </c>
      <c r="D337" s="2" t="str">
        <f>VLOOKUP(sheet13[[#This Row],[Columna1]],Sheet2!C:S,4,FALSE)</f>
        <v>Retirado</v>
      </c>
      <c r="E337" s="2" t="s">
        <v>1547</v>
      </c>
      <c r="F337" s="2" t="s">
        <v>47</v>
      </c>
      <c r="G337" s="2" t="s">
        <v>123</v>
      </c>
      <c r="H337" s="2" t="s">
        <v>34</v>
      </c>
      <c r="I337" s="2" t="s">
        <v>921</v>
      </c>
      <c r="J337" s="2" t="s">
        <v>50</v>
      </c>
      <c r="K337" s="2" t="s">
        <v>51</v>
      </c>
      <c r="L337" s="2" t="s">
        <v>51</v>
      </c>
      <c r="M337" s="2" t="s">
        <v>52</v>
      </c>
      <c r="N337" s="2" t="s">
        <v>2345</v>
      </c>
      <c r="O337" s="2" t="s">
        <v>40</v>
      </c>
      <c r="P337" s="2" t="s">
        <v>43</v>
      </c>
      <c r="Q337" s="2" t="s">
        <v>53</v>
      </c>
      <c r="R337" s="2" t="s">
        <v>53</v>
      </c>
      <c r="S337" s="2" t="s">
        <v>43</v>
      </c>
      <c r="T337" s="2"/>
      <c r="U337" s="2" t="s">
        <v>43</v>
      </c>
      <c r="V337" s="2"/>
      <c r="W337" s="3"/>
      <c r="X337" s="2"/>
      <c r="Y337" s="2"/>
      <c r="Z337" s="2"/>
      <c r="AA337" s="2"/>
      <c r="AB337" s="2"/>
      <c r="AC337" s="2"/>
      <c r="AD337" s="2"/>
      <c r="AE337" s="2"/>
    </row>
    <row r="338" spans="1:31" ht="238.5">
      <c r="A338" s="2" t="s">
        <v>1548</v>
      </c>
      <c r="B338" s="2" t="s">
        <v>1549</v>
      </c>
      <c r="C338" s="2" t="str">
        <f>sheet13[[#This Row],[Nombre]]&amp;sheet13[[#This Row],[Bp Id]]</f>
        <v>MurexSUP0014</v>
      </c>
      <c r="D338" s="2" t="str">
        <f>VLOOKUP(sheet13[[#This Row],[Columna1]],Sheet2!C:S,4,FALSE)</f>
        <v>Operativo</v>
      </c>
      <c r="E338" s="2" t="s">
        <v>1550</v>
      </c>
      <c r="F338" s="2" t="s">
        <v>32</v>
      </c>
      <c r="G338" s="2" t="s">
        <v>76</v>
      </c>
      <c r="H338" s="2" t="s">
        <v>34</v>
      </c>
      <c r="I338" s="2" t="s">
        <v>225</v>
      </c>
      <c r="J338" s="2" t="s">
        <v>226</v>
      </c>
      <c r="K338" s="2" t="s">
        <v>617</v>
      </c>
      <c r="L338" s="2" t="s">
        <v>2351</v>
      </c>
      <c r="M338" s="2" t="s">
        <v>39</v>
      </c>
      <c r="N338" s="2" t="s">
        <v>2343</v>
      </c>
      <c r="O338" s="2" t="s">
        <v>40</v>
      </c>
      <c r="P338" s="2" t="s">
        <v>41</v>
      </c>
      <c r="Q338" s="2" t="s">
        <v>53</v>
      </c>
      <c r="R338" s="2" t="s">
        <v>53</v>
      </c>
      <c r="S338" s="2" t="s">
        <v>41</v>
      </c>
      <c r="T338" s="2"/>
      <c r="U338" s="2" t="s">
        <v>41</v>
      </c>
      <c r="V338" s="2" t="s">
        <v>1551</v>
      </c>
      <c r="W338" s="3">
        <v>45200</v>
      </c>
      <c r="X338" s="2" t="s">
        <v>1552</v>
      </c>
      <c r="Y338" s="2" t="s">
        <v>253</v>
      </c>
      <c r="Z338" s="2" t="s">
        <v>125</v>
      </c>
      <c r="AA338" s="2" t="s">
        <v>147</v>
      </c>
      <c r="AB338" s="2" t="s">
        <v>147</v>
      </c>
      <c r="AC338" s="2" t="s">
        <v>180</v>
      </c>
      <c r="AD338" s="2" t="s">
        <v>129</v>
      </c>
      <c r="AE338" s="2" t="s">
        <v>840</v>
      </c>
    </row>
    <row r="339" spans="1:31" ht="126">
      <c r="A339" s="2" t="s">
        <v>1554</v>
      </c>
      <c r="B339" s="2" t="s">
        <v>1555</v>
      </c>
      <c r="C339" s="2" t="str">
        <f>sheet13[[#This Row],[Nombre]]&amp;sheet13[[#This Row],[Bp Id]]</f>
        <v>Entornos de respaldos y restauracionesITM0041</v>
      </c>
      <c r="D339" s="2" t="str">
        <f>VLOOKUP(sheet13[[#This Row],[Columna1]],Sheet2!C:S,4,FALSE)</f>
        <v>Operativo</v>
      </c>
      <c r="E339" s="2" t="s">
        <v>1556</v>
      </c>
      <c r="F339" s="2" t="s">
        <v>32</v>
      </c>
      <c r="G339" s="2" t="s">
        <v>76</v>
      </c>
      <c r="H339" s="2" t="s">
        <v>34</v>
      </c>
      <c r="I339" s="2" t="s">
        <v>68</v>
      </c>
      <c r="J339" s="2" t="s">
        <v>69</v>
      </c>
      <c r="K339" s="2" t="s">
        <v>70</v>
      </c>
      <c r="L339" s="2" t="s">
        <v>586</v>
      </c>
      <c r="M339" s="2" t="s">
        <v>52</v>
      </c>
      <c r="N339" s="2" t="s">
        <v>2343</v>
      </c>
      <c r="O339" s="2" t="s">
        <v>40</v>
      </c>
      <c r="P339" s="2" t="s">
        <v>41</v>
      </c>
      <c r="Q339" s="2" t="s">
        <v>53</v>
      </c>
      <c r="R339" s="2" t="s">
        <v>53</v>
      </c>
      <c r="S339" s="2" t="s">
        <v>41</v>
      </c>
      <c r="T339" s="2" t="s">
        <v>2344</v>
      </c>
      <c r="U339" s="2" t="s">
        <v>2343</v>
      </c>
      <c r="V339" s="2"/>
      <c r="W339" s="3"/>
      <c r="X339" s="2"/>
      <c r="Y339" s="2"/>
      <c r="Z339" s="2"/>
      <c r="AA339" s="2"/>
      <c r="AB339" s="2"/>
      <c r="AC339" s="2"/>
      <c r="AD339" s="2"/>
      <c r="AE339" s="2"/>
    </row>
    <row r="340" spans="1:31" ht="238.5">
      <c r="A340" s="2" t="s">
        <v>1559</v>
      </c>
      <c r="B340" s="2" t="s">
        <v>1560</v>
      </c>
      <c r="C340" s="2" t="str">
        <f>sheet13[[#This Row],[Nombre]]&amp;sheet13[[#This Row],[Bp Id]]</f>
        <v>NetskopeSEC0030</v>
      </c>
      <c r="D340" s="2" t="str">
        <f>VLOOKUP(sheet13[[#This Row],[Columna1]],Sheet2!C:S,4,FALSE)</f>
        <v>Operativo</v>
      </c>
      <c r="E340" s="2" t="s">
        <v>1561</v>
      </c>
      <c r="F340" s="2" t="s">
        <v>32</v>
      </c>
      <c r="G340" s="2" t="s">
        <v>76</v>
      </c>
      <c r="H340" s="2" t="s">
        <v>345</v>
      </c>
      <c r="I340" s="2" t="s">
        <v>2348</v>
      </c>
      <c r="J340" s="2" t="s">
        <v>218</v>
      </c>
      <c r="K340" s="2" t="s">
        <v>176</v>
      </c>
      <c r="L340" s="2" t="s">
        <v>2349</v>
      </c>
      <c r="M340" s="2" t="s">
        <v>111</v>
      </c>
      <c r="N340" s="2" t="s">
        <v>2343</v>
      </c>
      <c r="O340" s="2" t="s">
        <v>40</v>
      </c>
      <c r="P340" s="2" t="s">
        <v>41</v>
      </c>
      <c r="Q340" s="2" t="s">
        <v>64</v>
      </c>
      <c r="R340" s="2" t="s">
        <v>53</v>
      </c>
      <c r="S340" s="2" t="s">
        <v>41</v>
      </c>
      <c r="T340" s="2"/>
      <c r="U340" s="2" t="s">
        <v>41</v>
      </c>
      <c r="V340" s="2"/>
      <c r="W340" s="3">
        <v>45714</v>
      </c>
      <c r="X340" s="2"/>
      <c r="Y340" s="2" t="s">
        <v>101</v>
      </c>
      <c r="Z340" s="2" t="s">
        <v>369</v>
      </c>
      <c r="AA340" s="2" t="s">
        <v>127</v>
      </c>
      <c r="AB340" s="2"/>
      <c r="AC340" s="2" t="s">
        <v>1562</v>
      </c>
      <c r="AD340" s="2" t="s">
        <v>129</v>
      </c>
      <c r="AE340" s="2" t="s">
        <v>1563</v>
      </c>
    </row>
    <row r="341" spans="1:31" ht="63.6">
      <c r="A341" s="2" t="s">
        <v>1564</v>
      </c>
      <c r="B341" s="2" t="s">
        <v>1565</v>
      </c>
      <c r="C341" s="2" t="str">
        <f>sheet13[[#This Row],[Nombre]]&amp;sheet13[[#This Row],[Bp Id]]</f>
        <v>Nexo-Pin TarjetaPAY0012</v>
      </c>
      <c r="D341" s="2" t="str">
        <f>VLOOKUP(sheet13[[#This Row],[Columna1]],Sheet2!C:S,4,FALSE)</f>
        <v>Operativo</v>
      </c>
      <c r="E341" s="2" t="s">
        <v>139</v>
      </c>
      <c r="F341" s="2" t="s">
        <v>32</v>
      </c>
      <c r="G341" s="2" t="s">
        <v>58</v>
      </c>
      <c r="H341" s="2" t="s">
        <v>34</v>
      </c>
      <c r="I341" s="2" t="s">
        <v>141</v>
      </c>
      <c r="J341" s="2" t="s">
        <v>151</v>
      </c>
      <c r="K341" s="2" t="s">
        <v>564</v>
      </c>
      <c r="L341" s="2" t="s">
        <v>565</v>
      </c>
      <c r="M341" s="2" t="s">
        <v>296</v>
      </c>
      <c r="N341" s="2" t="s">
        <v>2343</v>
      </c>
      <c r="O341" s="2" t="s">
        <v>40</v>
      </c>
      <c r="P341" s="2" t="s">
        <v>41</v>
      </c>
      <c r="Q341" s="2" t="s">
        <v>53</v>
      </c>
      <c r="R341" s="2" t="s">
        <v>53</v>
      </c>
      <c r="S341" s="2" t="s">
        <v>43</v>
      </c>
      <c r="T341" s="2" t="s">
        <v>2344</v>
      </c>
      <c r="U341" s="2" t="s">
        <v>43</v>
      </c>
      <c r="V341" s="2"/>
      <c r="W341" s="3"/>
      <c r="X341" s="2"/>
      <c r="Y341" s="2"/>
      <c r="Z341" s="2"/>
      <c r="AA341" s="2"/>
      <c r="AB341" s="2"/>
      <c r="AC341" s="2"/>
      <c r="AD341" s="2"/>
      <c r="AE341" s="2"/>
    </row>
    <row r="342" spans="1:31" ht="163.5">
      <c r="A342" s="2" t="s">
        <v>1566</v>
      </c>
      <c r="B342" s="2" t="s">
        <v>1567</v>
      </c>
      <c r="C342" s="2" t="str">
        <f>sheet13[[#This Row],[Nombre]]&amp;sheet13[[#This Row],[Bp Id]]</f>
        <v>Normalización de carteraPRD0048</v>
      </c>
      <c r="D342" s="2" t="str">
        <f>VLOOKUP(sheet13[[#This Row],[Columna1]],Sheet2!C:S,4,FALSE)</f>
        <v>Retirado</v>
      </c>
      <c r="E342" s="2" t="s">
        <v>1568</v>
      </c>
      <c r="F342" s="2" t="s">
        <v>47</v>
      </c>
      <c r="G342" s="2" t="s">
        <v>48</v>
      </c>
      <c r="H342" s="2" t="s">
        <v>59</v>
      </c>
      <c r="I342" s="2" t="s">
        <v>1086</v>
      </c>
      <c r="J342" s="2" t="s">
        <v>96</v>
      </c>
      <c r="K342" s="2" t="s">
        <v>96</v>
      </c>
      <c r="L342" s="2" t="s">
        <v>98</v>
      </c>
      <c r="M342" s="2" t="s">
        <v>39</v>
      </c>
      <c r="N342" s="2" t="s">
        <v>2345</v>
      </c>
      <c r="O342" s="2" t="s">
        <v>91</v>
      </c>
      <c r="P342" s="2" t="s">
        <v>43</v>
      </c>
      <c r="Q342" s="2" t="s">
        <v>311</v>
      </c>
      <c r="R342" s="2" t="s">
        <v>311</v>
      </c>
      <c r="S342" s="2" t="s">
        <v>43</v>
      </c>
      <c r="T342" s="2"/>
      <c r="U342" s="2" t="s">
        <v>43</v>
      </c>
      <c r="V342" s="2"/>
      <c r="W342" s="3"/>
      <c r="X342" s="2"/>
      <c r="Y342" s="2"/>
      <c r="Z342" s="2"/>
      <c r="AA342" s="2"/>
      <c r="AB342" s="2"/>
      <c r="AC342" s="2"/>
      <c r="AD342" s="2"/>
      <c r="AE342" s="2"/>
    </row>
    <row r="343" spans="1:31" ht="163.5">
      <c r="A343" s="2" t="s">
        <v>1569</v>
      </c>
      <c r="B343" s="2" t="s">
        <v>1570</v>
      </c>
      <c r="C343" s="2" t="str">
        <f>sheet13[[#This Row],[Nombre]]&amp;sheet13[[#This Row],[Bp Id]]</f>
        <v>Notificaciones SMS AnywayOMN0005</v>
      </c>
      <c r="D343" s="2" t="str">
        <f>VLOOKUP(sheet13[[#This Row],[Columna1]],Sheet2!C:S,4,FALSE)</f>
        <v>Operativo</v>
      </c>
      <c r="E343" s="2" t="s">
        <v>139</v>
      </c>
      <c r="F343" s="2" t="s">
        <v>32</v>
      </c>
      <c r="G343" s="2" t="s">
        <v>76</v>
      </c>
      <c r="H343" s="2" t="s">
        <v>140</v>
      </c>
      <c r="I343" s="2" t="s">
        <v>49</v>
      </c>
      <c r="J343" s="2" t="s">
        <v>50</v>
      </c>
      <c r="K343" s="2" t="s">
        <v>51</v>
      </c>
      <c r="L343" s="2" t="s">
        <v>51</v>
      </c>
      <c r="M343" s="2" t="s">
        <v>39</v>
      </c>
      <c r="N343" s="2" t="s">
        <v>2343</v>
      </c>
      <c r="O343" s="2" t="s">
        <v>40</v>
      </c>
      <c r="P343" s="2" t="s">
        <v>41</v>
      </c>
      <c r="Q343" s="2" t="s">
        <v>53</v>
      </c>
      <c r="R343" s="2" t="s">
        <v>53</v>
      </c>
      <c r="S343" s="2" t="s">
        <v>41</v>
      </c>
      <c r="T343" s="2"/>
      <c r="U343" s="2" t="s">
        <v>41</v>
      </c>
      <c r="V343" s="2" t="s">
        <v>2362</v>
      </c>
      <c r="W343" s="3">
        <v>45200</v>
      </c>
      <c r="X343" s="2"/>
      <c r="Y343" s="2" t="s">
        <v>179</v>
      </c>
      <c r="Z343" s="2" t="s">
        <v>146</v>
      </c>
      <c r="AA343" s="2" t="s">
        <v>127</v>
      </c>
      <c r="AB343" s="2" t="s">
        <v>127</v>
      </c>
      <c r="AC343" s="2" t="s">
        <v>2363</v>
      </c>
      <c r="AD343" s="2" t="s">
        <v>129</v>
      </c>
      <c r="AE343" s="2" t="s">
        <v>1573</v>
      </c>
    </row>
    <row r="344" spans="1:31" ht="409.6">
      <c r="A344" s="2" t="s">
        <v>1574</v>
      </c>
      <c r="B344" s="2" t="s">
        <v>1575</v>
      </c>
      <c r="C344" s="2" t="str">
        <f>sheet13[[#This Row],[Nombre]]&amp;sheet13[[#This Row],[Bp Id]]</f>
        <v>Switch TOTEMCHL0029</v>
      </c>
      <c r="D344" s="2" t="str">
        <f>VLOOKUP(sheet13[[#This Row],[Columna1]],Sheet2!C:S,4,FALSE)</f>
        <v>Retirado</v>
      </c>
      <c r="E344" s="2" t="s">
        <v>1576</v>
      </c>
      <c r="F344" s="2" t="s">
        <v>47</v>
      </c>
      <c r="G344" s="2" t="s">
        <v>33</v>
      </c>
      <c r="H344" s="2" t="s">
        <v>34</v>
      </c>
      <c r="I344" s="2" t="s">
        <v>35</v>
      </c>
      <c r="J344" s="2" t="s">
        <v>349</v>
      </c>
      <c r="K344" s="2" t="s">
        <v>381</v>
      </c>
      <c r="L344" s="2" t="s">
        <v>350</v>
      </c>
      <c r="M344" s="2" t="s">
        <v>621</v>
      </c>
      <c r="N344" s="2" t="s">
        <v>2345</v>
      </c>
      <c r="O344" s="2" t="s">
        <v>40</v>
      </c>
      <c r="P344" s="2" t="s">
        <v>43</v>
      </c>
      <c r="Q344" s="2" t="s">
        <v>53</v>
      </c>
      <c r="R344" s="2" t="s">
        <v>53</v>
      </c>
      <c r="S344" s="2" t="s">
        <v>43</v>
      </c>
      <c r="T344" s="2"/>
      <c r="U344" s="2" t="s">
        <v>43</v>
      </c>
      <c r="V344" s="2"/>
      <c r="W344" s="3"/>
      <c r="X344" s="2"/>
      <c r="Y344" s="2"/>
      <c r="Z344" s="2"/>
      <c r="AA344" s="2"/>
      <c r="AB344" s="2"/>
      <c r="AC344" s="2"/>
      <c r="AD344" s="2"/>
      <c r="AE344" s="2"/>
    </row>
    <row r="345" spans="1:31" ht="225.95">
      <c r="A345" s="2" t="s">
        <v>1577</v>
      </c>
      <c r="B345" s="2" t="s">
        <v>1578</v>
      </c>
      <c r="C345" s="2" t="str">
        <f>sheet13[[#This Row],[Nombre]]&amp;sheet13[[#This Row],[Bp Id]]</f>
        <v>Switch-SwitchVPRD0032</v>
      </c>
      <c r="D345" s="2" t="str">
        <f>VLOOKUP(sheet13[[#This Row],[Columna1]],Sheet2!C:S,4,FALSE)</f>
        <v>Operativo</v>
      </c>
      <c r="E345" s="2" t="s">
        <v>1579</v>
      </c>
      <c r="F345" s="2" t="s">
        <v>32</v>
      </c>
      <c r="G345" s="2" t="s">
        <v>48</v>
      </c>
      <c r="H345" s="2" t="s">
        <v>34</v>
      </c>
      <c r="I345" s="2" t="s">
        <v>116</v>
      </c>
      <c r="J345" s="2" t="s">
        <v>62</v>
      </c>
      <c r="K345" s="2" t="s">
        <v>555</v>
      </c>
      <c r="L345" s="2" t="s">
        <v>1174</v>
      </c>
      <c r="M345" s="2" t="s">
        <v>621</v>
      </c>
      <c r="N345" s="2" t="s">
        <v>2345</v>
      </c>
      <c r="O345" s="2" t="s">
        <v>40</v>
      </c>
      <c r="P345" s="2" t="s">
        <v>43</v>
      </c>
      <c r="Q345" s="2" t="s">
        <v>53</v>
      </c>
      <c r="R345" s="2" t="s">
        <v>53</v>
      </c>
      <c r="S345" s="2" t="s">
        <v>43</v>
      </c>
      <c r="T345" s="2"/>
      <c r="U345" s="2" t="s">
        <v>43</v>
      </c>
      <c r="V345" s="2"/>
      <c r="W345" s="3"/>
      <c r="X345" s="2"/>
      <c r="Y345" s="2"/>
      <c r="Z345" s="2"/>
      <c r="AA345" s="2"/>
      <c r="AB345" s="2"/>
      <c r="AC345" s="2"/>
      <c r="AD345" s="2"/>
      <c r="AE345" s="2"/>
    </row>
    <row r="346" spans="1:31" ht="75.95">
      <c r="A346" s="2" t="s">
        <v>1580</v>
      </c>
      <c r="B346" s="2" t="s">
        <v>1581</v>
      </c>
      <c r="C346" s="2" t="str">
        <f>sheet13[[#This Row],[Nombre]]&amp;sheet13[[#This Row],[Bp Id]]</f>
        <v>Symantec Endpoint Protection ManagerSEC0039</v>
      </c>
      <c r="D346" s="2" t="str">
        <f>VLOOKUP(sheet13[[#This Row],[Columna1]],Sheet2!C:S,4,FALSE)</f>
        <v>Retirado</v>
      </c>
      <c r="E346" s="2" t="s">
        <v>1582</v>
      </c>
      <c r="F346" s="2" t="s">
        <v>47</v>
      </c>
      <c r="G346" s="2" t="s">
        <v>48</v>
      </c>
      <c r="H346" s="2" t="s">
        <v>34</v>
      </c>
      <c r="I346" s="2" t="s">
        <v>2346</v>
      </c>
      <c r="J346" s="2" t="s">
        <v>272</v>
      </c>
      <c r="K346" s="2" t="s">
        <v>176</v>
      </c>
      <c r="L346" s="2" t="s">
        <v>185</v>
      </c>
      <c r="M346" s="2" t="s">
        <v>111</v>
      </c>
      <c r="N346" s="2" t="s">
        <v>2345</v>
      </c>
      <c r="O346" s="2" t="s">
        <v>40</v>
      </c>
      <c r="P346" s="2" t="s">
        <v>41</v>
      </c>
      <c r="Q346" s="2" t="s">
        <v>53</v>
      </c>
      <c r="R346" s="2" t="s">
        <v>53</v>
      </c>
      <c r="S346" s="2" t="s">
        <v>41</v>
      </c>
      <c r="T346" s="2"/>
      <c r="U346" s="2" t="s">
        <v>43</v>
      </c>
      <c r="V346" s="2"/>
      <c r="W346" s="3"/>
      <c r="X346" s="2"/>
      <c r="Y346" s="2"/>
      <c r="Z346" s="2"/>
      <c r="AA346" s="2"/>
      <c r="AB346" s="2"/>
      <c r="AC346" s="2"/>
      <c r="AD346" s="2"/>
      <c r="AE346" s="2"/>
    </row>
    <row r="347" spans="1:31" ht="176.1">
      <c r="A347" s="2" t="s">
        <v>1583</v>
      </c>
      <c r="B347" s="2" t="s">
        <v>1584</v>
      </c>
      <c r="C347" s="2" t="str">
        <f>sheet13[[#This Row],[Nombre]]&amp;sheet13[[#This Row],[Bp Id]]</f>
        <v>Symantec Messaging GatewayITM0054</v>
      </c>
      <c r="D347" s="2" t="str">
        <f>VLOOKUP(sheet13[[#This Row],[Columna1]],Sheet2!C:S,4,FALSE)</f>
        <v>Operativo</v>
      </c>
      <c r="E347" s="2" t="s">
        <v>1585</v>
      </c>
      <c r="F347" s="2" t="s">
        <v>32</v>
      </c>
      <c r="G347" s="2" t="s">
        <v>48</v>
      </c>
      <c r="H347" s="2" t="s">
        <v>34</v>
      </c>
      <c r="I347" s="2" t="s">
        <v>68</v>
      </c>
      <c r="J347" s="2" t="s">
        <v>69</v>
      </c>
      <c r="K347" s="2" t="s">
        <v>82</v>
      </c>
      <c r="L347" s="2" t="s">
        <v>335</v>
      </c>
      <c r="M347" s="2" t="s">
        <v>52</v>
      </c>
      <c r="N347" s="2" t="s">
        <v>2343</v>
      </c>
      <c r="O347" s="2" t="s">
        <v>40</v>
      </c>
      <c r="P347" s="2" t="s">
        <v>41</v>
      </c>
      <c r="Q347" s="2" t="s">
        <v>53</v>
      </c>
      <c r="R347" s="2" t="s">
        <v>53</v>
      </c>
      <c r="S347" s="2" t="s">
        <v>43</v>
      </c>
      <c r="T347" s="2" t="s">
        <v>2344</v>
      </c>
      <c r="U347" s="2" t="s">
        <v>43</v>
      </c>
      <c r="V347" s="2"/>
      <c r="W347" s="3"/>
      <c r="X347" s="2"/>
      <c r="Y347" s="2"/>
      <c r="Z347" s="2"/>
      <c r="AA347" s="2"/>
      <c r="AB347" s="2"/>
      <c r="AC347" s="2"/>
      <c r="AD347" s="2"/>
      <c r="AE347" s="2"/>
    </row>
    <row r="348" spans="1:31" ht="88.5">
      <c r="A348" s="2" t="s">
        <v>1586</v>
      </c>
      <c r="B348" s="2" t="s">
        <v>1587</v>
      </c>
      <c r="C348" s="2" t="str">
        <f>sheet13[[#This Row],[Nombre]]&amp;sheet13[[#This Row],[Bp Id]]</f>
        <v>System CenterITM0055</v>
      </c>
      <c r="D348" s="2" t="str">
        <f>VLOOKUP(sheet13[[#This Row],[Columna1]],Sheet2!C:S,4,FALSE)</f>
        <v>Operativo</v>
      </c>
      <c r="E348" s="2" t="s">
        <v>1588</v>
      </c>
      <c r="F348" s="2" t="s">
        <v>32</v>
      </c>
      <c r="G348" s="2" t="s">
        <v>48</v>
      </c>
      <c r="H348" s="2" t="s">
        <v>34</v>
      </c>
      <c r="I348" s="2" t="s">
        <v>232</v>
      </c>
      <c r="J348" s="2" t="s">
        <v>234</v>
      </c>
      <c r="K348" s="2" t="s">
        <v>1163</v>
      </c>
      <c r="L348" s="2" t="s">
        <v>1163</v>
      </c>
      <c r="M348" s="2" t="s">
        <v>52</v>
      </c>
      <c r="N348" s="2" t="s">
        <v>2343</v>
      </c>
      <c r="O348" s="2" t="s">
        <v>40</v>
      </c>
      <c r="P348" s="2" t="s">
        <v>41</v>
      </c>
      <c r="Q348" s="2" t="s">
        <v>53</v>
      </c>
      <c r="R348" s="2" t="s">
        <v>53</v>
      </c>
      <c r="S348" s="2" t="s">
        <v>43</v>
      </c>
      <c r="T348" s="2" t="s">
        <v>2344</v>
      </c>
      <c r="U348" s="2" t="s">
        <v>43</v>
      </c>
      <c r="V348" s="2"/>
      <c r="W348" s="3"/>
      <c r="X348" s="2"/>
      <c r="Y348" s="2"/>
      <c r="Z348" s="2"/>
      <c r="AA348" s="2"/>
      <c r="AB348" s="2"/>
      <c r="AC348" s="2"/>
      <c r="AD348" s="2"/>
      <c r="AE348" s="2"/>
    </row>
    <row r="349" spans="1:31" ht="88.5">
      <c r="A349" s="2" t="s">
        <v>1589</v>
      </c>
      <c r="B349" s="2" t="s">
        <v>1590</v>
      </c>
      <c r="C349" s="2" t="str">
        <f>sheet13[[#This Row],[Nombre]]&amp;sheet13[[#This Row],[Bp Id]]</f>
        <v>System Network ArquitectureITM0056</v>
      </c>
      <c r="D349" s="2" t="str">
        <f>VLOOKUP(sheet13[[#This Row],[Columna1]],Sheet2!C:S,4,FALSE)</f>
        <v>Retirado</v>
      </c>
      <c r="E349" s="2" t="s">
        <v>908</v>
      </c>
      <c r="F349" s="2" t="s">
        <v>47</v>
      </c>
      <c r="G349" s="2" t="s">
        <v>76</v>
      </c>
      <c r="H349" s="2" t="s">
        <v>34</v>
      </c>
      <c r="I349" s="2" t="s">
        <v>68</v>
      </c>
      <c r="J349" s="2" t="s">
        <v>236</v>
      </c>
      <c r="K349" s="2"/>
      <c r="L349" s="2" t="s">
        <v>82</v>
      </c>
      <c r="M349" s="2" t="s">
        <v>52</v>
      </c>
      <c r="N349" s="2" t="s">
        <v>2345</v>
      </c>
      <c r="O349" s="2" t="s">
        <v>40</v>
      </c>
      <c r="P349" s="2" t="s">
        <v>43</v>
      </c>
      <c r="Q349" s="2" t="s">
        <v>53</v>
      </c>
      <c r="R349" s="2" t="s">
        <v>53</v>
      </c>
      <c r="S349" s="2" t="s">
        <v>43</v>
      </c>
      <c r="T349" s="2"/>
      <c r="U349" s="2" t="s">
        <v>43</v>
      </c>
      <c r="V349" s="2"/>
      <c r="W349" s="3"/>
      <c r="X349" s="2"/>
      <c r="Y349" s="2"/>
      <c r="Z349" s="2"/>
      <c r="AA349" s="2"/>
      <c r="AB349" s="2"/>
      <c r="AC349" s="2"/>
      <c r="AD349" s="2"/>
      <c r="AE349" s="2"/>
    </row>
    <row r="350" spans="1:31" ht="251.1">
      <c r="A350" s="2" t="s">
        <v>1591</v>
      </c>
      <c r="B350" s="2" t="s">
        <v>1592</v>
      </c>
      <c r="C350" s="2" t="str">
        <f>sheet13[[#This Row],[Nombre]]&amp;sheet13[[#This Row],[Bp Id]]</f>
        <v>Tablero Comex (TABLERO COMEX 2.0)PRD0033</v>
      </c>
      <c r="D350" s="2" t="str">
        <f>VLOOKUP(sheet13[[#This Row],[Columna1]],Sheet2!C:S,4,FALSE)</f>
        <v>Retirado</v>
      </c>
      <c r="E350" s="2" t="s">
        <v>1593</v>
      </c>
      <c r="F350" s="2" t="s">
        <v>47</v>
      </c>
      <c r="G350" s="2" t="s">
        <v>76</v>
      </c>
      <c r="H350" s="2" t="s">
        <v>34</v>
      </c>
      <c r="I350" s="2" t="s">
        <v>553</v>
      </c>
      <c r="J350" s="2" t="s">
        <v>554</v>
      </c>
      <c r="K350" s="2" t="s">
        <v>2364</v>
      </c>
      <c r="L350" s="2" t="s">
        <v>2201</v>
      </c>
      <c r="M350" s="2" t="s">
        <v>39</v>
      </c>
      <c r="N350" s="2" t="s">
        <v>2345</v>
      </c>
      <c r="O350" s="2" t="s">
        <v>40</v>
      </c>
      <c r="P350" s="2" t="s">
        <v>41</v>
      </c>
      <c r="Q350" s="2" t="s">
        <v>53</v>
      </c>
      <c r="R350" s="2" t="s">
        <v>53</v>
      </c>
      <c r="S350" s="2" t="s">
        <v>41</v>
      </c>
      <c r="T350" s="2"/>
      <c r="U350" s="2" t="s">
        <v>43</v>
      </c>
      <c r="V350" s="2" t="s">
        <v>193</v>
      </c>
      <c r="W350" s="3"/>
      <c r="X350" s="2"/>
      <c r="Y350" s="2"/>
      <c r="Z350" s="2"/>
      <c r="AA350" s="2"/>
      <c r="AB350" s="2"/>
      <c r="AC350" s="2"/>
      <c r="AD350" s="2"/>
      <c r="AE350" s="2"/>
    </row>
    <row r="351" spans="1:31" ht="51">
      <c r="A351" s="2" t="s">
        <v>1594</v>
      </c>
      <c r="B351" s="2" t="s">
        <v>1595</v>
      </c>
      <c r="C351" s="2" t="str">
        <f>sheet13[[#This Row],[Nombre]]&amp;sheet13[[#This Row],[Bp Id]]</f>
        <v>TangoCHL0043</v>
      </c>
      <c r="D351" s="2" t="str">
        <f>VLOOKUP(sheet13[[#This Row],[Columna1]],Sheet2!C:S,4,FALSE)</f>
        <v>Operativo</v>
      </c>
      <c r="E351" s="2" t="s">
        <v>432</v>
      </c>
      <c r="F351" s="2" t="s">
        <v>32</v>
      </c>
      <c r="G351" s="2" t="s">
        <v>123</v>
      </c>
      <c r="H351" s="2" t="s">
        <v>140</v>
      </c>
      <c r="I351" s="2" t="s">
        <v>35</v>
      </c>
      <c r="J351" s="2" t="s">
        <v>349</v>
      </c>
      <c r="K351" s="2" t="s">
        <v>381</v>
      </c>
      <c r="L351" s="2" t="s">
        <v>1596</v>
      </c>
      <c r="M351" s="2" t="s">
        <v>621</v>
      </c>
      <c r="N351" s="2" t="s">
        <v>2345</v>
      </c>
      <c r="O351" s="2" t="s">
        <v>40</v>
      </c>
      <c r="P351" s="2" t="s">
        <v>43</v>
      </c>
      <c r="Q351" s="2" t="s">
        <v>53</v>
      </c>
      <c r="R351" s="2" t="s">
        <v>53</v>
      </c>
      <c r="S351" s="2" t="s">
        <v>43</v>
      </c>
      <c r="T351" s="2"/>
      <c r="U351" s="2" t="s">
        <v>43</v>
      </c>
      <c r="V351" s="2"/>
      <c r="W351" s="3"/>
      <c r="X351" s="2"/>
      <c r="Y351" s="2"/>
      <c r="Z351" s="2"/>
      <c r="AA351" s="2"/>
      <c r="AB351" s="2"/>
      <c r="AC351" s="2"/>
      <c r="AD351" s="2"/>
      <c r="AE351" s="2"/>
    </row>
    <row r="352" spans="1:31" ht="63.6">
      <c r="A352" s="2" t="s">
        <v>1597</v>
      </c>
      <c r="B352" s="2" t="s">
        <v>1598</v>
      </c>
      <c r="C352" s="2" t="str">
        <f>sheet13[[#This Row],[Nombre]]&amp;sheet13[[#This Row],[Bp Id]]</f>
        <v>Tarjeta de crédito adicionalPAY0019</v>
      </c>
      <c r="D352" s="2" t="str">
        <f>VLOOKUP(sheet13[[#This Row],[Columna1]],Sheet2!C:S,4,FALSE)</f>
        <v>Retirado</v>
      </c>
      <c r="E352" s="2" t="s">
        <v>139</v>
      </c>
      <c r="F352" s="2" t="s">
        <v>47</v>
      </c>
      <c r="G352" s="2" t="s">
        <v>48</v>
      </c>
      <c r="H352" s="2" t="s">
        <v>59</v>
      </c>
      <c r="I352" s="2" t="s">
        <v>141</v>
      </c>
      <c r="J352" s="2" t="s">
        <v>142</v>
      </c>
      <c r="K352" s="2" t="s">
        <v>151</v>
      </c>
      <c r="L352" s="2" t="s">
        <v>151</v>
      </c>
      <c r="M352" s="2" t="s">
        <v>39</v>
      </c>
      <c r="N352" s="2" t="s">
        <v>2345</v>
      </c>
      <c r="O352" s="2" t="s">
        <v>40</v>
      </c>
      <c r="P352" s="2" t="s">
        <v>41</v>
      </c>
      <c r="Q352" s="2" t="s">
        <v>53</v>
      </c>
      <c r="R352" s="2" t="s">
        <v>53</v>
      </c>
      <c r="S352" s="2" t="s">
        <v>41</v>
      </c>
      <c r="T352" s="2"/>
      <c r="U352" s="2" t="s">
        <v>43</v>
      </c>
      <c r="V352" s="2"/>
      <c r="W352" s="3"/>
      <c r="X352" s="2"/>
      <c r="Y352" s="2"/>
      <c r="Z352" s="2"/>
      <c r="AA352" s="2"/>
      <c r="AB352" s="2"/>
      <c r="AC352" s="2"/>
      <c r="AD352" s="2"/>
      <c r="AE352" s="2"/>
    </row>
    <row r="353" spans="1:31" ht="238.5">
      <c r="A353" s="2" t="s">
        <v>1599</v>
      </c>
      <c r="B353" s="2" t="s">
        <v>1600</v>
      </c>
      <c r="C353" s="2" t="str">
        <f>sheet13[[#This Row],[Nombre]]&amp;sheet13[[#This Row],[Bp Id]]</f>
        <v>TarjetasPichinchaBoxCUS0014</v>
      </c>
      <c r="D353" s="2" t="str">
        <f>VLOOKUP(sheet13[[#This Row],[Columna1]],Sheet2!C:S,4,FALSE)</f>
        <v>Retirado</v>
      </c>
      <c r="E353" s="2" t="s">
        <v>1601</v>
      </c>
      <c r="F353" s="2" t="s">
        <v>47</v>
      </c>
      <c r="G353" s="2" t="s">
        <v>48</v>
      </c>
      <c r="H353" s="2" t="s">
        <v>59</v>
      </c>
      <c r="I353" s="2" t="s">
        <v>141</v>
      </c>
      <c r="J353" s="2" t="s">
        <v>142</v>
      </c>
      <c r="K353" s="2" t="s">
        <v>151</v>
      </c>
      <c r="L353" s="2" t="s">
        <v>142</v>
      </c>
      <c r="M353" s="2" t="s">
        <v>39</v>
      </c>
      <c r="N353" s="2" t="s">
        <v>2345</v>
      </c>
      <c r="O353" s="2" t="s">
        <v>91</v>
      </c>
      <c r="P353" s="2" t="s">
        <v>43</v>
      </c>
      <c r="Q353" s="2" t="s">
        <v>311</v>
      </c>
      <c r="R353" s="2" t="s">
        <v>311</v>
      </c>
      <c r="S353" s="2" t="s">
        <v>43</v>
      </c>
      <c r="T353" s="2"/>
      <c r="U353" s="2" t="s">
        <v>43</v>
      </c>
      <c r="V353" s="2"/>
      <c r="W353" s="3"/>
      <c r="X353" s="2"/>
      <c r="Y353" s="2"/>
      <c r="Z353" s="2"/>
      <c r="AA353" s="2"/>
      <c r="AB353" s="2"/>
      <c r="AC353" s="2"/>
      <c r="AD353" s="2"/>
      <c r="AE353" s="2"/>
    </row>
    <row r="354" spans="1:31" ht="213.6">
      <c r="A354" s="2" t="s">
        <v>1602</v>
      </c>
      <c r="B354" s="2" t="s">
        <v>1603</v>
      </c>
      <c r="C354" s="2" t="str">
        <f>sheet13[[#This Row],[Nombre]]&amp;sheet13[[#This Row],[Bp Id]]</f>
        <v>Tcs.Checklist (Digital Check)TIE0014</v>
      </c>
      <c r="D354" s="2" t="str">
        <f>VLOOKUP(sheet13[[#This Row],[Columna1]],Sheet2!C:S,4,FALSE)</f>
        <v>Operativo</v>
      </c>
      <c r="E354" s="2" t="s">
        <v>1604</v>
      </c>
      <c r="F354" s="2" t="s">
        <v>32</v>
      </c>
      <c r="G354" s="2" t="s">
        <v>48</v>
      </c>
      <c r="H354" s="2" t="s">
        <v>59</v>
      </c>
      <c r="I354" s="2" t="s">
        <v>487</v>
      </c>
      <c r="J354" s="2" t="s">
        <v>488</v>
      </c>
      <c r="K354" s="2" t="s">
        <v>489</v>
      </c>
      <c r="L354" s="2" t="s">
        <v>490</v>
      </c>
      <c r="M354" s="2" t="s">
        <v>39</v>
      </c>
      <c r="N354" s="2" t="s">
        <v>2343</v>
      </c>
      <c r="O354" s="2" t="s">
        <v>40</v>
      </c>
      <c r="P354" s="2" t="s">
        <v>43</v>
      </c>
      <c r="Q354" s="2" t="s">
        <v>53</v>
      </c>
      <c r="R354" s="2" t="s">
        <v>53</v>
      </c>
      <c r="S354" s="2" t="s">
        <v>41</v>
      </c>
      <c r="T354" s="2"/>
      <c r="U354" s="2" t="s">
        <v>41</v>
      </c>
      <c r="V354" s="2" t="s">
        <v>119</v>
      </c>
      <c r="W354" s="3">
        <v>45199</v>
      </c>
      <c r="X354" s="2"/>
      <c r="Y354" s="2"/>
      <c r="Z354" s="2"/>
      <c r="AA354" s="2"/>
      <c r="AB354" s="2"/>
      <c r="AC354" s="2"/>
      <c r="AD354" s="2"/>
      <c r="AE354" s="2"/>
    </row>
    <row r="355" spans="1:31" ht="113.45">
      <c r="A355" s="2" t="s">
        <v>1605</v>
      </c>
      <c r="B355" s="2" t="s">
        <v>1606</v>
      </c>
      <c r="C355" s="2" t="str">
        <f>sheet13[[#This Row],[Nombre]]&amp;sheet13[[#This Row],[Bp Id]]</f>
        <v>TenableSEC0069</v>
      </c>
      <c r="D355" s="2" t="str">
        <f>VLOOKUP(sheet13[[#This Row],[Columna1]],Sheet2!C:S,4,FALSE)</f>
        <v>Operativo</v>
      </c>
      <c r="E355" s="2" t="s">
        <v>1607</v>
      </c>
      <c r="F355" s="2" t="s">
        <v>32</v>
      </c>
      <c r="G355" s="2" t="s">
        <v>48</v>
      </c>
      <c r="H355" s="2" t="s">
        <v>345</v>
      </c>
      <c r="I355" s="2" t="s">
        <v>2348</v>
      </c>
      <c r="J355" s="2" t="s">
        <v>214</v>
      </c>
      <c r="K355" s="2" t="s">
        <v>176</v>
      </c>
      <c r="L355" s="2" t="s">
        <v>1330</v>
      </c>
      <c r="M355" s="2" t="s">
        <v>111</v>
      </c>
      <c r="N355" s="2" t="s">
        <v>2343</v>
      </c>
      <c r="O355" s="2" t="s">
        <v>40</v>
      </c>
      <c r="P355" s="2" t="s">
        <v>41</v>
      </c>
      <c r="Q355" s="2" t="s">
        <v>64</v>
      </c>
      <c r="R355" s="2" t="s">
        <v>53</v>
      </c>
      <c r="S355" s="2" t="s">
        <v>41</v>
      </c>
      <c r="T355" s="2"/>
      <c r="U355" s="2" t="s">
        <v>41</v>
      </c>
      <c r="V355" s="2"/>
      <c r="W355" s="3">
        <v>46045</v>
      </c>
      <c r="X355" s="2" t="s">
        <v>660</v>
      </c>
      <c r="Y355" s="2" t="s">
        <v>126</v>
      </c>
      <c r="Z355" s="2" t="s">
        <v>375</v>
      </c>
      <c r="AA355" s="2" t="s">
        <v>127</v>
      </c>
      <c r="AB355" s="2" t="s">
        <v>127</v>
      </c>
      <c r="AC355" s="2" t="s">
        <v>180</v>
      </c>
      <c r="AD355" s="2" t="s">
        <v>129</v>
      </c>
      <c r="AE355" s="2" t="s">
        <v>1608</v>
      </c>
    </row>
    <row r="356" spans="1:31" ht="213.6">
      <c r="A356" s="2" t="s">
        <v>1609</v>
      </c>
      <c r="B356" s="2" t="s">
        <v>1610</v>
      </c>
      <c r="C356" s="2" t="str">
        <f>sheet13[[#This Row],[Nombre]]&amp;sheet13[[#This Row],[Bp Id]]</f>
        <v>TotemCCEPAY0021</v>
      </c>
      <c r="D356" s="2" t="str">
        <f>VLOOKUP(sheet13[[#This Row],[Columna1]],Sheet2!C:S,4,FALSE)</f>
        <v>Operativo</v>
      </c>
      <c r="E356" s="2" t="s">
        <v>1611</v>
      </c>
      <c r="F356" s="2" t="s">
        <v>32</v>
      </c>
      <c r="G356" s="2" t="s">
        <v>48</v>
      </c>
      <c r="H356" s="2" t="s">
        <v>34</v>
      </c>
      <c r="I356" s="2" t="s">
        <v>141</v>
      </c>
      <c r="J356" s="2" t="s">
        <v>151</v>
      </c>
      <c r="K356" s="2" t="s">
        <v>564</v>
      </c>
      <c r="L356" s="2" t="s">
        <v>565</v>
      </c>
      <c r="M356" s="2" t="s">
        <v>39</v>
      </c>
      <c r="N356" s="2" t="s">
        <v>2343</v>
      </c>
      <c r="O356" s="2" t="s">
        <v>40</v>
      </c>
      <c r="P356" s="2" t="s">
        <v>41</v>
      </c>
      <c r="Q356" s="2" t="s">
        <v>53</v>
      </c>
      <c r="R356" s="2" t="s">
        <v>53</v>
      </c>
      <c r="S356" s="2" t="s">
        <v>41</v>
      </c>
      <c r="T356" s="2"/>
      <c r="U356" s="2" t="s">
        <v>41</v>
      </c>
      <c r="V356" s="2"/>
      <c r="W356" s="3">
        <v>45200</v>
      </c>
      <c r="X356" s="2"/>
      <c r="Y356" s="2" t="s">
        <v>375</v>
      </c>
      <c r="Z356" s="2" t="s">
        <v>253</v>
      </c>
      <c r="AA356" s="2" t="s">
        <v>127</v>
      </c>
      <c r="AB356" s="2" t="s">
        <v>127</v>
      </c>
      <c r="AC356" s="2" t="s">
        <v>180</v>
      </c>
      <c r="AD356" s="2"/>
      <c r="AE356" s="2" t="s">
        <v>1612</v>
      </c>
    </row>
    <row r="357" spans="1:31" ht="113.45">
      <c r="A357" s="2" t="s">
        <v>1613</v>
      </c>
      <c r="B357" s="2" t="s">
        <v>1614</v>
      </c>
      <c r="C357" s="2" t="str">
        <f>sheet13[[#This Row],[Nombre]]&amp;sheet13[[#This Row],[Bp Id]]</f>
        <v>Trend Micro Control ManagerSEC0040</v>
      </c>
      <c r="D357" s="2" t="str">
        <f>VLOOKUP(sheet13[[#This Row],[Columna1]],Sheet2!C:S,4,FALSE)</f>
        <v>Retirado</v>
      </c>
      <c r="E357" s="2" t="s">
        <v>1615</v>
      </c>
      <c r="F357" s="2" t="s">
        <v>47</v>
      </c>
      <c r="G357" s="2" t="s">
        <v>48</v>
      </c>
      <c r="H357" s="2" t="s">
        <v>34</v>
      </c>
      <c r="I357" s="2" t="s">
        <v>2346</v>
      </c>
      <c r="J357" s="2" t="s">
        <v>272</v>
      </c>
      <c r="K357" s="2" t="s">
        <v>176</v>
      </c>
      <c r="L357" s="2" t="s">
        <v>175</v>
      </c>
      <c r="M357" s="2" t="s">
        <v>111</v>
      </c>
      <c r="N357" s="2" t="s">
        <v>2345</v>
      </c>
      <c r="O357" s="2" t="s">
        <v>40</v>
      </c>
      <c r="P357" s="2" t="s">
        <v>41</v>
      </c>
      <c r="Q357" s="2" t="s">
        <v>53</v>
      </c>
      <c r="R357" s="2" t="s">
        <v>53</v>
      </c>
      <c r="S357" s="2" t="s">
        <v>41</v>
      </c>
      <c r="T357" s="2"/>
      <c r="U357" s="2" t="s">
        <v>43</v>
      </c>
      <c r="V357" s="2"/>
      <c r="W357" s="3"/>
      <c r="X357" s="2"/>
      <c r="Y357" s="2"/>
      <c r="Z357" s="2"/>
      <c r="AA357" s="2"/>
      <c r="AB357" s="2"/>
      <c r="AC357" s="2"/>
      <c r="AD357" s="2"/>
      <c r="AE357" s="2"/>
    </row>
    <row r="358" spans="1:31" ht="188.45">
      <c r="A358" s="2" t="s">
        <v>1616</v>
      </c>
      <c r="B358" s="2" t="s">
        <v>1617</v>
      </c>
      <c r="C358" s="2" t="str">
        <f>sheet13[[#This Row],[Nombre]]&amp;sheet13[[#This Row],[Bp Id]]</f>
        <v>Turno DigitalCHL0042</v>
      </c>
      <c r="D358" s="2" t="str">
        <f>VLOOKUP(sheet13[[#This Row],[Columna1]],Sheet2!C:S,4,FALSE)</f>
        <v>Operativo</v>
      </c>
      <c r="E358" s="2" t="s">
        <v>1618</v>
      </c>
      <c r="F358" s="2" t="s">
        <v>32</v>
      </c>
      <c r="G358" s="2" t="s">
        <v>48</v>
      </c>
      <c r="H358" s="2" t="s">
        <v>59</v>
      </c>
      <c r="I358" s="2" t="s">
        <v>35</v>
      </c>
      <c r="J358" s="2" t="s">
        <v>36</v>
      </c>
      <c r="K358" s="2" t="s">
        <v>2365</v>
      </c>
      <c r="L358" s="2" t="s">
        <v>36</v>
      </c>
      <c r="M358" s="2" t="s">
        <v>63</v>
      </c>
      <c r="N358" s="2" t="s">
        <v>2343</v>
      </c>
      <c r="O358" s="2" t="s">
        <v>40</v>
      </c>
      <c r="P358" s="2" t="s">
        <v>43</v>
      </c>
      <c r="Q358" s="2" t="s">
        <v>64</v>
      </c>
      <c r="R358" s="2" t="s">
        <v>42</v>
      </c>
      <c r="S358" s="2" t="s">
        <v>41</v>
      </c>
      <c r="T358" s="2"/>
      <c r="U358" s="2" t="s">
        <v>41</v>
      </c>
      <c r="V358" s="2" t="s">
        <v>1619</v>
      </c>
      <c r="W358" s="3">
        <v>46066</v>
      </c>
      <c r="X358" s="2" t="s">
        <v>682</v>
      </c>
      <c r="Y358" s="2"/>
      <c r="Z358" s="2"/>
      <c r="AA358" s="2" t="s">
        <v>376</v>
      </c>
      <c r="AB358" s="2" t="s">
        <v>127</v>
      </c>
      <c r="AC358" s="2" t="s">
        <v>263</v>
      </c>
      <c r="AD358" s="2" t="s">
        <v>129</v>
      </c>
      <c r="AE358" s="2" t="s">
        <v>1620</v>
      </c>
    </row>
    <row r="359" spans="1:31" ht="163.5">
      <c r="A359" s="2" t="s">
        <v>628</v>
      </c>
      <c r="B359" s="2" t="s">
        <v>629</v>
      </c>
      <c r="C359" s="2" t="str">
        <f>sheet13[[#This Row],[Nombre]]&amp;sheet13[[#This Row],[Bp Id]]</f>
        <v>Banner CampañasCUS0018</v>
      </c>
      <c r="D359" s="2" t="str">
        <f>VLOOKUP(sheet13[[#This Row],[Columna1]],Sheet2!C:S,4,FALSE)</f>
        <v>Operativo</v>
      </c>
      <c r="E359" s="2" t="s">
        <v>1621</v>
      </c>
      <c r="F359" s="2" t="s">
        <v>32</v>
      </c>
      <c r="G359" s="2" t="s">
        <v>48</v>
      </c>
      <c r="H359" s="2" t="s">
        <v>59</v>
      </c>
      <c r="I359" s="2" t="s">
        <v>87</v>
      </c>
      <c r="J359" s="2" t="s">
        <v>88</v>
      </c>
      <c r="K359" s="2" t="s">
        <v>479</v>
      </c>
      <c r="L359" s="2" t="s">
        <v>88</v>
      </c>
      <c r="M359" s="2" t="s">
        <v>63</v>
      </c>
      <c r="N359" s="2" t="s">
        <v>2343</v>
      </c>
      <c r="O359" s="2" t="s">
        <v>40</v>
      </c>
      <c r="P359" s="2" t="s">
        <v>43</v>
      </c>
      <c r="Q359" s="2" t="s">
        <v>64</v>
      </c>
      <c r="R359" s="2" t="s">
        <v>64</v>
      </c>
      <c r="S359" s="2" t="s">
        <v>43</v>
      </c>
      <c r="T359" s="2" t="s">
        <v>2344</v>
      </c>
      <c r="U359" s="2" t="s">
        <v>43</v>
      </c>
      <c r="V359" s="2"/>
      <c r="W359" s="3"/>
      <c r="X359" s="2"/>
      <c r="Y359" s="2"/>
      <c r="Z359" s="2"/>
      <c r="AA359" s="2"/>
      <c r="AB359" s="2"/>
      <c r="AC359" s="2"/>
      <c r="AD359" s="2"/>
      <c r="AE359" s="2"/>
    </row>
    <row r="360" spans="1:31" ht="138.6">
      <c r="A360" s="2" t="s">
        <v>1622</v>
      </c>
      <c r="B360" s="2" t="s">
        <v>1623</v>
      </c>
      <c r="C360" s="2" t="str">
        <f>sheet13[[#This Row],[Nombre]]&amp;sheet13[[#This Row],[Bp Id]]</f>
        <v>UCMDBITM0058</v>
      </c>
      <c r="D360" s="2" t="str">
        <f>VLOOKUP(sheet13[[#This Row],[Columna1]],Sheet2!C:S,4,FALSE)</f>
        <v>Retirado</v>
      </c>
      <c r="E360" s="2" t="s">
        <v>1624</v>
      </c>
      <c r="F360" s="2" t="s">
        <v>47</v>
      </c>
      <c r="G360" s="2" t="s">
        <v>48</v>
      </c>
      <c r="H360" s="2" t="s">
        <v>34</v>
      </c>
      <c r="I360" s="2" t="s">
        <v>232</v>
      </c>
      <c r="J360" s="2" t="s">
        <v>69</v>
      </c>
      <c r="K360" s="2" t="s">
        <v>1260</v>
      </c>
      <c r="L360" s="2" t="s">
        <v>1260</v>
      </c>
      <c r="M360" s="2" t="s">
        <v>52</v>
      </c>
      <c r="N360" s="2" t="s">
        <v>2345</v>
      </c>
      <c r="O360" s="2" t="s">
        <v>40</v>
      </c>
      <c r="P360" s="2" t="s">
        <v>41</v>
      </c>
      <c r="Q360" s="2" t="s">
        <v>42</v>
      </c>
      <c r="R360" s="2" t="s">
        <v>42</v>
      </c>
      <c r="S360" s="2" t="s">
        <v>43</v>
      </c>
      <c r="T360" s="2"/>
      <c r="U360" s="2" t="s">
        <v>43</v>
      </c>
      <c r="V360" s="2"/>
      <c r="W360" s="3"/>
      <c r="X360" s="2"/>
      <c r="Y360" s="2"/>
      <c r="Z360" s="2"/>
      <c r="AA360" s="2"/>
      <c r="AB360" s="2"/>
      <c r="AC360" s="2"/>
      <c r="AD360" s="2"/>
      <c r="AE360" s="2"/>
    </row>
    <row r="361" spans="1:31" ht="88.5">
      <c r="A361" s="2" t="s">
        <v>1625</v>
      </c>
      <c r="B361" s="2" t="s">
        <v>1626</v>
      </c>
      <c r="C361" s="2" t="str">
        <f>sheet13[[#This Row],[Nombre]]&amp;sheet13[[#This Row],[Bp Id]]</f>
        <v>UxcamEDC0008</v>
      </c>
      <c r="D361" s="2" t="str">
        <f>VLOOKUP(sheet13[[#This Row],[Columna1]],Sheet2!C:S,4,FALSE)</f>
        <v>Retirado</v>
      </c>
      <c r="E361" s="2" t="s">
        <v>1627</v>
      </c>
      <c r="F361" s="2" t="s">
        <v>47</v>
      </c>
      <c r="G361" s="2" t="s">
        <v>48</v>
      </c>
      <c r="H361" s="2" t="s">
        <v>59</v>
      </c>
      <c r="I361" s="2" t="s">
        <v>294</v>
      </c>
      <c r="J361" s="2" t="s">
        <v>880</v>
      </c>
      <c r="K361" s="2" t="s">
        <v>880</v>
      </c>
      <c r="L361" s="2" t="s">
        <v>880</v>
      </c>
      <c r="M361" s="2" t="s">
        <v>296</v>
      </c>
      <c r="N361" s="2" t="s">
        <v>2345</v>
      </c>
      <c r="O361" s="2" t="s">
        <v>40</v>
      </c>
      <c r="P361" s="2" t="s">
        <v>41</v>
      </c>
      <c r="Q361" s="2" t="s">
        <v>53</v>
      </c>
      <c r="R361" s="2" t="s">
        <v>53</v>
      </c>
      <c r="S361" s="2" t="s">
        <v>43</v>
      </c>
      <c r="T361" s="2"/>
      <c r="U361" s="2" t="s">
        <v>43</v>
      </c>
      <c r="V361" s="2"/>
      <c r="W361" s="3"/>
      <c r="X361" s="2"/>
      <c r="Y361" s="2"/>
      <c r="Z361" s="2"/>
      <c r="AA361" s="2"/>
      <c r="AB361" s="2"/>
      <c r="AC361" s="2"/>
      <c r="AD361" s="2"/>
      <c r="AE361" s="2"/>
    </row>
    <row r="362" spans="1:31" ht="150.94999999999999">
      <c r="A362" s="2" t="s">
        <v>1628</v>
      </c>
      <c r="B362" s="2" t="s">
        <v>1629</v>
      </c>
      <c r="C362" s="2" t="str">
        <f>sheet13[[#This Row],[Nombre]]&amp;sheet13[[#This Row],[Bp Id]]</f>
        <v>Validación de identidades (Facephi)SEC0073</v>
      </c>
      <c r="D362" s="2" t="str">
        <f>VLOOKUP(sheet13[[#This Row],[Columna1]],Sheet2!C:S,4,FALSE)</f>
        <v>Operativo</v>
      </c>
      <c r="E362" s="2" t="s">
        <v>1630</v>
      </c>
      <c r="F362" s="2" t="s">
        <v>32</v>
      </c>
      <c r="G362" s="2" t="s">
        <v>58</v>
      </c>
      <c r="H362" s="2" t="s">
        <v>59</v>
      </c>
      <c r="I362" s="2" t="s">
        <v>208</v>
      </c>
      <c r="J362" s="2" t="s">
        <v>209</v>
      </c>
      <c r="K362" s="2" t="s">
        <v>209</v>
      </c>
      <c r="L362" s="2" t="s">
        <v>209</v>
      </c>
      <c r="M362" s="2" t="s">
        <v>52</v>
      </c>
      <c r="N362" s="2" t="s">
        <v>2343</v>
      </c>
      <c r="O362" s="2" t="s">
        <v>40</v>
      </c>
      <c r="P362" s="2" t="s">
        <v>43</v>
      </c>
      <c r="Q362" s="2" t="s">
        <v>64</v>
      </c>
      <c r="R362" s="2" t="s">
        <v>64</v>
      </c>
      <c r="S362" s="2" t="s">
        <v>43</v>
      </c>
      <c r="T362" s="2" t="s">
        <v>2344</v>
      </c>
      <c r="U362" s="2" t="s">
        <v>43</v>
      </c>
      <c r="V362" s="2"/>
      <c r="W362" s="3"/>
      <c r="X362" s="2"/>
      <c r="Y362" s="2"/>
      <c r="Z362" s="2"/>
      <c r="AA362" s="2"/>
      <c r="AB362" s="2"/>
      <c r="AC362" s="2"/>
      <c r="AD362" s="2"/>
      <c r="AE362" s="2"/>
    </row>
    <row r="363" spans="1:31" ht="88.5">
      <c r="A363" s="2" t="s">
        <v>1631</v>
      </c>
      <c r="B363" s="2" t="s">
        <v>1632</v>
      </c>
      <c r="C363" s="2" t="str">
        <f>sheet13[[#This Row],[Nombre]]&amp;sheet13[[#This Row],[Bp Id]]</f>
        <v>BLSSITM0070</v>
      </c>
      <c r="D363" s="2" t="str">
        <f>VLOOKUP(sheet13[[#This Row],[Columna1]],Sheet2!C:S,4,FALSE)</f>
        <v>Operativo</v>
      </c>
      <c r="E363" s="2" t="s">
        <v>1633</v>
      </c>
      <c r="F363" s="2" t="s">
        <v>32</v>
      </c>
      <c r="G363" s="2" t="s">
        <v>58</v>
      </c>
      <c r="H363" s="2" t="s">
        <v>34</v>
      </c>
      <c r="I363" s="2" t="s">
        <v>68</v>
      </c>
      <c r="J363" s="2" t="s">
        <v>69</v>
      </c>
      <c r="K363" s="2" t="s">
        <v>77</v>
      </c>
      <c r="L363" s="2" t="s">
        <v>78</v>
      </c>
      <c r="M363" s="2" t="s">
        <v>52</v>
      </c>
      <c r="N363" s="2" t="s">
        <v>2343</v>
      </c>
      <c r="O363" s="2" t="s">
        <v>40</v>
      </c>
      <c r="P363" s="2" t="s">
        <v>41</v>
      </c>
      <c r="Q363" s="2" t="s">
        <v>53</v>
      </c>
      <c r="R363" s="2" t="s">
        <v>53</v>
      </c>
      <c r="S363" s="2" t="s">
        <v>41</v>
      </c>
      <c r="T363" s="2" t="s">
        <v>2344</v>
      </c>
      <c r="U363" s="2" t="s">
        <v>43</v>
      </c>
      <c r="V363" s="2"/>
      <c r="W363" s="3"/>
      <c r="X363" s="2"/>
      <c r="Y363" s="2"/>
      <c r="Z363" s="2"/>
      <c r="AA363" s="2"/>
      <c r="AB363" s="2"/>
      <c r="AC363" s="2"/>
      <c r="AD363" s="2"/>
      <c r="AE363" s="2"/>
    </row>
    <row r="364" spans="1:31" ht="126">
      <c r="A364" s="2" t="s">
        <v>1634</v>
      </c>
      <c r="B364" s="2" t="s">
        <v>1635</v>
      </c>
      <c r="C364" s="2" t="str">
        <f>sheet13[[#This Row],[Nombre]]&amp;sheet13[[#This Row],[Bp Id]]</f>
        <v>Ventana MarcoITM0062</v>
      </c>
      <c r="D364" s="2" t="str">
        <f>VLOOKUP(sheet13[[#This Row],[Columna1]],Sheet2!C:S,4,FALSE)</f>
        <v>Retirado</v>
      </c>
      <c r="E364" s="2" t="s">
        <v>1636</v>
      </c>
      <c r="F364" s="2" t="s">
        <v>47</v>
      </c>
      <c r="G364" s="2" t="s">
        <v>48</v>
      </c>
      <c r="H364" s="2" t="s">
        <v>34</v>
      </c>
      <c r="I364" s="2" t="s">
        <v>339</v>
      </c>
      <c r="J364" s="2" t="s">
        <v>50</v>
      </c>
      <c r="K364" s="2" t="s">
        <v>50</v>
      </c>
      <c r="L364" s="2" t="s">
        <v>1637</v>
      </c>
      <c r="M364" s="2" t="s">
        <v>63</v>
      </c>
      <c r="N364" s="2" t="s">
        <v>2345</v>
      </c>
      <c r="O364" s="2" t="s">
        <v>40</v>
      </c>
      <c r="P364" s="2" t="s">
        <v>43</v>
      </c>
      <c r="Q364" s="2" t="s">
        <v>53</v>
      </c>
      <c r="R364" s="2" t="s">
        <v>53</v>
      </c>
      <c r="S364" s="2" t="s">
        <v>41</v>
      </c>
      <c r="T364" s="2"/>
      <c r="U364" s="2" t="s">
        <v>41</v>
      </c>
      <c r="V364" s="2" t="s">
        <v>1638</v>
      </c>
      <c r="W364" s="3">
        <v>45199</v>
      </c>
      <c r="X364" s="2"/>
      <c r="Y364" s="2"/>
      <c r="Z364" s="2"/>
      <c r="AA364" s="2"/>
      <c r="AB364" s="2"/>
      <c r="AC364" s="2"/>
      <c r="AD364" s="2"/>
      <c r="AE364" s="2"/>
    </row>
    <row r="365" spans="1:31" ht="313.5">
      <c r="A365" s="2" t="s">
        <v>1639</v>
      </c>
      <c r="B365" s="2" t="s">
        <v>1640</v>
      </c>
      <c r="C365" s="2" t="str">
        <f>sheet13[[#This Row],[Nombre]]&amp;sheet13[[#This Row],[Bp Id]]</f>
        <v>VinculacionIntegralCHL0030</v>
      </c>
      <c r="D365" s="2" t="str">
        <f>VLOOKUP(sheet13[[#This Row],[Columna1]],Sheet2!C:S,4,FALSE)</f>
        <v>Operativo</v>
      </c>
      <c r="E365" s="2" t="s">
        <v>1641</v>
      </c>
      <c r="F365" s="2" t="s">
        <v>32</v>
      </c>
      <c r="G365" s="2" t="s">
        <v>48</v>
      </c>
      <c r="H365" s="2" t="s">
        <v>34</v>
      </c>
      <c r="I365" s="2" t="s">
        <v>35</v>
      </c>
      <c r="J365" s="2" t="s">
        <v>36</v>
      </c>
      <c r="K365" s="2" t="s">
        <v>37</v>
      </c>
      <c r="L365" s="2" t="s">
        <v>38</v>
      </c>
      <c r="M365" s="2" t="s">
        <v>39</v>
      </c>
      <c r="N365" s="2" t="s">
        <v>2343</v>
      </c>
      <c r="O365" s="2" t="s">
        <v>40</v>
      </c>
      <c r="P365" s="2" t="s">
        <v>41</v>
      </c>
      <c r="Q365" s="2" t="s">
        <v>53</v>
      </c>
      <c r="R365" s="2" t="s">
        <v>53</v>
      </c>
      <c r="S365" s="2" t="s">
        <v>41</v>
      </c>
      <c r="T365" s="2"/>
      <c r="U365" s="2" t="s">
        <v>41</v>
      </c>
      <c r="V365" s="2" t="s">
        <v>119</v>
      </c>
      <c r="W365" s="3">
        <v>45199</v>
      </c>
      <c r="X365" s="2"/>
      <c r="Y365" s="2"/>
      <c r="Z365" s="2"/>
      <c r="AA365" s="2"/>
      <c r="AB365" s="2"/>
      <c r="AC365" s="2"/>
      <c r="AD365" s="2"/>
      <c r="AE365" s="2"/>
    </row>
    <row r="366" spans="1:31" ht="63.6">
      <c r="A366" s="2" t="s">
        <v>1642</v>
      </c>
      <c r="B366" s="2" t="s">
        <v>1643</v>
      </c>
      <c r="C366" s="2" t="str">
        <f>sheet13[[#This Row],[Nombre]]&amp;sheet13[[#This Row],[Bp Id]]</f>
        <v>Visa Risk ManagerGOB0008</v>
      </c>
      <c r="D366" s="2" t="str">
        <f>VLOOKUP(sheet13[[#This Row],[Columna1]],Sheet2!C:S,4,FALSE)</f>
        <v>Operativo</v>
      </c>
      <c r="E366" s="2" t="s">
        <v>139</v>
      </c>
      <c r="F366" s="2" t="s">
        <v>32</v>
      </c>
      <c r="G366" s="2" t="s">
        <v>76</v>
      </c>
      <c r="H366" s="2" t="s">
        <v>140</v>
      </c>
      <c r="I366" s="2" t="s">
        <v>2346</v>
      </c>
      <c r="J366" s="2" t="s">
        <v>658</v>
      </c>
      <c r="K366" s="2" t="s">
        <v>1644</v>
      </c>
      <c r="L366" s="2" t="s">
        <v>1645</v>
      </c>
      <c r="M366" s="2" t="s">
        <v>111</v>
      </c>
      <c r="N366" s="2" t="s">
        <v>2343</v>
      </c>
      <c r="O366" s="2" t="s">
        <v>40</v>
      </c>
      <c r="P366" s="2" t="s">
        <v>41</v>
      </c>
      <c r="Q366" s="2" t="s">
        <v>53</v>
      </c>
      <c r="R366" s="2" t="s">
        <v>53</v>
      </c>
      <c r="S366" s="2" t="s">
        <v>41</v>
      </c>
      <c r="T366" s="2" t="s">
        <v>2344</v>
      </c>
      <c r="U366" s="2" t="s">
        <v>43</v>
      </c>
      <c r="V366" s="2"/>
      <c r="W366" s="3"/>
      <c r="X366" s="2"/>
      <c r="Y366" s="2"/>
      <c r="Z366" s="2"/>
      <c r="AA366" s="2"/>
      <c r="AB366" s="2"/>
      <c r="AC366" s="2"/>
      <c r="AD366" s="2"/>
      <c r="AE366" s="2"/>
    </row>
    <row r="367" spans="1:31" ht="150.94999999999999">
      <c r="A367" s="2" t="s">
        <v>1646</v>
      </c>
      <c r="B367" s="2" t="s">
        <v>1647</v>
      </c>
      <c r="C367" s="2" t="str">
        <f>sheet13[[#This Row],[Nombre]]&amp;sheet13[[#This Row],[Bp Id]]</f>
        <v>WAS FilenetTIE0015</v>
      </c>
      <c r="D367" s="2" t="str">
        <f>VLOOKUP(sheet13[[#This Row],[Columna1]],Sheet2!C:S,4,FALSE)</f>
        <v>Retirado</v>
      </c>
      <c r="E367" s="2" t="s">
        <v>1648</v>
      </c>
      <c r="F367" s="2" t="s">
        <v>47</v>
      </c>
      <c r="G367" s="2" t="s">
        <v>48</v>
      </c>
      <c r="H367" s="2" t="s">
        <v>34</v>
      </c>
      <c r="I367" s="2" t="s">
        <v>487</v>
      </c>
      <c r="J367" s="2" t="s">
        <v>488</v>
      </c>
      <c r="K367" s="2" t="s">
        <v>489</v>
      </c>
      <c r="L367" s="2" t="s">
        <v>490</v>
      </c>
      <c r="M367" s="2" t="s">
        <v>52</v>
      </c>
      <c r="N367" s="2" t="s">
        <v>2345</v>
      </c>
      <c r="O367" s="2" t="s">
        <v>40</v>
      </c>
      <c r="P367" s="2" t="s">
        <v>41</v>
      </c>
      <c r="Q367" s="2" t="s">
        <v>53</v>
      </c>
      <c r="R367" s="2" t="s">
        <v>53</v>
      </c>
      <c r="S367" s="2" t="s">
        <v>43</v>
      </c>
      <c r="T367" s="2"/>
      <c r="U367" s="2" t="s">
        <v>43</v>
      </c>
      <c r="V367" s="2"/>
      <c r="W367" s="3"/>
      <c r="X367" s="2"/>
      <c r="Y367" s="2"/>
      <c r="Z367" s="2"/>
      <c r="AA367" s="2"/>
      <c r="AB367" s="2"/>
      <c r="AC367" s="2"/>
      <c r="AD367" s="2"/>
      <c r="AE367" s="2"/>
    </row>
    <row r="368" spans="1:31" ht="101.1">
      <c r="A368" s="2" t="s">
        <v>1649</v>
      </c>
      <c r="B368" s="2" t="s">
        <v>1650</v>
      </c>
      <c r="C368" s="2" t="str">
        <f>sheet13[[#This Row],[Nombre]]&amp;sheet13[[#This Row],[Bp Id]]</f>
        <v>WAS NotificadorOMN0006</v>
      </c>
      <c r="D368" s="2" t="str">
        <f>VLOOKUP(sheet13[[#This Row],[Columna1]],Sheet2!C:S,4,FALSE)</f>
        <v>Operativo</v>
      </c>
      <c r="E368" s="2" t="s">
        <v>1651</v>
      </c>
      <c r="F368" s="2" t="s">
        <v>32</v>
      </c>
      <c r="G368" s="2" t="s">
        <v>123</v>
      </c>
      <c r="H368" s="2" t="s">
        <v>34</v>
      </c>
      <c r="I368" s="2" t="s">
        <v>49</v>
      </c>
      <c r="J368" s="2" t="s">
        <v>50</v>
      </c>
      <c r="K368" s="2" t="s">
        <v>51</v>
      </c>
      <c r="L368" s="2" t="s">
        <v>51</v>
      </c>
      <c r="M368" s="2" t="s">
        <v>52</v>
      </c>
      <c r="N368" s="2" t="s">
        <v>2343</v>
      </c>
      <c r="O368" s="2" t="s">
        <v>40</v>
      </c>
      <c r="P368" s="2" t="s">
        <v>41</v>
      </c>
      <c r="Q368" s="2" t="s">
        <v>42</v>
      </c>
      <c r="R368" s="2" t="s">
        <v>53</v>
      </c>
      <c r="S368" s="2" t="s">
        <v>41</v>
      </c>
      <c r="T368" s="2"/>
      <c r="U368" s="2" t="s">
        <v>41</v>
      </c>
      <c r="V368" s="2"/>
      <c r="W368" s="3">
        <v>45565</v>
      </c>
      <c r="X368" s="2" t="s">
        <v>1652</v>
      </c>
      <c r="Y368" s="2" t="s">
        <v>179</v>
      </c>
      <c r="Z368" s="2" t="s">
        <v>146</v>
      </c>
      <c r="AA368" s="2" t="s">
        <v>147</v>
      </c>
      <c r="AB368" s="2" t="s">
        <v>127</v>
      </c>
      <c r="AC368" s="2" t="s">
        <v>180</v>
      </c>
      <c r="AD368" s="2" t="s">
        <v>129</v>
      </c>
      <c r="AE368" s="2" t="s">
        <v>1653</v>
      </c>
    </row>
    <row r="369" spans="1:31" ht="213.6">
      <c r="A369" s="2" t="s">
        <v>1654</v>
      </c>
      <c r="B369" s="2" t="s">
        <v>1655</v>
      </c>
      <c r="C369" s="2" t="str">
        <f>sheet13[[#This Row],[Nombre]]&amp;sheet13[[#This Row],[Bp Id]]</f>
        <v>WAS OmnicanalidadINT0012</v>
      </c>
      <c r="D369" s="2" t="str">
        <f>VLOOKUP(sheet13[[#This Row],[Columna1]],Sheet2!C:S,4,FALSE)</f>
        <v>Operativo</v>
      </c>
      <c r="E369" s="2" t="s">
        <v>1656</v>
      </c>
      <c r="F369" s="2" t="s">
        <v>32</v>
      </c>
      <c r="G369" s="2" t="s">
        <v>123</v>
      </c>
      <c r="H369" s="2" t="s">
        <v>34</v>
      </c>
      <c r="I369" s="2" t="s">
        <v>49</v>
      </c>
      <c r="J369" s="2" t="s">
        <v>50</v>
      </c>
      <c r="K369" s="2" t="s">
        <v>51</v>
      </c>
      <c r="L369" s="2" t="s">
        <v>51</v>
      </c>
      <c r="M369" s="2" t="s">
        <v>52</v>
      </c>
      <c r="N369" s="2" t="s">
        <v>2343</v>
      </c>
      <c r="O369" s="2" t="s">
        <v>40</v>
      </c>
      <c r="P369" s="2" t="s">
        <v>41</v>
      </c>
      <c r="Q369" s="2" t="s">
        <v>53</v>
      </c>
      <c r="R369" s="2" t="s">
        <v>53</v>
      </c>
      <c r="S369" s="2" t="s">
        <v>41</v>
      </c>
      <c r="T369" s="2"/>
      <c r="U369" s="2" t="s">
        <v>41</v>
      </c>
      <c r="V369" s="2"/>
      <c r="W369" s="3">
        <v>45565</v>
      </c>
      <c r="X369" s="2" t="s">
        <v>1652</v>
      </c>
      <c r="Y369" s="2" t="s">
        <v>959</v>
      </c>
      <c r="Z369" s="2" t="s">
        <v>179</v>
      </c>
      <c r="AA369" s="2" t="s">
        <v>127</v>
      </c>
      <c r="AB369" s="2" t="s">
        <v>127</v>
      </c>
      <c r="AC369" s="2" t="s">
        <v>180</v>
      </c>
      <c r="AD369" s="2" t="s">
        <v>129</v>
      </c>
      <c r="AE369" s="2" t="s">
        <v>1657</v>
      </c>
    </row>
    <row r="370" spans="1:31" ht="213.6">
      <c r="A370" s="2" t="s">
        <v>1658</v>
      </c>
      <c r="B370" s="2" t="s">
        <v>1659</v>
      </c>
      <c r="C370" s="2" t="str">
        <f>sheet13[[#This Row],[Nombre]]&amp;sheet13[[#This Row],[Bp Id]]</f>
        <v>WAS Omnicanalidad BATCHINT0013</v>
      </c>
      <c r="D370" s="2" t="str">
        <f>VLOOKUP(sheet13[[#This Row],[Columna1]],Sheet2!C:S,4,FALSE)</f>
        <v>Retirado</v>
      </c>
      <c r="E370" s="2" t="s">
        <v>1660</v>
      </c>
      <c r="F370" s="2" t="s">
        <v>47</v>
      </c>
      <c r="G370" s="2" t="s">
        <v>123</v>
      </c>
      <c r="H370" s="2" t="s">
        <v>34</v>
      </c>
      <c r="I370" s="2" t="s">
        <v>49</v>
      </c>
      <c r="J370" s="2" t="s">
        <v>50</v>
      </c>
      <c r="K370" s="2" t="s">
        <v>51</v>
      </c>
      <c r="L370" s="2" t="s">
        <v>51</v>
      </c>
      <c r="M370" s="2" t="s">
        <v>52</v>
      </c>
      <c r="N370" s="2" t="s">
        <v>2345</v>
      </c>
      <c r="O370" s="2" t="s">
        <v>40</v>
      </c>
      <c r="P370" s="2" t="s">
        <v>41</v>
      </c>
      <c r="Q370" s="2" t="s">
        <v>53</v>
      </c>
      <c r="R370" s="2" t="s">
        <v>53</v>
      </c>
      <c r="S370" s="2" t="s">
        <v>41</v>
      </c>
      <c r="T370" s="2"/>
      <c r="U370" s="2" t="s">
        <v>41</v>
      </c>
      <c r="V370" s="2"/>
      <c r="W370" s="3">
        <v>45565</v>
      </c>
      <c r="X370" s="2"/>
      <c r="Y370" s="2"/>
      <c r="Z370" s="2"/>
      <c r="AA370" s="2" t="s">
        <v>127</v>
      </c>
      <c r="AB370" s="2" t="s">
        <v>127</v>
      </c>
      <c r="AC370" s="2" t="s">
        <v>180</v>
      </c>
      <c r="AD370" s="2" t="s">
        <v>129</v>
      </c>
      <c r="AE370" s="2" t="s">
        <v>1661</v>
      </c>
    </row>
    <row r="371" spans="1:31" ht="300.95">
      <c r="A371" s="2" t="s">
        <v>1662</v>
      </c>
      <c r="B371" s="2" t="s">
        <v>1663</v>
      </c>
      <c r="C371" s="2" t="str">
        <f>sheet13[[#This Row],[Nombre]]&amp;sheet13[[#This Row],[Bp Id]]</f>
        <v>Web GAFCOR0006</v>
      </c>
      <c r="D371" s="2" t="str">
        <f>VLOOKUP(sheet13[[#This Row],[Columna1]],Sheet2!C:S,4,FALSE)</f>
        <v>Operativo</v>
      </c>
      <c r="E371" s="2" t="s">
        <v>1664</v>
      </c>
      <c r="F371" s="2" t="s">
        <v>32</v>
      </c>
      <c r="G371" s="2" t="s">
        <v>48</v>
      </c>
      <c r="H371" s="2" t="s">
        <v>34</v>
      </c>
      <c r="I371" s="2" t="s">
        <v>339</v>
      </c>
      <c r="J371" s="2" t="s">
        <v>50</v>
      </c>
      <c r="K371" s="2" t="s">
        <v>833</v>
      </c>
      <c r="L371" s="2" t="s">
        <v>941</v>
      </c>
      <c r="M371" s="2" t="s">
        <v>39</v>
      </c>
      <c r="N371" s="2" t="s">
        <v>2345</v>
      </c>
      <c r="O371" s="2" t="s">
        <v>40</v>
      </c>
      <c r="P371" s="2" t="s">
        <v>41</v>
      </c>
      <c r="Q371" s="2" t="s">
        <v>53</v>
      </c>
      <c r="R371" s="2" t="s">
        <v>53</v>
      </c>
      <c r="S371" s="2" t="s">
        <v>41</v>
      </c>
      <c r="T371" s="2"/>
      <c r="U371" s="2" t="s">
        <v>41</v>
      </c>
      <c r="V371" s="2" t="s">
        <v>2366</v>
      </c>
      <c r="W371" s="3">
        <v>45199</v>
      </c>
      <c r="X371" s="2"/>
      <c r="Y371" s="2"/>
      <c r="Z371" s="2"/>
      <c r="AA371" s="2"/>
      <c r="AB371" s="2"/>
      <c r="AC371" s="2"/>
      <c r="AD371" s="2"/>
      <c r="AE371" s="2"/>
    </row>
    <row r="372" spans="1:31" ht="409.6">
      <c r="A372" s="2" t="s">
        <v>1667</v>
      </c>
      <c r="B372" s="2" t="s">
        <v>1668</v>
      </c>
      <c r="C372" s="2" t="str">
        <f>sheet13[[#This Row],[Nombre]]&amp;sheet13[[#This Row],[Bp Id]]</f>
        <v>Web Teller 3.0CHL0032</v>
      </c>
      <c r="D372" s="2" t="str">
        <f>VLOOKUP(sheet13[[#This Row],[Columna1]],Sheet2!C:S,4,FALSE)</f>
        <v>Operativo</v>
      </c>
      <c r="E372" s="2" t="s">
        <v>1669</v>
      </c>
      <c r="F372" s="2" t="s">
        <v>32</v>
      </c>
      <c r="G372" s="2" t="s">
        <v>33</v>
      </c>
      <c r="H372" s="2" t="s">
        <v>34</v>
      </c>
      <c r="I372" s="2" t="s">
        <v>35</v>
      </c>
      <c r="J372" s="2" t="s">
        <v>36</v>
      </c>
      <c r="K372" s="2" t="s">
        <v>37</v>
      </c>
      <c r="L372" s="2" t="s">
        <v>38</v>
      </c>
      <c r="M372" s="2" t="s">
        <v>39</v>
      </c>
      <c r="N372" s="2" t="s">
        <v>2343</v>
      </c>
      <c r="O372" s="2" t="s">
        <v>40</v>
      </c>
      <c r="P372" s="2" t="s">
        <v>41</v>
      </c>
      <c r="Q372" s="2" t="s">
        <v>53</v>
      </c>
      <c r="R372" s="2" t="s">
        <v>53</v>
      </c>
      <c r="S372" s="2" t="s">
        <v>41</v>
      </c>
      <c r="T372" s="2"/>
      <c r="U372" s="2" t="s">
        <v>41</v>
      </c>
      <c r="V372" s="2" t="s">
        <v>119</v>
      </c>
      <c r="W372" s="3">
        <v>45199</v>
      </c>
      <c r="X372" s="2"/>
      <c r="Y372" s="2"/>
      <c r="Z372" s="2"/>
      <c r="AA372" s="2"/>
      <c r="AB372" s="2"/>
      <c r="AC372" s="2"/>
      <c r="AD372" s="2"/>
      <c r="AE372" s="2"/>
    </row>
    <row r="373" spans="1:31" ht="338.45">
      <c r="A373" s="2" t="s">
        <v>1670</v>
      </c>
      <c r="B373" s="2" t="s">
        <v>1671</v>
      </c>
      <c r="C373" s="2" t="str">
        <f>sheet13[[#This Row],[Nombre]]&amp;sheet13[[#This Row],[Bp Id]]</f>
        <v>WebAccionistasGOB0016</v>
      </c>
      <c r="D373" s="2" t="str">
        <f>VLOOKUP(sheet13[[#This Row],[Columna1]],Sheet2!C:S,4,FALSE)</f>
        <v>Operativo</v>
      </c>
      <c r="E373" s="2" t="s">
        <v>1672</v>
      </c>
      <c r="F373" s="2" t="s">
        <v>32</v>
      </c>
      <c r="G373" s="2" t="s">
        <v>48</v>
      </c>
      <c r="H373" s="2" t="s">
        <v>59</v>
      </c>
      <c r="I373" s="2" t="s">
        <v>225</v>
      </c>
      <c r="J373" s="2" t="s">
        <v>226</v>
      </c>
      <c r="K373" s="2" t="s">
        <v>227</v>
      </c>
      <c r="L373" s="2" t="s">
        <v>228</v>
      </c>
      <c r="M373" s="2" t="s">
        <v>39</v>
      </c>
      <c r="N373" s="2" t="s">
        <v>2343</v>
      </c>
      <c r="O373" s="2" t="s">
        <v>40</v>
      </c>
      <c r="P373" s="2" t="s">
        <v>41</v>
      </c>
      <c r="Q373" s="2" t="s">
        <v>53</v>
      </c>
      <c r="R373" s="2" t="s">
        <v>53</v>
      </c>
      <c r="S373" s="2" t="s">
        <v>41</v>
      </c>
      <c r="T373" s="2" t="s">
        <v>2344</v>
      </c>
      <c r="U373" s="2" t="s">
        <v>43</v>
      </c>
      <c r="V373" s="2"/>
      <c r="W373" s="3"/>
      <c r="X373" s="2"/>
      <c r="Y373" s="2"/>
      <c r="Z373" s="2"/>
      <c r="AA373" s="2"/>
      <c r="AB373" s="2"/>
      <c r="AC373" s="2"/>
      <c r="AD373" s="2"/>
      <c r="AE373" s="2"/>
    </row>
    <row r="374" spans="1:31" ht="288.60000000000002">
      <c r="A374" s="2" t="s">
        <v>1673</v>
      </c>
      <c r="B374" s="2" t="s">
        <v>1674</v>
      </c>
      <c r="C374" s="2" t="str">
        <f>sheet13[[#This Row],[Nombre]]&amp;sheet13[[#This Row],[Bp Id]]</f>
        <v>WEBBloqueo 2.0 --DCP/DCAPAY0022</v>
      </c>
      <c r="D374" s="2" t="str">
        <f>VLOOKUP(sheet13[[#This Row],[Columna1]],Sheet2!C:S,4,FALSE)</f>
        <v>Operativo</v>
      </c>
      <c r="E374" s="2" t="s">
        <v>1675</v>
      </c>
      <c r="F374" s="2" t="s">
        <v>32</v>
      </c>
      <c r="G374" s="2" t="s">
        <v>48</v>
      </c>
      <c r="H374" s="2" t="s">
        <v>34</v>
      </c>
      <c r="I374" s="2" t="s">
        <v>141</v>
      </c>
      <c r="J374" s="2" t="s">
        <v>151</v>
      </c>
      <c r="K374" s="2" t="s">
        <v>564</v>
      </c>
      <c r="L374" s="2" t="s">
        <v>1347</v>
      </c>
      <c r="M374" s="2" t="s">
        <v>39</v>
      </c>
      <c r="N374" s="2" t="s">
        <v>2343</v>
      </c>
      <c r="O374" s="2" t="s">
        <v>40</v>
      </c>
      <c r="P374" s="2" t="s">
        <v>41</v>
      </c>
      <c r="Q374" s="2" t="s">
        <v>53</v>
      </c>
      <c r="R374" s="2" t="s">
        <v>53</v>
      </c>
      <c r="S374" s="2" t="s">
        <v>41</v>
      </c>
      <c r="T374" s="2" t="s">
        <v>2344</v>
      </c>
      <c r="U374" s="2" t="s">
        <v>43</v>
      </c>
      <c r="V374" s="2"/>
      <c r="W374" s="3"/>
      <c r="X374" s="2"/>
      <c r="Y374" s="2"/>
      <c r="Z374" s="2"/>
      <c r="AA374" s="2"/>
      <c r="AB374" s="2"/>
      <c r="AC374" s="2"/>
      <c r="AD374" s="2"/>
      <c r="AE374" s="2"/>
    </row>
    <row r="375" spans="1:31" ht="276">
      <c r="A375" s="2" t="s">
        <v>1676</v>
      </c>
      <c r="B375" s="2" t="s">
        <v>1677</v>
      </c>
      <c r="C375" s="2" t="str">
        <f>sheet13[[#This Row],[Nombre]]&amp;sheet13[[#This Row],[Bp Id]]</f>
        <v>WebdoxSUP0035</v>
      </c>
      <c r="D375" s="2" t="str">
        <f>VLOOKUP(sheet13[[#This Row],[Columna1]],Sheet2!C:S,4,FALSE)</f>
        <v>Operativo</v>
      </c>
      <c r="E375" s="2" t="s">
        <v>1678</v>
      </c>
      <c r="F375" s="2" t="s">
        <v>32</v>
      </c>
      <c r="G375" s="2" t="s">
        <v>48</v>
      </c>
      <c r="H375" s="2" t="s">
        <v>59</v>
      </c>
      <c r="I375" s="2" t="s">
        <v>225</v>
      </c>
      <c r="J375" s="2" t="s">
        <v>226</v>
      </c>
      <c r="K375" s="2" t="s">
        <v>227</v>
      </c>
      <c r="L375" s="2" t="s">
        <v>228</v>
      </c>
      <c r="M375" s="2" t="s">
        <v>63</v>
      </c>
      <c r="N375" s="2" t="s">
        <v>2343</v>
      </c>
      <c r="O375" s="2" t="s">
        <v>40</v>
      </c>
      <c r="P375" s="2" t="s">
        <v>41</v>
      </c>
      <c r="Q375" s="2" t="s">
        <v>64</v>
      </c>
      <c r="R375" s="2" t="s">
        <v>53</v>
      </c>
      <c r="S375" s="2" t="s">
        <v>41</v>
      </c>
      <c r="T375" s="2"/>
      <c r="U375" s="2" t="s">
        <v>41</v>
      </c>
      <c r="V375" s="2"/>
      <c r="W375" s="3">
        <v>45646</v>
      </c>
      <c r="X375" s="2"/>
      <c r="Y375" s="2" t="s">
        <v>369</v>
      </c>
      <c r="Z375" s="2"/>
      <c r="AA375" s="2" t="s">
        <v>127</v>
      </c>
      <c r="AB375" s="2" t="s">
        <v>127</v>
      </c>
      <c r="AC375" s="2" t="s">
        <v>180</v>
      </c>
      <c r="AD375" s="2" t="s">
        <v>129</v>
      </c>
      <c r="AE375" s="2" t="s">
        <v>1679</v>
      </c>
    </row>
    <row r="376" spans="1:31" ht="225.95">
      <c r="A376" s="2" t="s">
        <v>1680</v>
      </c>
      <c r="B376" s="2" t="s">
        <v>1681</v>
      </c>
      <c r="C376" s="2" t="str">
        <f>sheet13[[#This Row],[Nombre]]&amp;sheet13[[#This Row],[Bp Id]]</f>
        <v>WebSecurityOfficeSystemSEC0041</v>
      </c>
      <c r="D376" s="2" t="str">
        <f>VLOOKUP(sheet13[[#This Row],[Columna1]],Sheet2!C:S,4,FALSE)</f>
        <v>Operativo</v>
      </c>
      <c r="E376" s="2" t="s">
        <v>1682</v>
      </c>
      <c r="F376" s="2" t="s">
        <v>32</v>
      </c>
      <c r="G376" s="2" t="s">
        <v>48</v>
      </c>
      <c r="H376" s="2" t="s">
        <v>34</v>
      </c>
      <c r="I376" s="2" t="s">
        <v>258</v>
      </c>
      <c r="J376" s="2" t="s">
        <v>2350</v>
      </c>
      <c r="K376" s="2" t="s">
        <v>260</v>
      </c>
      <c r="L376" s="2" t="s">
        <v>1435</v>
      </c>
      <c r="M376" s="2" t="s">
        <v>111</v>
      </c>
      <c r="N376" s="2" t="s">
        <v>2343</v>
      </c>
      <c r="O376" s="2" t="s">
        <v>40</v>
      </c>
      <c r="P376" s="2" t="s">
        <v>41</v>
      </c>
      <c r="Q376" s="2" t="s">
        <v>42</v>
      </c>
      <c r="R376" s="2" t="s">
        <v>53</v>
      </c>
      <c r="S376" s="2" t="s">
        <v>41</v>
      </c>
      <c r="T376" s="2"/>
      <c r="U376" s="2" t="s">
        <v>41</v>
      </c>
      <c r="V376" s="2"/>
      <c r="W376" s="3">
        <v>45200</v>
      </c>
      <c r="X376" s="2"/>
      <c r="Y376" s="2" t="s">
        <v>253</v>
      </c>
      <c r="Z376" s="2"/>
      <c r="AA376" s="2" t="s">
        <v>147</v>
      </c>
      <c r="AB376" s="2" t="s">
        <v>147</v>
      </c>
      <c r="AC376" s="2" t="s">
        <v>180</v>
      </c>
      <c r="AD376" s="2" t="s">
        <v>129</v>
      </c>
      <c r="AE376" s="2" t="s">
        <v>1683</v>
      </c>
    </row>
    <row r="377" spans="1:31" ht="88.5">
      <c r="A377" s="2" t="s">
        <v>1684</v>
      </c>
      <c r="B377" s="2" t="s">
        <v>1685</v>
      </c>
      <c r="C377" s="2" t="str">
        <f>sheet13[[#This Row],[Nombre]]&amp;sheet13[[#This Row],[Bp Id]]</f>
        <v>WorkplaceSUP0017</v>
      </c>
      <c r="D377" s="2" t="str">
        <f>VLOOKUP(sheet13[[#This Row],[Columna1]],Sheet2!C:S,4,FALSE)</f>
        <v>Retirado</v>
      </c>
      <c r="E377" s="2" t="s">
        <v>1686</v>
      </c>
      <c r="F377" s="2" t="s">
        <v>47</v>
      </c>
      <c r="G377" s="2" t="s">
        <v>48</v>
      </c>
      <c r="H377" s="2" t="s">
        <v>59</v>
      </c>
      <c r="I377" s="2" t="s">
        <v>225</v>
      </c>
      <c r="J377" s="2" t="s">
        <v>226</v>
      </c>
      <c r="K377" s="2" t="s">
        <v>300</v>
      </c>
      <c r="L377" s="2" t="s">
        <v>1392</v>
      </c>
      <c r="M377" s="2" t="s">
        <v>63</v>
      </c>
      <c r="N377" s="2" t="s">
        <v>2345</v>
      </c>
      <c r="O377" s="2" t="s">
        <v>40</v>
      </c>
      <c r="P377" s="2" t="s">
        <v>41</v>
      </c>
      <c r="Q377" s="2" t="s">
        <v>64</v>
      </c>
      <c r="R377" s="2" t="s">
        <v>64</v>
      </c>
      <c r="S377" s="2" t="s">
        <v>43</v>
      </c>
      <c r="T377" s="2"/>
      <c r="U377" s="2" t="s">
        <v>43</v>
      </c>
      <c r="V377" s="2"/>
      <c r="W377" s="3"/>
      <c r="X377" s="2"/>
      <c r="Y377" s="2"/>
      <c r="Z377" s="2"/>
      <c r="AA377" s="2"/>
      <c r="AB377" s="2"/>
      <c r="AC377" s="2"/>
      <c r="AD377" s="2"/>
      <c r="AE377" s="2"/>
    </row>
    <row r="378" spans="1:31" ht="313.5">
      <c r="A378" s="2" t="s">
        <v>1687</v>
      </c>
      <c r="B378" s="2" t="s">
        <v>1688</v>
      </c>
      <c r="C378" s="2" t="str">
        <f>sheet13[[#This Row],[Nombre]]&amp;sheet13[[#This Row],[Bp Id]]</f>
        <v>WSO2 Identity Server ExternoSEC0042</v>
      </c>
      <c r="D378" s="2" t="str">
        <f>VLOOKUP(sheet13[[#This Row],[Columna1]],Sheet2!C:S,4,FALSE)</f>
        <v>Retirado</v>
      </c>
      <c r="E378" s="2" t="s">
        <v>1689</v>
      </c>
      <c r="F378" s="2" t="s">
        <v>47</v>
      </c>
      <c r="G378" s="2" t="s">
        <v>123</v>
      </c>
      <c r="H378" s="2" t="s">
        <v>34</v>
      </c>
      <c r="I378" s="2" t="s">
        <v>2346</v>
      </c>
      <c r="J378" s="2" t="s">
        <v>272</v>
      </c>
      <c r="K378" s="2" t="s">
        <v>176</v>
      </c>
      <c r="L378" s="2" t="s">
        <v>185</v>
      </c>
      <c r="M378" s="2" t="s">
        <v>111</v>
      </c>
      <c r="N378" s="2" t="s">
        <v>2345</v>
      </c>
      <c r="O378" s="2" t="s">
        <v>40</v>
      </c>
      <c r="P378" s="2" t="s">
        <v>41</v>
      </c>
      <c r="Q378" s="2" t="s">
        <v>53</v>
      </c>
      <c r="R378" s="2" t="s">
        <v>53</v>
      </c>
      <c r="S378" s="2" t="s">
        <v>41</v>
      </c>
      <c r="T378" s="2"/>
      <c r="U378" s="2" t="s">
        <v>43</v>
      </c>
      <c r="V378" s="2" t="s">
        <v>193</v>
      </c>
      <c r="W378" s="3">
        <v>45200</v>
      </c>
      <c r="X378" s="2"/>
      <c r="Y378" s="2"/>
      <c r="Z378" s="2"/>
      <c r="AA378" s="2"/>
      <c r="AB378" s="2"/>
      <c r="AC378" s="2"/>
      <c r="AD378" s="2"/>
      <c r="AE378" s="2"/>
    </row>
    <row r="379" spans="1:31" ht="88.5">
      <c r="A379" s="2" t="s">
        <v>1690</v>
      </c>
      <c r="B379" s="2" t="s">
        <v>1691</v>
      </c>
      <c r="C379" s="2" t="str">
        <f>sheet13[[#This Row],[Nombre]]&amp;sheet13[[#This Row],[Bp Id]]</f>
        <v>XACTClearstreamSUP0018</v>
      </c>
      <c r="D379" s="2" t="str">
        <f>VLOOKUP(sheet13[[#This Row],[Columna1]],Sheet2!C:S,4,FALSE)</f>
        <v>Operativo</v>
      </c>
      <c r="E379" s="2" t="s">
        <v>1692</v>
      </c>
      <c r="F379" s="2" t="s">
        <v>32</v>
      </c>
      <c r="G379" s="2" t="s">
        <v>48</v>
      </c>
      <c r="H379" s="2" t="s">
        <v>140</v>
      </c>
      <c r="I379" s="2" t="s">
        <v>225</v>
      </c>
      <c r="J379" s="2" t="s">
        <v>226</v>
      </c>
      <c r="K379" s="2" t="s">
        <v>2353</v>
      </c>
      <c r="L379" s="2" t="s">
        <v>2351</v>
      </c>
      <c r="M379" s="2" t="s">
        <v>39</v>
      </c>
      <c r="N379" s="2" t="s">
        <v>2343</v>
      </c>
      <c r="O379" s="2" t="s">
        <v>40</v>
      </c>
      <c r="P379" s="2" t="s">
        <v>41</v>
      </c>
      <c r="Q379" s="2" t="s">
        <v>53</v>
      </c>
      <c r="R379" s="2" t="s">
        <v>53</v>
      </c>
      <c r="S379" s="2" t="s">
        <v>41</v>
      </c>
      <c r="T379" s="2"/>
      <c r="U379" s="2" t="s">
        <v>41</v>
      </c>
      <c r="V379" s="2"/>
      <c r="W379" s="3">
        <v>45200</v>
      </c>
      <c r="X379" s="2"/>
      <c r="Y379" s="2" t="s">
        <v>626</v>
      </c>
      <c r="Z379" s="2" t="s">
        <v>126</v>
      </c>
      <c r="AA379" s="2" t="s">
        <v>127</v>
      </c>
      <c r="AB379" s="2" t="s">
        <v>127</v>
      </c>
      <c r="AC379" s="2" t="s">
        <v>180</v>
      </c>
      <c r="AD379" s="2" t="s">
        <v>129</v>
      </c>
      <c r="AE379" s="2"/>
    </row>
    <row r="380" spans="1:31" ht="101.1">
      <c r="A380" s="2" t="s">
        <v>1693</v>
      </c>
      <c r="B380" s="2" t="s">
        <v>1694</v>
      </c>
      <c r="C380" s="2" t="str">
        <f>sheet13[[#This Row],[Nombre]]&amp;sheet13[[#This Row],[Bp Id]]</f>
        <v>ZabbixITM0074</v>
      </c>
      <c r="D380" s="2" t="str">
        <f>VLOOKUP(sheet13[[#This Row],[Columna1]],Sheet2!C:S,4,FALSE)</f>
        <v>Operativo</v>
      </c>
      <c r="E380" s="2" t="s">
        <v>1695</v>
      </c>
      <c r="F380" s="2" t="s">
        <v>32</v>
      </c>
      <c r="G380" s="2" t="s">
        <v>48</v>
      </c>
      <c r="H380" s="2" t="s">
        <v>34</v>
      </c>
      <c r="I380" s="2" t="s">
        <v>68</v>
      </c>
      <c r="J380" s="2" t="s">
        <v>69</v>
      </c>
      <c r="K380" s="2" t="s">
        <v>516</v>
      </c>
      <c r="L380" s="2" t="s">
        <v>529</v>
      </c>
      <c r="M380" s="2" t="s">
        <v>296</v>
      </c>
      <c r="N380" s="2" t="s">
        <v>2343</v>
      </c>
      <c r="O380" s="2" t="s">
        <v>40</v>
      </c>
      <c r="P380" s="2" t="s">
        <v>41</v>
      </c>
      <c r="Q380" s="2" t="s">
        <v>42</v>
      </c>
      <c r="R380" s="2" t="s">
        <v>42</v>
      </c>
      <c r="S380" s="2" t="s">
        <v>43</v>
      </c>
      <c r="T380" s="2" t="s">
        <v>2344</v>
      </c>
      <c r="U380" s="2" t="s">
        <v>43</v>
      </c>
      <c r="V380" s="2" t="s">
        <v>1696</v>
      </c>
      <c r="W380" s="3"/>
      <c r="X380" s="2"/>
      <c r="Y380" s="2"/>
      <c r="Z380" s="2"/>
      <c r="AA380" s="2"/>
      <c r="AB380" s="2"/>
      <c r="AC380" s="2"/>
      <c r="AD380" s="2"/>
      <c r="AE380" s="2"/>
    </row>
    <row r="381" spans="1:31" ht="225.95">
      <c r="A381" s="2" t="s">
        <v>628</v>
      </c>
      <c r="B381" s="2" t="s">
        <v>629</v>
      </c>
      <c r="C381" s="2" t="str">
        <f>sheet13[[#This Row],[Nombre]]&amp;sheet13[[#This Row],[Bp Id]]</f>
        <v>Banner CampañasCUS0018</v>
      </c>
      <c r="D381" s="2" t="str">
        <f>VLOOKUP(sheet13[[#This Row],[Columna1]],Sheet2!C:S,4,FALSE)</f>
        <v>Operativo</v>
      </c>
      <c r="E381" s="2" t="s">
        <v>1697</v>
      </c>
      <c r="F381" s="2" t="s">
        <v>32</v>
      </c>
      <c r="G381" s="2" t="s">
        <v>48</v>
      </c>
      <c r="H381" s="2" t="s">
        <v>59</v>
      </c>
      <c r="I381" s="2" t="s">
        <v>87</v>
      </c>
      <c r="J381" s="2" t="s">
        <v>88</v>
      </c>
      <c r="K381" s="2" t="s">
        <v>479</v>
      </c>
      <c r="L381" s="2" t="s">
        <v>88</v>
      </c>
      <c r="M381" s="2" t="s">
        <v>39</v>
      </c>
      <c r="N381" s="2" t="s">
        <v>2343</v>
      </c>
      <c r="O381" s="2" t="s">
        <v>40</v>
      </c>
      <c r="P381" s="2" t="s">
        <v>41</v>
      </c>
      <c r="Q381" s="2" t="s">
        <v>42</v>
      </c>
      <c r="R381" s="2" t="s">
        <v>42</v>
      </c>
      <c r="S381" s="2" t="s">
        <v>41</v>
      </c>
      <c r="T381" s="2" t="s">
        <v>2344</v>
      </c>
      <c r="U381" s="2" t="s">
        <v>43</v>
      </c>
      <c r="V381" s="2"/>
      <c r="W381" s="3"/>
      <c r="X381" s="2"/>
      <c r="Y381" s="2"/>
      <c r="Z381" s="2"/>
      <c r="AA381" s="2"/>
      <c r="AB381" s="2"/>
      <c r="AC381" s="2"/>
      <c r="AD381" s="2"/>
      <c r="AE381" s="2"/>
    </row>
    <row r="382" spans="1:31" ht="63.6">
      <c r="A382" s="2" t="s">
        <v>1698</v>
      </c>
      <c r="B382" s="2" t="s">
        <v>1699</v>
      </c>
      <c r="C382" s="2" t="str">
        <f>sheet13[[#This Row],[Nombre]]&amp;sheet13[[#This Row],[Bp Id]]</f>
        <v>ZookeeperOMN0007</v>
      </c>
      <c r="D382" s="2" t="str">
        <f>VLOOKUP(sheet13[[#This Row],[Columna1]],Sheet2!C:S,4,FALSE)</f>
        <v>Retirado</v>
      </c>
      <c r="E382" s="2" t="s">
        <v>1700</v>
      </c>
      <c r="F382" s="2" t="s">
        <v>47</v>
      </c>
      <c r="G382" s="2" t="s">
        <v>48</v>
      </c>
      <c r="H382" s="2" t="s">
        <v>34</v>
      </c>
      <c r="I382" s="2" t="s">
        <v>921</v>
      </c>
      <c r="J382" s="2" t="s">
        <v>50</v>
      </c>
      <c r="K382" s="2" t="s">
        <v>51</v>
      </c>
      <c r="L382" s="2" t="s">
        <v>51</v>
      </c>
      <c r="M382" s="2" t="s">
        <v>63</v>
      </c>
      <c r="N382" s="2" t="s">
        <v>2345</v>
      </c>
      <c r="O382" s="2" t="s">
        <v>40</v>
      </c>
      <c r="P382" s="2" t="s">
        <v>43</v>
      </c>
      <c r="Q382" s="2" t="s">
        <v>53</v>
      </c>
      <c r="R382" s="2" t="s">
        <v>53</v>
      </c>
      <c r="S382" s="2" t="s">
        <v>43</v>
      </c>
      <c r="T382" s="2"/>
      <c r="U382" s="2" t="s">
        <v>43</v>
      </c>
      <c r="V382" s="2"/>
      <c r="W382" s="3"/>
      <c r="X382" s="2"/>
      <c r="Y382" s="2"/>
      <c r="Z382" s="2"/>
      <c r="AA382" s="2"/>
      <c r="AB382" s="2"/>
      <c r="AC382" s="2"/>
      <c r="AD382" s="2"/>
      <c r="AE382" s="2"/>
    </row>
    <row r="383" spans="1:31" ht="75.95">
      <c r="A383" s="2" t="s">
        <v>1701</v>
      </c>
      <c r="B383" s="2" t="s">
        <v>1702</v>
      </c>
      <c r="C383" s="2" t="str">
        <f>sheet13[[#This Row],[Nombre]]&amp;sheet13[[#This Row],[Bp Id]]</f>
        <v>Qlik Negocio AutomotrizPRD0070</v>
      </c>
      <c r="D383" s="2" t="str">
        <f>VLOOKUP(sheet13[[#This Row],[Columna1]],Sheet2!C:S,4,FALSE)</f>
        <v>Operativo</v>
      </c>
      <c r="E383" s="2"/>
      <c r="F383" s="2" t="s">
        <v>32</v>
      </c>
      <c r="G383" s="2" t="s">
        <v>48</v>
      </c>
      <c r="H383" s="2" t="s">
        <v>59</v>
      </c>
      <c r="I383" s="2" t="s">
        <v>95</v>
      </c>
      <c r="J383" s="2" t="s">
        <v>96</v>
      </c>
      <c r="K383" s="2" t="s">
        <v>1703</v>
      </c>
      <c r="L383" s="2" t="s">
        <v>508</v>
      </c>
      <c r="M383" s="2" t="s">
        <v>39</v>
      </c>
      <c r="N383" s="2" t="s">
        <v>2343</v>
      </c>
      <c r="O383" s="2" t="s">
        <v>40</v>
      </c>
      <c r="P383" s="2" t="s">
        <v>41</v>
      </c>
      <c r="Q383" s="2" t="s">
        <v>53</v>
      </c>
      <c r="R383" s="2" t="s">
        <v>53</v>
      </c>
      <c r="S383" s="2" t="s">
        <v>41</v>
      </c>
      <c r="T383" s="2"/>
      <c r="U383" s="2" t="s">
        <v>41</v>
      </c>
      <c r="V383" s="2" t="s">
        <v>1704</v>
      </c>
      <c r="W383" s="3">
        <v>45854</v>
      </c>
      <c r="X383" s="2"/>
      <c r="Y383" s="2"/>
      <c r="Z383" s="2"/>
      <c r="AA383" s="2" t="s">
        <v>127</v>
      </c>
      <c r="AB383" s="2" t="s">
        <v>127</v>
      </c>
      <c r="AC383" s="2" t="s">
        <v>180</v>
      </c>
      <c r="AD383" s="2" t="s">
        <v>129</v>
      </c>
      <c r="AE383" s="2" t="s">
        <v>1705</v>
      </c>
    </row>
    <row r="384" spans="1:31" ht="88.5">
      <c r="A384" s="2" t="s">
        <v>1706</v>
      </c>
      <c r="B384" s="2" t="s">
        <v>1707</v>
      </c>
      <c r="C384" s="2" t="str">
        <f>sheet13[[#This Row],[Nombre]]&amp;sheet13[[#This Row],[Bp Id]]</f>
        <v>LogiTRXRIS0006</v>
      </c>
      <c r="D384" s="2" t="str">
        <f>VLOOKUP(sheet13[[#This Row],[Columna1]],Sheet2!C:S,4,FALSE)</f>
        <v>Retirado</v>
      </c>
      <c r="E384" s="2" t="s">
        <v>1708</v>
      </c>
      <c r="F384" s="2" t="s">
        <v>47</v>
      </c>
      <c r="G384" s="2" t="s">
        <v>48</v>
      </c>
      <c r="H384" s="2" t="s">
        <v>34</v>
      </c>
      <c r="I384" s="2" t="s">
        <v>339</v>
      </c>
      <c r="J384" s="2" t="s">
        <v>50</v>
      </c>
      <c r="K384" s="2" t="s">
        <v>833</v>
      </c>
      <c r="L384" s="2" t="s">
        <v>941</v>
      </c>
      <c r="M384" s="2" t="s">
        <v>39</v>
      </c>
      <c r="N384" s="2" t="s">
        <v>2345</v>
      </c>
      <c r="O384" s="2" t="s">
        <v>40</v>
      </c>
      <c r="P384" s="2" t="s">
        <v>41</v>
      </c>
      <c r="Q384" s="2" t="s">
        <v>53</v>
      </c>
      <c r="R384" s="2" t="s">
        <v>53</v>
      </c>
      <c r="S384" s="2" t="s">
        <v>41</v>
      </c>
      <c r="T384" s="2"/>
      <c r="U384" s="2" t="s">
        <v>41</v>
      </c>
      <c r="V384" s="2" t="s">
        <v>1709</v>
      </c>
      <c r="W384" s="3">
        <v>45200</v>
      </c>
      <c r="X384" s="2" t="s">
        <v>1710</v>
      </c>
      <c r="Y384" s="2" t="s">
        <v>146</v>
      </c>
      <c r="Z384" s="2" t="s">
        <v>590</v>
      </c>
      <c r="AA384" s="2" t="s">
        <v>363</v>
      </c>
      <c r="AB384" s="2" t="s">
        <v>363</v>
      </c>
      <c r="AC384" s="2" t="s">
        <v>180</v>
      </c>
      <c r="AD384" s="2" t="s">
        <v>129</v>
      </c>
      <c r="AE384" s="2" t="s">
        <v>1711</v>
      </c>
    </row>
    <row r="385" spans="1:31" ht="188.45">
      <c r="A385" s="2" t="s">
        <v>1712</v>
      </c>
      <c r="B385" s="2" t="s">
        <v>1713</v>
      </c>
      <c r="C385" s="2" t="str">
        <f>sheet13[[#This Row],[Nombre]]&amp;sheet13[[#This Row],[Bp Id]]</f>
        <v>VMware vSphere ReplicationITM0080</v>
      </c>
      <c r="D385" s="2" t="str">
        <f>VLOOKUP(sheet13[[#This Row],[Columna1]],Sheet2!C:S,4,FALSE)</f>
        <v>Operativo</v>
      </c>
      <c r="E385" s="2" t="s">
        <v>1714</v>
      </c>
      <c r="F385" s="2" t="s">
        <v>32</v>
      </c>
      <c r="G385" s="2" t="s">
        <v>48</v>
      </c>
      <c r="H385" s="2" t="s">
        <v>34</v>
      </c>
      <c r="I385" s="2" t="s">
        <v>68</v>
      </c>
      <c r="J385" s="2" t="s">
        <v>69</v>
      </c>
      <c r="K385" s="2" t="s">
        <v>82</v>
      </c>
      <c r="L385" s="2" t="s">
        <v>1715</v>
      </c>
      <c r="M385" s="2" t="s">
        <v>52</v>
      </c>
      <c r="N385" s="2" t="s">
        <v>2343</v>
      </c>
      <c r="O385" s="2" t="s">
        <v>40</v>
      </c>
      <c r="P385" s="2" t="s">
        <v>43</v>
      </c>
      <c r="Q385" s="2"/>
      <c r="R385" s="2"/>
      <c r="S385" s="2" t="s">
        <v>41</v>
      </c>
      <c r="T385" s="2" t="s">
        <v>2344</v>
      </c>
      <c r="U385" s="2" t="s">
        <v>43</v>
      </c>
      <c r="V385" s="2"/>
      <c r="W385" s="3">
        <v>45579</v>
      </c>
      <c r="X385" s="2"/>
      <c r="Y385" s="2"/>
      <c r="Z385" s="2"/>
      <c r="AA385" s="2"/>
      <c r="AB385" s="2"/>
      <c r="AC385" s="2"/>
      <c r="AD385" s="2"/>
      <c r="AE385" s="2"/>
    </row>
    <row r="386" spans="1:31" ht="409.6">
      <c r="A386" s="2" t="s">
        <v>1716</v>
      </c>
      <c r="B386" s="2" t="s">
        <v>1717</v>
      </c>
      <c r="C386" s="2" t="str">
        <f>sheet13[[#This Row],[Nombre]]&amp;sheet13[[#This Row],[Bp Id]]</f>
        <v>BankDevXITM0120</v>
      </c>
      <c r="D386" s="2" t="str">
        <f>VLOOKUP(sheet13[[#This Row],[Columna1]],Sheet2!C:S,4,FALSE)</f>
        <v>Operativo</v>
      </c>
      <c r="E386" s="2" t="s">
        <v>1718</v>
      </c>
      <c r="F386" s="2" t="s">
        <v>32</v>
      </c>
      <c r="G386" s="2" t="s">
        <v>48</v>
      </c>
      <c r="H386" s="2" t="s">
        <v>59</v>
      </c>
      <c r="I386" s="2" t="s">
        <v>198</v>
      </c>
      <c r="J386" s="2" t="s">
        <v>240</v>
      </c>
      <c r="K386" s="2" t="s">
        <v>1719</v>
      </c>
      <c r="L386" s="2" t="s">
        <v>1720</v>
      </c>
      <c r="M386" s="2" t="s">
        <v>39</v>
      </c>
      <c r="N386" s="2" t="s">
        <v>2343</v>
      </c>
      <c r="O386" s="2" t="s">
        <v>40</v>
      </c>
      <c r="P386" s="2" t="s">
        <v>43</v>
      </c>
      <c r="Q386" s="2" t="s">
        <v>64</v>
      </c>
      <c r="R386" s="2" t="s">
        <v>64</v>
      </c>
      <c r="S386" s="2" t="s">
        <v>43</v>
      </c>
      <c r="T386" s="2" t="str">
        <f>VLOOKUP(sheet13[[#This Row],[Nombre]],[1]Hoja1!A:B,2,FALSE)</f>
        <v>FASE 2</v>
      </c>
      <c r="U386" s="2" t="s">
        <v>2345</v>
      </c>
      <c r="V386" s="2" t="s">
        <v>1721</v>
      </c>
      <c r="W386" s="3"/>
      <c r="X386" s="2" t="s">
        <v>1722</v>
      </c>
      <c r="Y386" s="2"/>
      <c r="Z386" s="2"/>
      <c r="AA386" s="2"/>
      <c r="AB386" s="2"/>
      <c r="AC386" s="2"/>
      <c r="AD386" s="2"/>
      <c r="AE386" s="2"/>
    </row>
    <row r="387" spans="1:31" ht="75.95">
      <c r="A387" s="2" t="s">
        <v>1724</v>
      </c>
      <c r="B387" s="2" t="s">
        <v>1725</v>
      </c>
      <c r="C387" s="2" t="str">
        <f>sheet13[[#This Row],[Nombre]]&amp;sheet13[[#This Row],[Bp Id]]</f>
        <v>MentorPRD0073</v>
      </c>
      <c r="D387" s="2" t="str">
        <f>VLOOKUP(sheet13[[#This Row],[Columna1]],Sheet2!C:S,4,FALSE)</f>
        <v>Operativo</v>
      </c>
      <c r="E387" s="2"/>
      <c r="F387" s="2" t="s">
        <v>32</v>
      </c>
      <c r="G387" s="2" t="s">
        <v>48</v>
      </c>
      <c r="H387" s="2" t="s">
        <v>59</v>
      </c>
      <c r="I387" s="2" t="s">
        <v>95</v>
      </c>
      <c r="J387" s="2" t="s">
        <v>96</v>
      </c>
      <c r="K387" s="2" t="s">
        <v>1726</v>
      </c>
      <c r="L387" s="2" t="s">
        <v>98</v>
      </c>
      <c r="M387" s="2"/>
      <c r="N387" s="2" t="s">
        <v>2343</v>
      </c>
      <c r="O387" s="2" t="s">
        <v>40</v>
      </c>
      <c r="P387" s="2" t="s">
        <v>41</v>
      </c>
      <c r="Q387" s="2" t="s">
        <v>53</v>
      </c>
      <c r="R387" s="2" t="s">
        <v>53</v>
      </c>
      <c r="S387" s="2" t="s">
        <v>41</v>
      </c>
      <c r="T387" s="2"/>
      <c r="U387" s="2" t="s">
        <v>41</v>
      </c>
      <c r="V387" s="2"/>
      <c r="W387" s="3">
        <v>46044</v>
      </c>
      <c r="X387" s="2" t="s">
        <v>1727</v>
      </c>
      <c r="Y387" s="2" t="s">
        <v>252</v>
      </c>
      <c r="Z387" s="2" t="s">
        <v>626</v>
      </c>
      <c r="AA387" s="2" t="s">
        <v>127</v>
      </c>
      <c r="AB387" s="2" t="s">
        <v>127</v>
      </c>
      <c r="AC387" s="2" t="s">
        <v>180</v>
      </c>
      <c r="AD387" s="2" t="s">
        <v>415</v>
      </c>
      <c r="AE387" s="2" t="s">
        <v>1728</v>
      </c>
    </row>
    <row r="388" spans="1:31" ht="409.6">
      <c r="A388" s="2" t="s">
        <v>1729</v>
      </c>
      <c r="B388" s="2" t="s">
        <v>1730</v>
      </c>
      <c r="C388" s="2" t="str">
        <f>sheet13[[#This Row],[Nombre]]&amp;sheet13[[#This Row],[Bp Id]]</f>
        <v>Optimizador de Eventos SOC (ORXLog)SEC0085</v>
      </c>
      <c r="D388" s="2" t="str">
        <f>VLOOKUP(sheet13[[#This Row],[Columna1]],Sheet2!C:S,4,FALSE)</f>
        <v>Operativo</v>
      </c>
      <c r="E388" s="2" t="s">
        <v>1731</v>
      </c>
      <c r="F388" s="2" t="s">
        <v>32</v>
      </c>
      <c r="G388" s="2" t="s">
        <v>48</v>
      </c>
      <c r="H388" s="2" t="s">
        <v>34</v>
      </c>
      <c r="I388" s="2" t="s">
        <v>2348</v>
      </c>
      <c r="J388" s="2" t="s">
        <v>175</v>
      </c>
      <c r="K388" s="2" t="s">
        <v>176</v>
      </c>
      <c r="L388" s="2" t="s">
        <v>2349</v>
      </c>
      <c r="M388" s="2"/>
      <c r="N388" s="2" t="s">
        <v>2343</v>
      </c>
      <c r="O388" s="2" t="s">
        <v>40</v>
      </c>
      <c r="P388" s="2" t="s">
        <v>43</v>
      </c>
      <c r="Q388" s="2" t="s">
        <v>64</v>
      </c>
      <c r="R388" s="2" t="s">
        <v>64</v>
      </c>
      <c r="S388" s="2" t="s">
        <v>41</v>
      </c>
      <c r="T388" s="2" t="s">
        <v>2344</v>
      </c>
      <c r="U388" s="2" t="s">
        <v>43</v>
      </c>
      <c r="V388" s="2" t="s">
        <v>1732</v>
      </c>
      <c r="W388" s="3">
        <v>46066</v>
      </c>
      <c r="X388" s="2" t="s">
        <v>1733</v>
      </c>
      <c r="Y388" s="2"/>
      <c r="Z388" s="2"/>
      <c r="AA388" s="2"/>
      <c r="AB388" s="2"/>
      <c r="AC388" s="2" t="s">
        <v>1734</v>
      </c>
      <c r="AD388" s="2"/>
      <c r="AE388" s="2"/>
    </row>
    <row r="389" spans="1:31" ht="88.5">
      <c r="A389" s="2" t="s">
        <v>1735</v>
      </c>
      <c r="B389" s="2" t="s">
        <v>1736</v>
      </c>
      <c r="C389" s="2" t="str">
        <f>sheet13[[#This Row],[Nombre]]&amp;sheet13[[#This Row],[Bp Id]]</f>
        <v>Solución de Gestión de Incidentes de CiberseguridadSEC0087</v>
      </c>
      <c r="D389" s="2" t="str">
        <f>VLOOKUP(sheet13[[#This Row],[Columna1]],Sheet2!C:S,4,FALSE)</f>
        <v>Operativo</v>
      </c>
      <c r="E389" s="2"/>
      <c r="F389" s="2" t="s">
        <v>32</v>
      </c>
      <c r="G389" s="2" t="s">
        <v>48</v>
      </c>
      <c r="H389" s="2" t="s">
        <v>59</v>
      </c>
      <c r="I389" s="2" t="s">
        <v>2346</v>
      </c>
      <c r="J389" s="2" t="s">
        <v>1737</v>
      </c>
      <c r="K389" s="2" t="s">
        <v>1738</v>
      </c>
      <c r="L389" s="2" t="s">
        <v>1737</v>
      </c>
      <c r="M389" s="2" t="s">
        <v>111</v>
      </c>
      <c r="N389" s="2" t="s">
        <v>2343</v>
      </c>
      <c r="O389" s="2" t="s">
        <v>40</v>
      </c>
      <c r="P389" s="2" t="s">
        <v>43</v>
      </c>
      <c r="Q389" s="2"/>
      <c r="R389" s="2"/>
      <c r="S389" s="2" t="s">
        <v>41</v>
      </c>
      <c r="T389" s="2" t="s">
        <v>2344</v>
      </c>
      <c r="U389" s="2" t="s">
        <v>2345</v>
      </c>
      <c r="V389" s="2"/>
      <c r="W389" s="3"/>
      <c r="X389" s="2"/>
      <c r="Y389" s="2"/>
      <c r="Z389" s="2"/>
      <c r="AA389" s="2"/>
      <c r="AB389" s="2"/>
      <c r="AC389" s="2"/>
      <c r="AD389" s="2"/>
      <c r="AE389" s="2"/>
    </row>
    <row r="390" spans="1:31" ht="51">
      <c r="A390" s="2" t="s">
        <v>273</v>
      </c>
      <c r="B390" s="2" t="s">
        <v>1743</v>
      </c>
      <c r="C390" s="2" t="str">
        <f>sheet13[[#This Row],[Nombre]]&amp;sheet13[[#This Row],[Bp Id]]</f>
        <v>Mail Control SystemGI0034</v>
      </c>
      <c r="D390" s="2" t="str">
        <f>VLOOKUP(sheet13[[#This Row],[Columna1]],Sheet2!C:S,4,FALSE)</f>
        <v>Operativo</v>
      </c>
      <c r="E390" s="2" t="s">
        <v>119</v>
      </c>
      <c r="F390" s="2" t="s">
        <v>32</v>
      </c>
      <c r="G390" s="2" t="s">
        <v>123</v>
      </c>
      <c r="H390" s="2" t="s">
        <v>34</v>
      </c>
      <c r="I390" s="2"/>
      <c r="J390" s="2"/>
      <c r="K390" s="2"/>
      <c r="L390" s="2"/>
      <c r="M390" s="2" t="s">
        <v>39</v>
      </c>
      <c r="N390" s="2" t="s">
        <v>2343</v>
      </c>
      <c r="O390" s="2" t="s">
        <v>40</v>
      </c>
      <c r="P390" s="2" t="s">
        <v>43</v>
      </c>
      <c r="Q390" s="2" t="s">
        <v>53</v>
      </c>
      <c r="R390" s="2" t="s">
        <v>42</v>
      </c>
      <c r="S390" s="2" t="s">
        <v>41</v>
      </c>
      <c r="T390" s="2"/>
      <c r="U390" s="2" t="s">
        <v>41</v>
      </c>
      <c r="V390" s="2"/>
      <c r="W390" s="3">
        <v>45199</v>
      </c>
      <c r="X390" s="2"/>
      <c r="Y390" s="2"/>
      <c r="Z390" s="2"/>
      <c r="AA390" s="2"/>
      <c r="AB390" s="2"/>
      <c r="AC390" s="2"/>
      <c r="AD390" s="2"/>
      <c r="AE390" s="2"/>
    </row>
    <row r="391" spans="1:31" ht="138.6">
      <c r="A391" s="2" t="s">
        <v>1744</v>
      </c>
      <c r="B391" s="2" t="s">
        <v>1745</v>
      </c>
      <c r="C391" s="2" t="str">
        <f>sheet13[[#This Row],[Nombre]]&amp;sheet13[[#This Row],[Bp Id]]</f>
        <v>Security ScorecardSEC0078</v>
      </c>
      <c r="D391" s="2" t="str">
        <f>VLOOKUP(sheet13[[#This Row],[Columna1]],Sheet2!C:S,4,FALSE)</f>
        <v>Operativo</v>
      </c>
      <c r="E391" s="2"/>
      <c r="F391" s="2" t="s">
        <v>32</v>
      </c>
      <c r="G391" s="2" t="s">
        <v>48</v>
      </c>
      <c r="H391" s="2" t="s">
        <v>59</v>
      </c>
      <c r="I391" s="2" t="s">
        <v>2348</v>
      </c>
      <c r="J391" s="2" t="s">
        <v>2349</v>
      </c>
      <c r="K391" s="2" t="s">
        <v>176</v>
      </c>
      <c r="L391" s="2" t="s">
        <v>214</v>
      </c>
      <c r="M391" s="2" t="s">
        <v>111</v>
      </c>
      <c r="N391" s="2" t="s">
        <v>2343</v>
      </c>
      <c r="O391" s="2" t="s">
        <v>40</v>
      </c>
      <c r="P391" s="2" t="s">
        <v>41</v>
      </c>
      <c r="Q391" s="2" t="s">
        <v>64</v>
      </c>
      <c r="R391" s="2" t="s">
        <v>53</v>
      </c>
      <c r="S391" s="2" t="s">
        <v>41</v>
      </c>
      <c r="T391" s="2"/>
      <c r="U391" s="2" t="s">
        <v>41</v>
      </c>
      <c r="V391" s="2"/>
      <c r="W391" s="3">
        <v>45715</v>
      </c>
      <c r="X391" s="2" t="s">
        <v>1459</v>
      </c>
      <c r="Y391" s="2" t="s">
        <v>375</v>
      </c>
      <c r="Z391" s="2"/>
      <c r="AA391" s="2" t="s">
        <v>127</v>
      </c>
      <c r="AB391" s="2"/>
      <c r="AC391" s="2" t="s">
        <v>1746</v>
      </c>
      <c r="AD391" s="2" t="s">
        <v>129</v>
      </c>
      <c r="AE391" s="2" t="s">
        <v>1747</v>
      </c>
    </row>
    <row r="392" spans="1:31" ht="51">
      <c r="A392" s="2" t="s">
        <v>1748</v>
      </c>
      <c r="B392" s="2" t="s">
        <v>1749</v>
      </c>
      <c r="C392" s="2" t="str">
        <f>sheet13[[#This Row],[Nombre]]&amp;sheet13[[#This Row],[Bp Id]]</f>
        <v>Sistema CustodiaGI0015</v>
      </c>
      <c r="D392" s="2" t="str">
        <f>VLOOKUP(sheet13[[#This Row],[Columna1]],Sheet2!C:S,4,FALSE)</f>
        <v>Operativo</v>
      </c>
      <c r="E392" s="2" t="s">
        <v>119</v>
      </c>
      <c r="F392" s="2" t="s">
        <v>32</v>
      </c>
      <c r="G392" s="2" t="s">
        <v>123</v>
      </c>
      <c r="H392" s="2" t="s">
        <v>34</v>
      </c>
      <c r="I392" s="2"/>
      <c r="J392" s="2"/>
      <c r="K392" s="2"/>
      <c r="L392" s="2"/>
      <c r="M392" s="2" t="s">
        <v>39</v>
      </c>
      <c r="N392" s="2" t="s">
        <v>2343</v>
      </c>
      <c r="O392" s="2" t="s">
        <v>40</v>
      </c>
      <c r="P392" s="2" t="s">
        <v>43</v>
      </c>
      <c r="Q392" s="2" t="s">
        <v>53</v>
      </c>
      <c r="R392" s="2" t="s">
        <v>53</v>
      </c>
      <c r="S392" s="2" t="s">
        <v>41</v>
      </c>
      <c r="T392" s="2"/>
      <c r="U392" s="2" t="s">
        <v>41</v>
      </c>
      <c r="V392" s="2"/>
      <c r="W392" s="3">
        <v>45199</v>
      </c>
      <c r="X392" s="2"/>
      <c r="Y392" s="2"/>
      <c r="Z392" s="2"/>
      <c r="AA392" s="2"/>
      <c r="AB392" s="2"/>
      <c r="AC392" s="2"/>
      <c r="AD392" s="2"/>
      <c r="AE392" s="2"/>
    </row>
    <row r="393" spans="1:31" ht="51">
      <c r="A393" s="2" t="s">
        <v>1755</v>
      </c>
      <c r="B393" s="2" t="s">
        <v>1756</v>
      </c>
      <c r="C393" s="2" t="str">
        <f>sheet13[[#This Row],[Nombre]]&amp;sheet13[[#This Row],[Bp Id]]</f>
        <v>Delivery Servicios a DomiciliioGI0029</v>
      </c>
      <c r="D393" s="2" t="str">
        <f>VLOOKUP(sheet13[[#This Row],[Columna1]],Sheet2!C:S,4,FALSE)</f>
        <v>Operativo</v>
      </c>
      <c r="E393" s="2" t="s">
        <v>119</v>
      </c>
      <c r="F393" s="2" t="s">
        <v>32</v>
      </c>
      <c r="G393" s="2" t="s">
        <v>123</v>
      </c>
      <c r="H393" s="2" t="s">
        <v>34</v>
      </c>
      <c r="I393" s="2"/>
      <c r="J393" s="2"/>
      <c r="K393" s="2"/>
      <c r="L393" s="2"/>
      <c r="M393" s="2" t="s">
        <v>39</v>
      </c>
      <c r="N393" s="2" t="s">
        <v>2343</v>
      </c>
      <c r="O393" s="2" t="s">
        <v>40</v>
      </c>
      <c r="P393" s="2" t="s">
        <v>41</v>
      </c>
      <c r="Q393" s="2" t="s">
        <v>53</v>
      </c>
      <c r="R393" s="2" t="s">
        <v>53</v>
      </c>
      <c r="S393" s="2" t="s">
        <v>41</v>
      </c>
      <c r="T393" s="2"/>
      <c r="U393" s="2" t="s">
        <v>41</v>
      </c>
      <c r="V393" s="2"/>
      <c r="W393" s="3">
        <v>45199</v>
      </c>
      <c r="X393" s="2"/>
      <c r="Y393" s="2"/>
      <c r="Z393" s="2"/>
      <c r="AA393" s="2"/>
      <c r="AB393" s="2"/>
      <c r="AC393" s="2"/>
      <c r="AD393" s="2"/>
      <c r="AE393" s="2"/>
    </row>
    <row r="394" spans="1:31" ht="51">
      <c r="A394" s="2" t="s">
        <v>1757</v>
      </c>
      <c r="B394" s="2" t="s">
        <v>1758</v>
      </c>
      <c r="C394" s="2" t="str">
        <f>sheet13[[#This Row],[Nombre]]&amp;sheet13[[#This Row],[Bp Id]]</f>
        <v>DOCKCEROGI0030</v>
      </c>
      <c r="D394" s="2" t="str">
        <f>VLOOKUP(sheet13[[#This Row],[Columna1]],Sheet2!C:S,4,FALSE)</f>
        <v>Operativo</v>
      </c>
      <c r="E394" s="2" t="s">
        <v>119</v>
      </c>
      <c r="F394" s="2" t="s">
        <v>32</v>
      </c>
      <c r="G394" s="2" t="s">
        <v>123</v>
      </c>
      <c r="H394" s="2" t="s">
        <v>34</v>
      </c>
      <c r="I394" s="2"/>
      <c r="J394" s="2"/>
      <c r="K394" s="2"/>
      <c r="L394" s="2"/>
      <c r="M394" s="2" t="s">
        <v>39</v>
      </c>
      <c r="N394" s="2" t="s">
        <v>2343</v>
      </c>
      <c r="O394" s="2" t="s">
        <v>40</v>
      </c>
      <c r="P394" s="2" t="s">
        <v>41</v>
      </c>
      <c r="Q394" s="2" t="s">
        <v>53</v>
      </c>
      <c r="R394" s="2" t="s">
        <v>53</v>
      </c>
      <c r="S394" s="2" t="s">
        <v>41</v>
      </c>
      <c r="T394" s="2"/>
      <c r="U394" s="2" t="s">
        <v>41</v>
      </c>
      <c r="V394" s="2"/>
      <c r="W394" s="3">
        <v>45199</v>
      </c>
      <c r="X394" s="2"/>
      <c r="Y394" s="2"/>
      <c r="Z394" s="2"/>
      <c r="AA394" s="2"/>
      <c r="AB394" s="2"/>
      <c r="AC394" s="2"/>
      <c r="AD394" s="2"/>
      <c r="AE394" s="2"/>
    </row>
    <row r="395" spans="1:31" ht="51">
      <c r="A395" s="2" t="s">
        <v>1759</v>
      </c>
      <c r="B395" s="2" t="s">
        <v>1760</v>
      </c>
      <c r="C395" s="2" t="str">
        <f>sheet13[[#This Row],[Nombre]]&amp;sheet13[[#This Row],[Bp Id]]</f>
        <v>GarantiasGI0031</v>
      </c>
      <c r="D395" s="2" t="str">
        <f>VLOOKUP(sheet13[[#This Row],[Columna1]],Sheet2!C:S,4,FALSE)</f>
        <v>Operativo</v>
      </c>
      <c r="E395" s="2" t="s">
        <v>119</v>
      </c>
      <c r="F395" s="2" t="s">
        <v>32</v>
      </c>
      <c r="G395" s="2" t="s">
        <v>123</v>
      </c>
      <c r="H395" s="2" t="s">
        <v>34</v>
      </c>
      <c r="I395" s="2"/>
      <c r="J395" s="2"/>
      <c r="K395" s="2"/>
      <c r="L395" s="2"/>
      <c r="M395" s="2" t="s">
        <v>39</v>
      </c>
      <c r="N395" s="2" t="s">
        <v>2343</v>
      </c>
      <c r="O395" s="2" t="s">
        <v>40</v>
      </c>
      <c r="P395" s="2" t="s">
        <v>43</v>
      </c>
      <c r="Q395" s="2" t="s">
        <v>53</v>
      </c>
      <c r="R395" s="2" t="s">
        <v>53</v>
      </c>
      <c r="S395" s="2" t="s">
        <v>41</v>
      </c>
      <c r="T395" s="2"/>
      <c r="U395" s="2" t="s">
        <v>41</v>
      </c>
      <c r="V395" s="2"/>
      <c r="W395" s="3">
        <v>45199</v>
      </c>
      <c r="X395" s="2"/>
      <c r="Y395" s="2"/>
      <c r="Z395" s="2"/>
      <c r="AA395" s="2"/>
      <c r="AB395" s="2"/>
      <c r="AC395" s="2"/>
      <c r="AD395" s="2"/>
      <c r="AE395" s="2"/>
    </row>
    <row r="396" spans="1:31" ht="63.6">
      <c r="A396" s="2" t="s">
        <v>1761</v>
      </c>
      <c r="B396" s="2" t="s">
        <v>1762</v>
      </c>
      <c r="C396" s="2" t="str">
        <f>sheet13[[#This Row],[Nombre]]&amp;sheet13[[#This Row],[Bp Id]]</f>
        <v>Gestión de LiquidezSUP0008</v>
      </c>
      <c r="D396" s="2" t="str">
        <f>VLOOKUP(sheet13[[#This Row],[Columna1]],Sheet2!C:S,4,FALSE)</f>
        <v>Retirado</v>
      </c>
      <c r="E396" s="2"/>
      <c r="F396" s="2" t="s">
        <v>47</v>
      </c>
      <c r="G396" s="2" t="s">
        <v>48</v>
      </c>
      <c r="H396" s="2" t="s">
        <v>34</v>
      </c>
      <c r="I396" s="2" t="s">
        <v>225</v>
      </c>
      <c r="J396" s="2" t="s">
        <v>226</v>
      </c>
      <c r="K396" s="2"/>
      <c r="L396" s="2" t="s">
        <v>1763</v>
      </c>
      <c r="M396" s="2"/>
      <c r="N396" s="2" t="s">
        <v>2345</v>
      </c>
      <c r="O396" s="2"/>
      <c r="P396" s="2" t="s">
        <v>43</v>
      </c>
      <c r="Q396" s="2" t="s">
        <v>53</v>
      </c>
      <c r="R396" s="2" t="s">
        <v>53</v>
      </c>
      <c r="S396" s="2" t="s">
        <v>41</v>
      </c>
      <c r="T396" s="2"/>
      <c r="U396" s="2" t="s">
        <v>41</v>
      </c>
      <c r="V396" s="2" t="s">
        <v>1764</v>
      </c>
      <c r="W396" s="3">
        <v>45199</v>
      </c>
      <c r="X396" s="2"/>
      <c r="Y396" s="2"/>
      <c r="Z396" s="2"/>
      <c r="AA396" s="2"/>
      <c r="AB396" s="2"/>
      <c r="AC396" s="2"/>
      <c r="AD396" s="2"/>
      <c r="AE396" s="2"/>
    </row>
    <row r="397" spans="1:31" ht="51">
      <c r="A397" s="2" t="s">
        <v>1765</v>
      </c>
      <c r="B397" s="2" t="s">
        <v>1766</v>
      </c>
      <c r="C397" s="2" t="str">
        <f>sheet13[[#This Row],[Nombre]]&amp;sheet13[[#This Row],[Bp Id]]</f>
        <v>Gestor Tributario CredifeGI0032</v>
      </c>
      <c r="D397" s="2" t="str">
        <f>VLOOKUP(sheet13[[#This Row],[Columna1]],Sheet2!C:S,4,FALSE)</f>
        <v>Operativo</v>
      </c>
      <c r="E397" s="2" t="s">
        <v>119</v>
      </c>
      <c r="F397" s="2" t="s">
        <v>32</v>
      </c>
      <c r="G397" s="2" t="s">
        <v>123</v>
      </c>
      <c r="H397" s="2" t="s">
        <v>34</v>
      </c>
      <c r="I397" s="2"/>
      <c r="J397" s="2"/>
      <c r="K397" s="2"/>
      <c r="L397" s="2"/>
      <c r="M397" s="2" t="s">
        <v>39</v>
      </c>
      <c r="N397" s="2" t="s">
        <v>2343</v>
      </c>
      <c r="O397" s="2" t="s">
        <v>40</v>
      </c>
      <c r="P397" s="2" t="s">
        <v>43</v>
      </c>
      <c r="Q397" s="2" t="s">
        <v>53</v>
      </c>
      <c r="R397" s="2" t="s">
        <v>53</v>
      </c>
      <c r="S397" s="2" t="s">
        <v>41</v>
      </c>
      <c r="T397" s="2"/>
      <c r="U397" s="2" t="s">
        <v>41</v>
      </c>
      <c r="V397" s="2"/>
      <c r="W397" s="3">
        <v>45199</v>
      </c>
      <c r="X397" s="2"/>
      <c r="Y397" s="2"/>
      <c r="Z397" s="2"/>
      <c r="AA397" s="2"/>
      <c r="AB397" s="2"/>
      <c r="AC397" s="2"/>
      <c r="AD397" s="2"/>
      <c r="AE397" s="2"/>
    </row>
    <row r="398" spans="1:31" ht="51">
      <c r="A398" s="2" t="s">
        <v>1767</v>
      </c>
      <c r="B398" s="2" t="s">
        <v>1768</v>
      </c>
      <c r="C398" s="2" t="str">
        <f>sheet13[[#This Row],[Nombre]]&amp;sheet13[[#This Row],[Bp Id]]</f>
        <v>Lista ObservadosGI0033</v>
      </c>
      <c r="D398" s="2" t="str">
        <f>VLOOKUP(sheet13[[#This Row],[Columna1]],Sheet2!C:S,4,FALSE)</f>
        <v>Operativo</v>
      </c>
      <c r="E398" s="2" t="s">
        <v>119</v>
      </c>
      <c r="F398" s="2" t="s">
        <v>32</v>
      </c>
      <c r="G398" s="2" t="s">
        <v>123</v>
      </c>
      <c r="H398" s="2" t="s">
        <v>34</v>
      </c>
      <c r="I398" s="2"/>
      <c r="J398" s="2"/>
      <c r="K398" s="2"/>
      <c r="L398" s="2"/>
      <c r="M398" s="2" t="s">
        <v>39</v>
      </c>
      <c r="N398" s="2" t="s">
        <v>2343</v>
      </c>
      <c r="O398" s="2" t="s">
        <v>40</v>
      </c>
      <c r="P398" s="2" t="s">
        <v>43</v>
      </c>
      <c r="Q398" s="2" t="s">
        <v>53</v>
      </c>
      <c r="R398" s="2" t="s">
        <v>53</v>
      </c>
      <c r="S398" s="2" t="s">
        <v>41</v>
      </c>
      <c r="T398" s="2"/>
      <c r="U398" s="2" t="s">
        <v>41</v>
      </c>
      <c r="V398" s="2"/>
      <c r="W398" s="3">
        <v>45199</v>
      </c>
      <c r="X398" s="2"/>
      <c r="Y398" s="2"/>
      <c r="Z398" s="2"/>
      <c r="AA398" s="2"/>
      <c r="AB398" s="2"/>
      <c r="AC398" s="2"/>
      <c r="AD398" s="2"/>
      <c r="AE398" s="2"/>
    </row>
    <row r="399" spans="1:31" ht="51">
      <c r="A399" s="2" t="s">
        <v>1769</v>
      </c>
      <c r="B399" s="2" t="s">
        <v>1770</v>
      </c>
      <c r="C399" s="2" t="str">
        <f>sheet13[[#This Row],[Nombre]]&amp;sheet13[[#This Row],[Bp Id]]</f>
        <v>MALLA FILIALESGI0035</v>
      </c>
      <c r="D399" s="2" t="str">
        <f>VLOOKUP(sheet13[[#This Row],[Columna1]],Sheet2!C:S,4,FALSE)</f>
        <v>Operativo</v>
      </c>
      <c r="E399" s="2" t="s">
        <v>1771</v>
      </c>
      <c r="F399" s="2" t="s">
        <v>32</v>
      </c>
      <c r="G399" s="2" t="s">
        <v>123</v>
      </c>
      <c r="H399" s="2" t="s">
        <v>34</v>
      </c>
      <c r="I399" s="2"/>
      <c r="J399" s="2"/>
      <c r="K399" s="2"/>
      <c r="L399" s="2"/>
      <c r="M399" s="2" t="s">
        <v>39</v>
      </c>
      <c r="N399" s="2" t="s">
        <v>2343</v>
      </c>
      <c r="O399" s="2" t="s">
        <v>40</v>
      </c>
      <c r="P399" s="2" t="s">
        <v>43</v>
      </c>
      <c r="Q399" s="2" t="s">
        <v>53</v>
      </c>
      <c r="R399" s="2" t="s">
        <v>53</v>
      </c>
      <c r="S399" s="2" t="s">
        <v>41</v>
      </c>
      <c r="T399" s="2"/>
      <c r="U399" s="2" t="s">
        <v>41</v>
      </c>
      <c r="V399" s="2"/>
      <c r="W399" s="3">
        <v>45199</v>
      </c>
      <c r="X399" s="2"/>
      <c r="Y399" s="2"/>
      <c r="Z399" s="2"/>
      <c r="AA399" s="2"/>
      <c r="AB399" s="2"/>
      <c r="AC399" s="2"/>
      <c r="AD399" s="2"/>
      <c r="AE399" s="2"/>
    </row>
    <row r="400" spans="1:31" ht="51">
      <c r="A400" s="2" t="s">
        <v>1772</v>
      </c>
      <c r="B400" s="2" t="s">
        <v>1773</v>
      </c>
      <c r="C400" s="2" t="str">
        <f>sheet13[[#This Row],[Nombre]]&amp;sheet13[[#This Row],[Bp Id]]</f>
        <v>Modelo PESGI0036</v>
      </c>
      <c r="D400" s="2" t="str">
        <f>VLOOKUP(sheet13[[#This Row],[Columna1]],Sheet2!C:S,4,FALSE)</f>
        <v>Operativo</v>
      </c>
      <c r="E400" s="2" t="s">
        <v>119</v>
      </c>
      <c r="F400" s="2" t="s">
        <v>32</v>
      </c>
      <c r="G400" s="2" t="s">
        <v>123</v>
      </c>
      <c r="H400" s="2" t="s">
        <v>34</v>
      </c>
      <c r="I400" s="2"/>
      <c r="J400" s="2"/>
      <c r="K400" s="2"/>
      <c r="L400" s="2"/>
      <c r="M400" s="2" t="s">
        <v>39</v>
      </c>
      <c r="N400" s="2" t="s">
        <v>2343</v>
      </c>
      <c r="O400" s="2" t="s">
        <v>40</v>
      </c>
      <c r="P400" s="2" t="s">
        <v>43</v>
      </c>
      <c r="Q400" s="2" t="s">
        <v>42</v>
      </c>
      <c r="R400" s="2" t="s">
        <v>53</v>
      </c>
      <c r="S400" s="2" t="s">
        <v>41</v>
      </c>
      <c r="T400" s="2"/>
      <c r="U400" s="2" t="s">
        <v>41</v>
      </c>
      <c r="V400" s="2" t="s">
        <v>119</v>
      </c>
      <c r="W400" s="3">
        <v>45199</v>
      </c>
      <c r="X400" s="2"/>
      <c r="Y400" s="2"/>
      <c r="Z400" s="2"/>
      <c r="AA400" s="2"/>
      <c r="AB400" s="2"/>
      <c r="AC400" s="2"/>
      <c r="AD400" s="2"/>
      <c r="AE400" s="2"/>
    </row>
    <row r="401" spans="1:31" ht="75.95">
      <c r="A401" s="2" t="s">
        <v>1774</v>
      </c>
      <c r="B401" s="2" t="s">
        <v>1775</v>
      </c>
      <c r="C401" s="2" t="str">
        <f>sheet13[[#This Row],[Nombre]]&amp;sheet13[[#This Row],[Bp Id]]</f>
        <v>SIOPRD0068</v>
      </c>
      <c r="D401" s="2" t="str">
        <f>VLOOKUP(sheet13[[#This Row],[Columna1]],Sheet2!C:S,4,FALSE)</f>
        <v>Operativo</v>
      </c>
      <c r="E401" s="2"/>
      <c r="F401" s="2" t="s">
        <v>32</v>
      </c>
      <c r="G401" s="2" t="s">
        <v>48</v>
      </c>
      <c r="H401" s="2" t="s">
        <v>59</v>
      </c>
      <c r="I401" s="2" t="s">
        <v>95</v>
      </c>
      <c r="J401" s="2" t="s">
        <v>96</v>
      </c>
      <c r="K401" s="2" t="s">
        <v>1703</v>
      </c>
      <c r="L401" s="2" t="s">
        <v>508</v>
      </c>
      <c r="M401" s="2" t="s">
        <v>39</v>
      </c>
      <c r="N401" s="2" t="s">
        <v>2343</v>
      </c>
      <c r="O401" s="2" t="s">
        <v>40</v>
      </c>
      <c r="P401" s="2" t="s">
        <v>41</v>
      </c>
      <c r="Q401" s="2" t="s">
        <v>64</v>
      </c>
      <c r="R401" s="2" t="s">
        <v>53</v>
      </c>
      <c r="S401" s="2" t="s">
        <v>41</v>
      </c>
      <c r="T401" s="2"/>
      <c r="U401" s="2" t="s">
        <v>41</v>
      </c>
      <c r="V401" s="2"/>
      <c r="W401" s="3">
        <v>45812</v>
      </c>
      <c r="X401" s="2" t="s">
        <v>974</v>
      </c>
      <c r="Y401" s="2" t="s">
        <v>100</v>
      </c>
      <c r="Z401" s="2"/>
      <c r="AA401" s="2" t="s">
        <v>127</v>
      </c>
      <c r="AB401" s="2"/>
      <c r="AC401" s="2" t="s">
        <v>180</v>
      </c>
      <c r="AD401" s="2" t="s">
        <v>129</v>
      </c>
      <c r="AE401" s="2" t="s">
        <v>1776</v>
      </c>
    </row>
    <row r="402" spans="1:31" ht="63.6">
      <c r="A402" s="2" t="s">
        <v>1777</v>
      </c>
      <c r="B402" s="2" t="s">
        <v>1778</v>
      </c>
      <c r="C402" s="2" t="str">
        <f>sheet13[[#This Row],[Nombre]]&amp;sheet13[[#This Row],[Bp Id]]</f>
        <v>Sistema de Providencias JudicialesSUP0065</v>
      </c>
      <c r="D402" s="2" t="str">
        <f>VLOOKUP(sheet13[[#This Row],[Columna1]],Sheet2!C:S,4,FALSE)</f>
        <v>Operativo</v>
      </c>
      <c r="E402" s="2"/>
      <c r="F402" s="2" t="s">
        <v>32</v>
      </c>
      <c r="G402" s="2" t="s">
        <v>48</v>
      </c>
      <c r="H402" s="2" t="s">
        <v>59</v>
      </c>
      <c r="I402" s="2" t="s">
        <v>225</v>
      </c>
      <c r="J402" s="2" t="s">
        <v>226</v>
      </c>
      <c r="K402" s="2" t="s">
        <v>1779</v>
      </c>
      <c r="L402" s="2" t="s">
        <v>228</v>
      </c>
      <c r="M402" s="2" t="s">
        <v>39</v>
      </c>
      <c r="N402" s="2" t="s">
        <v>2343</v>
      </c>
      <c r="O402" s="2" t="s">
        <v>40</v>
      </c>
      <c r="P402" s="2" t="s">
        <v>43</v>
      </c>
      <c r="Q402" s="2" t="s">
        <v>64</v>
      </c>
      <c r="R402" s="2" t="s">
        <v>64</v>
      </c>
      <c r="S402" s="2" t="s">
        <v>41</v>
      </c>
      <c r="T402" s="2"/>
      <c r="U402" s="2" t="s">
        <v>41</v>
      </c>
      <c r="V402" s="2"/>
      <c r="W402" s="3">
        <v>45924</v>
      </c>
      <c r="X402" s="2" t="s">
        <v>1780</v>
      </c>
      <c r="Y402" s="2" t="s">
        <v>375</v>
      </c>
      <c r="Z402" s="2" t="s">
        <v>187</v>
      </c>
      <c r="AA402" s="2" t="s">
        <v>376</v>
      </c>
      <c r="AB402" s="2" t="s">
        <v>127</v>
      </c>
      <c r="AC402" s="2" t="s">
        <v>263</v>
      </c>
      <c r="AD402" s="2" t="s">
        <v>129</v>
      </c>
      <c r="AE402" s="2" t="s">
        <v>1781</v>
      </c>
    </row>
    <row r="403" spans="1:31" ht="75.95">
      <c r="A403" s="2" t="s">
        <v>1782</v>
      </c>
      <c r="B403" s="2" t="s">
        <v>1783</v>
      </c>
      <c r="C403" s="2" t="str">
        <f>sheet13[[#This Row],[Nombre]]&amp;sheet13[[#This Row],[Bp Id]]</f>
        <v>SnykSEC0059</v>
      </c>
      <c r="D403" s="2" t="str">
        <f>VLOOKUP(sheet13[[#This Row],[Columna1]],Sheet2!C:S,4,FALSE)</f>
        <v>Operativo</v>
      </c>
      <c r="E403" s="2"/>
      <c r="F403" s="2" t="s">
        <v>32</v>
      </c>
      <c r="G403" s="2" t="s">
        <v>48</v>
      </c>
      <c r="H403" s="2" t="s">
        <v>345</v>
      </c>
      <c r="I403" s="2" t="s">
        <v>2348</v>
      </c>
      <c r="J403" s="2" t="s">
        <v>1330</v>
      </c>
      <c r="K403" s="2" t="s">
        <v>176</v>
      </c>
      <c r="L403" s="2" t="s">
        <v>214</v>
      </c>
      <c r="M403" s="2" t="s">
        <v>111</v>
      </c>
      <c r="N403" s="2" t="s">
        <v>2343</v>
      </c>
      <c r="O403" s="2" t="s">
        <v>40</v>
      </c>
      <c r="P403" s="2" t="s">
        <v>41</v>
      </c>
      <c r="Q403" s="2" t="s">
        <v>64</v>
      </c>
      <c r="R403" s="2" t="s">
        <v>64</v>
      </c>
      <c r="S403" s="2" t="s">
        <v>41</v>
      </c>
      <c r="T403" s="2"/>
      <c r="U403" s="2" t="s">
        <v>41</v>
      </c>
      <c r="V403" s="2"/>
      <c r="W403" s="3">
        <v>45716</v>
      </c>
      <c r="X403" s="2" t="s">
        <v>1784</v>
      </c>
      <c r="Y403" s="2" t="s">
        <v>101</v>
      </c>
      <c r="Z403" s="2"/>
      <c r="AA403" s="2" t="s">
        <v>1332</v>
      </c>
      <c r="AB403" s="2"/>
      <c r="AC403" s="2" t="s">
        <v>180</v>
      </c>
      <c r="AD403" s="2" t="s">
        <v>129</v>
      </c>
      <c r="AE403" s="2" t="s">
        <v>1785</v>
      </c>
    </row>
    <row r="404" spans="1:31" ht="63.6">
      <c r="A404" s="2" t="s">
        <v>1786</v>
      </c>
      <c r="B404" s="2" t="s">
        <v>1787</v>
      </c>
      <c r="C404" s="2" t="str">
        <f>sheet13[[#This Row],[Nombre]]&amp;sheet13[[#This Row],[Bp Id]]</f>
        <v>Tarjetas de CreditoCOMPAY0020</v>
      </c>
      <c r="D404" s="2" t="str">
        <f>VLOOKUP(sheet13[[#This Row],[Columna1]],Sheet2!C:S,4,FALSE)</f>
        <v>No operativo</v>
      </c>
      <c r="E404" s="2"/>
      <c r="F404" s="2" t="s">
        <v>1788</v>
      </c>
      <c r="G404" s="2" t="s">
        <v>48</v>
      </c>
      <c r="H404" s="2" t="s">
        <v>34</v>
      </c>
      <c r="I404" s="2" t="s">
        <v>141</v>
      </c>
      <c r="J404" s="2" t="s">
        <v>142</v>
      </c>
      <c r="K404" s="2"/>
      <c r="L404" s="2" t="s">
        <v>151</v>
      </c>
      <c r="M404" s="2"/>
      <c r="N404" s="2" t="s">
        <v>2345</v>
      </c>
      <c r="O404" s="2"/>
      <c r="P404" s="2" t="s">
        <v>43</v>
      </c>
      <c r="Q404" s="2" t="s">
        <v>53</v>
      </c>
      <c r="R404" s="2" t="s">
        <v>53</v>
      </c>
      <c r="S404" s="2" t="s">
        <v>41</v>
      </c>
      <c r="T404" s="2"/>
      <c r="U404" s="2" t="s">
        <v>41</v>
      </c>
      <c r="V404" s="2" t="s">
        <v>119</v>
      </c>
      <c r="W404" s="3">
        <v>45199</v>
      </c>
      <c r="X404" s="2"/>
      <c r="Y404" s="2"/>
      <c r="Z404" s="2"/>
      <c r="AA404" s="2"/>
      <c r="AB404" s="2"/>
      <c r="AC404" s="2"/>
      <c r="AD404" s="2"/>
      <c r="AE404" s="2"/>
    </row>
    <row r="405" spans="1:31" ht="51">
      <c r="A405" s="2" t="s">
        <v>1789</v>
      </c>
      <c r="B405" s="2" t="s">
        <v>1790</v>
      </c>
      <c r="C405" s="2" t="str">
        <f>sheet13[[#This Row],[Nombre]]&amp;sheet13[[#This Row],[Bp Id]]</f>
        <v>Transaccion MotivoGI0016</v>
      </c>
      <c r="D405" s="2" t="str">
        <f>VLOOKUP(sheet13[[#This Row],[Columna1]],Sheet2!C:S,4,FALSE)</f>
        <v>Operativo</v>
      </c>
      <c r="E405" s="2" t="s">
        <v>119</v>
      </c>
      <c r="F405" s="2" t="s">
        <v>32</v>
      </c>
      <c r="G405" s="2" t="s">
        <v>123</v>
      </c>
      <c r="H405" s="2" t="s">
        <v>34</v>
      </c>
      <c r="I405" s="2"/>
      <c r="J405" s="2"/>
      <c r="K405" s="2"/>
      <c r="L405" s="2"/>
      <c r="M405" s="2" t="s">
        <v>39</v>
      </c>
      <c r="N405" s="2" t="s">
        <v>2343</v>
      </c>
      <c r="O405" s="2" t="s">
        <v>40</v>
      </c>
      <c r="P405" s="2" t="s">
        <v>43</v>
      </c>
      <c r="Q405" s="2" t="s">
        <v>53</v>
      </c>
      <c r="R405" s="2" t="s">
        <v>53</v>
      </c>
      <c r="S405" s="2" t="s">
        <v>41</v>
      </c>
      <c r="T405" s="2"/>
      <c r="U405" s="2" t="s">
        <v>41</v>
      </c>
      <c r="V405" s="2"/>
      <c r="W405" s="3">
        <v>45199</v>
      </c>
      <c r="X405" s="2"/>
      <c r="Y405" s="2"/>
      <c r="Z405" s="2"/>
      <c r="AA405" s="2"/>
      <c r="AB405" s="2"/>
      <c r="AC405" s="2"/>
      <c r="AD405" s="2"/>
      <c r="AE405" s="2"/>
    </row>
    <row r="406" spans="1:31" ht="188.45">
      <c r="A406" s="2" t="s">
        <v>1791</v>
      </c>
      <c r="B406" s="2" t="s">
        <v>1792</v>
      </c>
      <c r="C406" s="2" t="str">
        <f>sheet13[[#This Row],[Nombre]]&amp;sheet13[[#This Row],[Bp Id]]</f>
        <v>VMware vCenterITM0060</v>
      </c>
      <c r="D406" s="2" t="str">
        <f>VLOOKUP(sheet13[[#This Row],[Columna1]],Sheet2!C:S,4,FALSE)</f>
        <v>Operativo</v>
      </c>
      <c r="E406" s="2"/>
      <c r="F406" s="2" t="s">
        <v>32</v>
      </c>
      <c r="G406" s="2" t="s">
        <v>76</v>
      </c>
      <c r="H406" s="2" t="s">
        <v>34</v>
      </c>
      <c r="I406" s="2" t="s">
        <v>68</v>
      </c>
      <c r="J406" s="2" t="s">
        <v>69</v>
      </c>
      <c r="K406" s="2" t="s">
        <v>82</v>
      </c>
      <c r="L406" s="2" t="s">
        <v>1715</v>
      </c>
      <c r="M406" s="2" t="s">
        <v>52</v>
      </c>
      <c r="N406" s="2" t="s">
        <v>2343</v>
      </c>
      <c r="O406" s="2" t="s">
        <v>40</v>
      </c>
      <c r="P406" s="2" t="s">
        <v>43</v>
      </c>
      <c r="Q406" s="2" t="s">
        <v>42</v>
      </c>
      <c r="R406" s="2" t="s">
        <v>53</v>
      </c>
      <c r="S406" s="2" t="s">
        <v>41</v>
      </c>
      <c r="T406" s="2"/>
      <c r="U406" s="2" t="s">
        <v>41</v>
      </c>
      <c r="V406" s="2" t="s">
        <v>1793</v>
      </c>
      <c r="W406" s="3">
        <v>45579</v>
      </c>
      <c r="X406" s="2" t="s">
        <v>1131</v>
      </c>
      <c r="Y406" s="2" t="s">
        <v>146</v>
      </c>
      <c r="Z406" s="2"/>
      <c r="AA406" s="2" t="s">
        <v>127</v>
      </c>
      <c r="AB406" s="2" t="s">
        <v>127</v>
      </c>
      <c r="AC406" s="2" t="s">
        <v>1794</v>
      </c>
      <c r="AD406" s="2" t="s">
        <v>129</v>
      </c>
      <c r="AE406" s="2" t="s">
        <v>1795</v>
      </c>
    </row>
    <row r="407" spans="1:31" ht="409.6">
      <c r="A407" s="2" t="s">
        <v>1796</v>
      </c>
      <c r="B407" s="2" t="s">
        <v>1797</v>
      </c>
      <c r="C407" s="2" t="str">
        <f>sheet13[[#This Row],[Nombre]]&amp;sheet13[[#This Row],[Bp Id]]</f>
        <v>CitibankGI0017</v>
      </c>
      <c r="D407" s="2" t="str">
        <f>VLOOKUP(sheet13[[#This Row],[Columna1]],Sheet2!C:S,4,FALSE)</f>
        <v>Operativo</v>
      </c>
      <c r="E407" s="2" t="s">
        <v>1798</v>
      </c>
      <c r="F407" s="2" t="s">
        <v>32</v>
      </c>
      <c r="G407" s="2" t="s">
        <v>76</v>
      </c>
      <c r="H407" s="2" t="s">
        <v>59</v>
      </c>
      <c r="I407" s="2"/>
      <c r="J407" s="2"/>
      <c r="K407" s="2"/>
      <c r="L407" s="2" t="s">
        <v>1031</v>
      </c>
      <c r="M407" s="2"/>
      <c r="N407" s="2" t="s">
        <v>2343</v>
      </c>
      <c r="O407" s="2" t="s">
        <v>40</v>
      </c>
      <c r="P407" s="2" t="s">
        <v>41</v>
      </c>
      <c r="Q407" s="2" t="s">
        <v>53</v>
      </c>
      <c r="R407" s="2" t="s">
        <v>53</v>
      </c>
      <c r="S407" s="2" t="s">
        <v>41</v>
      </c>
      <c r="T407" s="2"/>
      <c r="U407" s="2" t="s">
        <v>41</v>
      </c>
      <c r="V407" s="2" t="s">
        <v>1799</v>
      </c>
      <c r="W407" s="3">
        <v>46160</v>
      </c>
      <c r="X407" s="2"/>
      <c r="Y407" s="2" t="s">
        <v>375</v>
      </c>
      <c r="Z407" s="2" t="s">
        <v>959</v>
      </c>
      <c r="AA407" s="2" t="s">
        <v>127</v>
      </c>
      <c r="AB407" s="2" t="s">
        <v>127</v>
      </c>
      <c r="AC407" s="2" t="s">
        <v>2367</v>
      </c>
      <c r="AD407" s="2" t="s">
        <v>415</v>
      </c>
      <c r="AE407" s="2" t="s">
        <v>1801</v>
      </c>
    </row>
    <row r="408" spans="1:31" ht="75.95">
      <c r="A408" s="2" t="s">
        <v>1802</v>
      </c>
      <c r="B408" s="2" t="s">
        <v>1803</v>
      </c>
      <c r="C408" s="2" t="str">
        <f>sheet13[[#This Row],[Nombre]]&amp;sheet13[[#This Row],[Bp Id]]</f>
        <v>TeamMatePlus (Auditoría Interna)RIS0019</v>
      </c>
      <c r="D408" s="2" t="str">
        <f>VLOOKUP(sheet13[[#This Row],[Columna1]],Sheet2!C:S,4,FALSE)</f>
        <v>Operativo</v>
      </c>
      <c r="E408" s="2"/>
      <c r="F408" s="2" t="s">
        <v>32</v>
      </c>
      <c r="G408" s="2" t="s">
        <v>48</v>
      </c>
      <c r="H408" s="2" t="s">
        <v>59</v>
      </c>
      <c r="I408" s="2" t="s">
        <v>225</v>
      </c>
      <c r="J408" s="2" t="s">
        <v>226</v>
      </c>
      <c r="K408" s="2" t="s">
        <v>227</v>
      </c>
      <c r="L408" s="2" t="s">
        <v>228</v>
      </c>
      <c r="M408" s="2" t="s">
        <v>63</v>
      </c>
      <c r="N408" s="2" t="s">
        <v>2343</v>
      </c>
      <c r="O408" s="2" t="s">
        <v>40</v>
      </c>
      <c r="P408" s="2" t="s">
        <v>41</v>
      </c>
      <c r="Q408" s="2" t="s">
        <v>64</v>
      </c>
      <c r="R408" s="2" t="s">
        <v>53</v>
      </c>
      <c r="S408" s="2" t="s">
        <v>41</v>
      </c>
      <c r="T408" s="2"/>
      <c r="U408" s="2" t="s">
        <v>41</v>
      </c>
      <c r="V408" s="2"/>
      <c r="W408" s="3">
        <v>45770</v>
      </c>
      <c r="X408" s="2" t="s">
        <v>1804</v>
      </c>
      <c r="Y408" s="2" t="s">
        <v>253</v>
      </c>
      <c r="Z408" s="2" t="s">
        <v>101</v>
      </c>
      <c r="AA408" s="2" t="s">
        <v>127</v>
      </c>
      <c r="AB408" s="2" t="s">
        <v>127</v>
      </c>
      <c r="AC408" s="2" t="s">
        <v>180</v>
      </c>
      <c r="AD408" s="2" t="s">
        <v>129</v>
      </c>
      <c r="AE408" s="2" t="s">
        <v>1805</v>
      </c>
    </row>
    <row r="409" spans="1:31" ht="409.6">
      <c r="A409" s="2" t="s">
        <v>1806</v>
      </c>
      <c r="B409" s="2" t="s">
        <v>1807</v>
      </c>
      <c r="C409" s="2" t="str">
        <f>sheet13[[#This Row],[Nombre]]&amp;sheet13[[#This Row],[Bp Id]]</f>
        <v>GPOADminITM0114</v>
      </c>
      <c r="D409" s="2" t="str">
        <f>VLOOKUP(sheet13[[#This Row],[Columna1]],Sheet2!C:S,4,FALSE)</f>
        <v>Operativo</v>
      </c>
      <c r="E409" s="2" t="s">
        <v>1808</v>
      </c>
      <c r="F409" s="2" t="s">
        <v>32</v>
      </c>
      <c r="G409" s="2" t="s">
        <v>48</v>
      </c>
      <c r="H409" s="2" t="s">
        <v>59</v>
      </c>
      <c r="I409" s="2" t="s">
        <v>232</v>
      </c>
      <c r="J409" s="2" t="s">
        <v>234</v>
      </c>
      <c r="K409" s="2" t="s">
        <v>1163</v>
      </c>
      <c r="L409" s="2" t="s">
        <v>1809</v>
      </c>
      <c r="M409" s="2"/>
      <c r="N409" s="2" t="s">
        <v>2343</v>
      </c>
      <c r="O409" s="2" t="s">
        <v>40</v>
      </c>
      <c r="P409" s="2" t="s">
        <v>43</v>
      </c>
      <c r="Q409" s="2" t="s">
        <v>42</v>
      </c>
      <c r="R409" s="2" t="s">
        <v>42</v>
      </c>
      <c r="S409" s="2" t="s">
        <v>43</v>
      </c>
      <c r="T409" s="2" t="s">
        <v>2344</v>
      </c>
      <c r="U409" s="2" t="s">
        <v>43</v>
      </c>
      <c r="V409" s="2" t="s">
        <v>1810</v>
      </c>
      <c r="W409" s="3">
        <v>45994</v>
      </c>
      <c r="X409" s="2" t="s">
        <v>1811</v>
      </c>
      <c r="Y409" s="2"/>
      <c r="Z409" s="2"/>
      <c r="AA409" s="2"/>
      <c r="AB409" s="2"/>
      <c r="AC409" s="2" t="s">
        <v>1812</v>
      </c>
      <c r="AD409" s="2"/>
      <c r="AE409" s="2"/>
    </row>
    <row r="410" spans="1:31" ht="409.6">
      <c r="A410" s="2" t="s">
        <v>1813</v>
      </c>
      <c r="B410" s="2" t="s">
        <v>1814</v>
      </c>
      <c r="C410" s="2" t="str">
        <f>sheet13[[#This Row],[Nombre]]&amp;sheet13[[#This Row],[Bp Id]]</f>
        <v>Portal de Negocio AutomotrizPRD0069</v>
      </c>
      <c r="D410" s="2" t="str">
        <f>VLOOKUP(sheet13[[#This Row],[Columna1]],Sheet2!C:S,4,FALSE)</f>
        <v>Operativo</v>
      </c>
      <c r="E410" s="2" t="s">
        <v>1815</v>
      </c>
      <c r="F410" s="2" t="s">
        <v>32</v>
      </c>
      <c r="G410" s="2" t="s">
        <v>48</v>
      </c>
      <c r="H410" s="2" t="s">
        <v>59</v>
      </c>
      <c r="I410" s="2" t="s">
        <v>95</v>
      </c>
      <c r="J410" s="2" t="s">
        <v>96</v>
      </c>
      <c r="K410" s="2" t="s">
        <v>1703</v>
      </c>
      <c r="L410" s="2" t="s">
        <v>508</v>
      </c>
      <c r="M410" s="2"/>
      <c r="N410" s="2" t="s">
        <v>2343</v>
      </c>
      <c r="O410" s="2" t="s">
        <v>40</v>
      </c>
      <c r="P410" s="2" t="s">
        <v>43</v>
      </c>
      <c r="Q410" s="2" t="s">
        <v>64</v>
      </c>
      <c r="R410" s="2" t="s">
        <v>64</v>
      </c>
      <c r="S410" s="2" t="s">
        <v>43</v>
      </c>
      <c r="T410" s="2" t="str">
        <f>VLOOKUP(sheet13[[#This Row],[Nombre]],[1]Hoja1!A:B,2,FALSE)</f>
        <v>FASE 2</v>
      </c>
      <c r="U410" s="2" t="s">
        <v>43</v>
      </c>
      <c r="V410" s="2" t="s">
        <v>1816</v>
      </c>
      <c r="W410" s="3"/>
      <c r="X410" s="2" t="s">
        <v>1817</v>
      </c>
      <c r="Y410" s="2"/>
      <c r="Z410" s="2"/>
      <c r="AA410" s="2"/>
      <c r="AB410" s="2"/>
      <c r="AC410" s="2" t="s">
        <v>1818</v>
      </c>
      <c r="AD410" s="2"/>
      <c r="AE410" s="2"/>
    </row>
    <row r="411" spans="1:31" ht="51">
      <c r="A411" s="2" t="s">
        <v>1819</v>
      </c>
      <c r="B411" s="2" t="s">
        <v>1820</v>
      </c>
      <c r="C411" s="2" t="str">
        <f>sheet13[[#This Row],[Nombre]]&amp;sheet13[[#This Row],[Bp Id]]</f>
        <v>Abonos AnticipadosGI0009</v>
      </c>
      <c r="D411" s="2" t="str">
        <f>VLOOKUP(sheet13[[#This Row],[Columna1]],Sheet2!C:S,4,FALSE)</f>
        <v>Operativo</v>
      </c>
      <c r="E411" s="2" t="s">
        <v>119</v>
      </c>
      <c r="F411" s="2" t="s">
        <v>32</v>
      </c>
      <c r="G411" s="2" t="s">
        <v>123</v>
      </c>
      <c r="H411" s="2" t="s">
        <v>34</v>
      </c>
      <c r="I411" s="2"/>
      <c r="J411" s="2"/>
      <c r="K411" s="2"/>
      <c r="L411" s="2"/>
      <c r="M411" s="2" t="s">
        <v>39</v>
      </c>
      <c r="N411" s="2" t="s">
        <v>2343</v>
      </c>
      <c r="O411" s="2" t="s">
        <v>40</v>
      </c>
      <c r="P411" s="2" t="s">
        <v>41</v>
      </c>
      <c r="Q411" s="2" t="s">
        <v>53</v>
      </c>
      <c r="R411" s="2" t="s">
        <v>53</v>
      </c>
      <c r="S411" s="2" t="s">
        <v>41</v>
      </c>
      <c r="T411" s="2"/>
      <c r="U411" s="2" t="s">
        <v>41</v>
      </c>
      <c r="V411" s="2"/>
      <c r="W411" s="3">
        <v>45199</v>
      </c>
      <c r="X411" s="2"/>
      <c r="Y411" s="2" t="s">
        <v>100</v>
      </c>
      <c r="Z411" s="2"/>
      <c r="AA411" s="2" t="s">
        <v>147</v>
      </c>
      <c r="AB411" s="2" t="s">
        <v>147</v>
      </c>
      <c r="AC411" s="2"/>
      <c r="AD411" s="2" t="s">
        <v>129</v>
      </c>
      <c r="AE411" s="2"/>
    </row>
    <row r="412" spans="1:31" ht="75.95">
      <c r="A412" s="2" t="s">
        <v>1821</v>
      </c>
      <c r="B412" s="2" t="s">
        <v>1822</v>
      </c>
      <c r="C412" s="2" t="str">
        <f>sheet13[[#This Row],[Nombre]]&amp;sheet13[[#This Row],[Bp Id]]</f>
        <v>Administracion de cupos y lineas de creditoGI0012</v>
      </c>
      <c r="D412" s="2" t="str">
        <f>VLOOKUP(sheet13[[#This Row],[Columna1]],Sheet2!C:S,4,FALSE)</f>
        <v>Operativo</v>
      </c>
      <c r="E412" s="2" t="s">
        <v>119</v>
      </c>
      <c r="F412" s="2" t="s">
        <v>32</v>
      </c>
      <c r="G412" s="2" t="s">
        <v>123</v>
      </c>
      <c r="H412" s="2" t="s">
        <v>34</v>
      </c>
      <c r="I412" s="2"/>
      <c r="J412" s="2"/>
      <c r="K412" s="2"/>
      <c r="L412" s="2"/>
      <c r="M412" s="2" t="s">
        <v>39</v>
      </c>
      <c r="N412" s="2" t="s">
        <v>2343</v>
      </c>
      <c r="O412" s="2" t="s">
        <v>40</v>
      </c>
      <c r="P412" s="2" t="s">
        <v>41</v>
      </c>
      <c r="Q412" s="2"/>
      <c r="R412" s="2"/>
      <c r="S412" s="2" t="s">
        <v>41</v>
      </c>
      <c r="T412" s="2"/>
      <c r="U412" s="2" t="s">
        <v>41</v>
      </c>
      <c r="V412" s="2"/>
      <c r="W412" s="3">
        <v>45199</v>
      </c>
      <c r="X412" s="2"/>
      <c r="Y412" s="2"/>
      <c r="Z412" s="2"/>
      <c r="AA412" s="2"/>
      <c r="AB412" s="2"/>
      <c r="AC412" s="2"/>
      <c r="AD412" s="2"/>
      <c r="AE412" s="2"/>
    </row>
    <row r="413" spans="1:31" ht="51">
      <c r="A413" s="2" t="s">
        <v>1823</v>
      </c>
      <c r="B413" s="2" t="s">
        <v>1824</v>
      </c>
      <c r="C413" s="2" t="str">
        <f>sheet13[[#This Row],[Nombre]]&amp;sheet13[[#This Row],[Bp Id]]</f>
        <v>Administrador ATMSGI0014</v>
      </c>
      <c r="D413" s="2" t="str">
        <f>VLOOKUP(sheet13[[#This Row],[Columna1]],Sheet2!C:S,4,FALSE)</f>
        <v>Operativo</v>
      </c>
      <c r="E413" s="2" t="s">
        <v>119</v>
      </c>
      <c r="F413" s="2" t="s">
        <v>32</v>
      </c>
      <c r="G413" s="2" t="s">
        <v>123</v>
      </c>
      <c r="H413" s="2" t="s">
        <v>34</v>
      </c>
      <c r="I413" s="2"/>
      <c r="J413" s="2"/>
      <c r="K413" s="2"/>
      <c r="L413" s="2"/>
      <c r="M413" s="2" t="s">
        <v>39</v>
      </c>
      <c r="N413" s="2" t="s">
        <v>2343</v>
      </c>
      <c r="O413" s="2" t="s">
        <v>40</v>
      </c>
      <c r="P413" s="2" t="s">
        <v>41</v>
      </c>
      <c r="Q413" s="2"/>
      <c r="R413" s="2"/>
      <c r="S413" s="2" t="s">
        <v>41</v>
      </c>
      <c r="T413" s="2"/>
      <c r="U413" s="2" t="s">
        <v>41</v>
      </c>
      <c r="V413" s="2"/>
      <c r="W413" s="3">
        <v>45199</v>
      </c>
      <c r="X413" s="2"/>
      <c r="Y413" s="2"/>
      <c r="Z413" s="2"/>
      <c r="AA413" s="2"/>
      <c r="AB413" s="2"/>
      <c r="AC413" s="2"/>
      <c r="AD413" s="2"/>
      <c r="AE413" s="2"/>
    </row>
    <row r="414" spans="1:31" ht="51">
      <c r="A414" s="2" t="s">
        <v>1825</v>
      </c>
      <c r="B414" s="2" t="s">
        <v>1826</v>
      </c>
      <c r="C414" s="2" t="str">
        <f>sheet13[[#This Row],[Nombre]]&amp;sheet13[[#This Row],[Bp Id]]</f>
        <v>AM-Menu AccionistasGI0022</v>
      </c>
      <c r="D414" s="2" t="str">
        <f>VLOOKUP(sheet13[[#This Row],[Columna1]],Sheet2!C:S,4,FALSE)</f>
        <v>Operativo</v>
      </c>
      <c r="E414" s="2" t="s">
        <v>119</v>
      </c>
      <c r="F414" s="2" t="s">
        <v>32</v>
      </c>
      <c r="G414" s="2" t="s">
        <v>123</v>
      </c>
      <c r="H414" s="2" t="s">
        <v>34</v>
      </c>
      <c r="I414" s="2"/>
      <c r="J414" s="2"/>
      <c r="K414" s="2"/>
      <c r="L414" s="2"/>
      <c r="M414" s="2" t="s">
        <v>39</v>
      </c>
      <c r="N414" s="2" t="s">
        <v>2343</v>
      </c>
      <c r="O414" s="2" t="s">
        <v>40</v>
      </c>
      <c r="P414" s="2" t="s">
        <v>41</v>
      </c>
      <c r="Q414" s="2"/>
      <c r="R414" s="2"/>
      <c r="S414" s="2" t="s">
        <v>41</v>
      </c>
      <c r="T414" s="2"/>
      <c r="U414" s="2" t="s">
        <v>41</v>
      </c>
      <c r="V414" s="2"/>
      <c r="W414" s="3">
        <v>45199</v>
      </c>
      <c r="X414" s="2"/>
      <c r="Y414" s="2" t="s">
        <v>100</v>
      </c>
      <c r="Z414" s="2"/>
      <c r="AA414" s="2"/>
      <c r="AB414" s="2"/>
      <c r="AC414" s="2"/>
      <c r="AD414" s="2"/>
      <c r="AE414" s="2"/>
    </row>
    <row r="415" spans="1:31" ht="51">
      <c r="A415" s="2" t="s">
        <v>1827</v>
      </c>
      <c r="B415" s="2" t="s">
        <v>1828</v>
      </c>
      <c r="C415" s="2" t="str">
        <f>sheet13[[#This Row],[Nombre]]&amp;sheet13[[#This Row],[Bp Id]]</f>
        <v>Aplicativo Captura de FirmasGI0023</v>
      </c>
      <c r="D415" s="2" t="str">
        <f>VLOOKUP(sheet13[[#This Row],[Columna1]],Sheet2!C:S,4,FALSE)</f>
        <v>Operativo</v>
      </c>
      <c r="E415" s="2" t="s">
        <v>1771</v>
      </c>
      <c r="F415" s="2" t="s">
        <v>32</v>
      </c>
      <c r="G415" s="2" t="s">
        <v>123</v>
      </c>
      <c r="H415" s="2" t="s">
        <v>34</v>
      </c>
      <c r="I415" s="2"/>
      <c r="J415" s="2"/>
      <c r="K415" s="2"/>
      <c r="L415" s="2"/>
      <c r="M415" s="2" t="s">
        <v>39</v>
      </c>
      <c r="N415" s="2" t="s">
        <v>2343</v>
      </c>
      <c r="O415" s="2" t="s">
        <v>40</v>
      </c>
      <c r="P415" s="2" t="s">
        <v>41</v>
      </c>
      <c r="Q415" s="2" t="s">
        <v>53</v>
      </c>
      <c r="R415" s="2" t="s">
        <v>53</v>
      </c>
      <c r="S415" s="2" t="s">
        <v>41</v>
      </c>
      <c r="T415" s="2"/>
      <c r="U415" s="2" t="s">
        <v>41</v>
      </c>
      <c r="V415" s="2"/>
      <c r="W415" s="3">
        <v>45199</v>
      </c>
      <c r="X415" s="2"/>
      <c r="Y415" s="2"/>
      <c r="Z415" s="2"/>
      <c r="AA415" s="2"/>
      <c r="AB415" s="2"/>
      <c r="AC415" s="2"/>
      <c r="AD415" s="2"/>
      <c r="AE415" s="2"/>
    </row>
    <row r="416" spans="1:31" ht="51">
      <c r="A416" s="2" t="s">
        <v>1829</v>
      </c>
      <c r="B416" s="2" t="s">
        <v>1830</v>
      </c>
      <c r="C416" s="2" t="str">
        <f>sheet13[[#This Row],[Nombre]]&amp;sheet13[[#This Row],[Bp Id]]</f>
        <v>Aplicativo de RemesasGI0024</v>
      </c>
      <c r="D416" s="2" t="str">
        <f>VLOOKUP(sheet13[[#This Row],[Columna1]],Sheet2!C:S,4,FALSE)</f>
        <v>Operativo</v>
      </c>
      <c r="E416" s="2" t="s">
        <v>119</v>
      </c>
      <c r="F416" s="2" t="s">
        <v>32</v>
      </c>
      <c r="G416" s="2" t="s">
        <v>123</v>
      </c>
      <c r="H416" s="2" t="s">
        <v>34</v>
      </c>
      <c r="I416" s="2"/>
      <c r="J416" s="2"/>
      <c r="K416" s="2"/>
      <c r="L416" s="2"/>
      <c r="M416" s="2" t="s">
        <v>39</v>
      </c>
      <c r="N416" s="2" t="s">
        <v>2343</v>
      </c>
      <c r="O416" s="2" t="s">
        <v>40</v>
      </c>
      <c r="P416" s="2" t="s">
        <v>41</v>
      </c>
      <c r="Q416" s="2" t="s">
        <v>53</v>
      </c>
      <c r="R416" s="2" t="s">
        <v>53</v>
      </c>
      <c r="S416" s="2" t="s">
        <v>41</v>
      </c>
      <c r="T416" s="2"/>
      <c r="U416" s="2" t="s">
        <v>41</v>
      </c>
      <c r="V416" s="2"/>
      <c r="W416" s="3">
        <v>45199</v>
      </c>
      <c r="X416" s="2"/>
      <c r="Y416" s="2"/>
      <c r="Z416" s="2"/>
      <c r="AA416" s="2"/>
      <c r="AB416" s="2"/>
      <c r="AC416" s="2"/>
      <c r="AD416" s="2"/>
      <c r="AE416" s="2"/>
    </row>
    <row r="417" spans="1:31" ht="51">
      <c r="A417" s="2" t="s">
        <v>1831</v>
      </c>
      <c r="B417" s="2" t="s">
        <v>1832</v>
      </c>
      <c r="C417" s="2" t="str">
        <f>sheet13[[#This Row],[Nombre]]&amp;sheet13[[#This Row],[Bp Id]]</f>
        <v>ATM CAjeros AutomaticosGI0025</v>
      </c>
      <c r="D417" s="2" t="str">
        <f>VLOOKUP(sheet13[[#This Row],[Columna1]],Sheet2!C:S,4,FALSE)</f>
        <v>Operativo</v>
      </c>
      <c r="E417" s="2" t="s">
        <v>119</v>
      </c>
      <c r="F417" s="2" t="s">
        <v>32</v>
      </c>
      <c r="G417" s="2" t="s">
        <v>123</v>
      </c>
      <c r="H417" s="2" t="s">
        <v>34</v>
      </c>
      <c r="I417" s="2"/>
      <c r="J417" s="2"/>
      <c r="K417" s="2"/>
      <c r="L417" s="2"/>
      <c r="M417" s="2" t="s">
        <v>39</v>
      </c>
      <c r="N417" s="2" t="s">
        <v>2343</v>
      </c>
      <c r="O417" s="2" t="s">
        <v>40</v>
      </c>
      <c r="P417" s="2" t="s">
        <v>41</v>
      </c>
      <c r="Q417" s="2" t="s">
        <v>53</v>
      </c>
      <c r="R417" s="2" t="s">
        <v>53</v>
      </c>
      <c r="S417" s="2" t="s">
        <v>41</v>
      </c>
      <c r="T417" s="2"/>
      <c r="U417" s="2" t="s">
        <v>41</v>
      </c>
      <c r="V417" s="2"/>
      <c r="W417" s="3">
        <v>45199</v>
      </c>
      <c r="X417" s="2"/>
      <c r="Y417" s="2" t="s">
        <v>100</v>
      </c>
      <c r="Z417" s="2"/>
      <c r="AA417" s="2"/>
      <c r="AB417" s="2"/>
      <c r="AC417" s="2"/>
      <c r="AD417" s="2"/>
      <c r="AE417" s="2"/>
    </row>
    <row r="418" spans="1:31" ht="63.6">
      <c r="A418" s="2" t="s">
        <v>1833</v>
      </c>
      <c r="B418" s="2" t="s">
        <v>1834</v>
      </c>
      <c r="C418" s="2" t="str">
        <f>sheet13[[#This Row],[Nombre]]&amp;sheet13[[#This Row],[Bp Id]]</f>
        <v>Calculadora de Cupos para CreditosGI0026</v>
      </c>
      <c r="D418" s="2" t="str">
        <f>VLOOKUP(sheet13[[#This Row],[Columna1]],Sheet2!C:S,4,FALSE)</f>
        <v>Operativo</v>
      </c>
      <c r="E418" s="2" t="s">
        <v>119</v>
      </c>
      <c r="F418" s="2" t="s">
        <v>32</v>
      </c>
      <c r="G418" s="2" t="s">
        <v>123</v>
      </c>
      <c r="H418" s="2" t="s">
        <v>34</v>
      </c>
      <c r="I418" s="2"/>
      <c r="J418" s="2"/>
      <c r="K418" s="2"/>
      <c r="L418" s="2"/>
      <c r="M418" s="2" t="s">
        <v>39</v>
      </c>
      <c r="N418" s="2" t="s">
        <v>2343</v>
      </c>
      <c r="O418" s="2" t="s">
        <v>40</v>
      </c>
      <c r="P418" s="2" t="s">
        <v>41</v>
      </c>
      <c r="Q418" s="2" t="s">
        <v>53</v>
      </c>
      <c r="R418" s="2" t="s">
        <v>53</v>
      </c>
      <c r="S418" s="2" t="s">
        <v>41</v>
      </c>
      <c r="T418" s="2"/>
      <c r="U418" s="2" t="s">
        <v>41</v>
      </c>
      <c r="V418" s="2"/>
      <c r="W418" s="3">
        <v>45199</v>
      </c>
      <c r="X418" s="2"/>
      <c r="Y418" s="2"/>
      <c r="Z418" s="2"/>
      <c r="AA418" s="2"/>
      <c r="AB418" s="2"/>
      <c r="AC418" s="2"/>
      <c r="AD418" s="2"/>
      <c r="AE418" s="2"/>
    </row>
    <row r="419" spans="1:31" ht="51">
      <c r="A419" s="2" t="s">
        <v>1835</v>
      </c>
      <c r="B419" s="2" t="s">
        <v>1836</v>
      </c>
      <c r="C419" s="2" t="str">
        <f>sheet13[[#This Row],[Nombre]]&amp;sheet13[[#This Row],[Bp Id]]</f>
        <v>Clientes JuridicosGI0027</v>
      </c>
      <c r="D419" s="2" t="str">
        <f>VLOOKUP(sheet13[[#This Row],[Columna1]],Sheet2!C:S,4,FALSE)</f>
        <v>Operativo</v>
      </c>
      <c r="E419" s="2" t="s">
        <v>119</v>
      </c>
      <c r="F419" s="2" t="s">
        <v>32</v>
      </c>
      <c r="G419" s="2" t="s">
        <v>123</v>
      </c>
      <c r="H419" s="2" t="s">
        <v>34</v>
      </c>
      <c r="I419" s="2"/>
      <c r="J419" s="2"/>
      <c r="K419" s="2"/>
      <c r="L419" s="2"/>
      <c r="M419" s="2" t="s">
        <v>39</v>
      </c>
      <c r="N419" s="2" t="s">
        <v>2343</v>
      </c>
      <c r="O419" s="2" t="s">
        <v>40</v>
      </c>
      <c r="P419" s="2" t="s">
        <v>41</v>
      </c>
      <c r="Q419" s="2" t="s">
        <v>53</v>
      </c>
      <c r="R419" s="2" t="s">
        <v>53</v>
      </c>
      <c r="S419" s="2" t="s">
        <v>41</v>
      </c>
      <c r="T419" s="2"/>
      <c r="U419" s="2" t="s">
        <v>41</v>
      </c>
      <c r="V419" s="2"/>
      <c r="W419" s="3">
        <v>45199</v>
      </c>
      <c r="X419" s="2"/>
      <c r="Y419" s="2"/>
      <c r="Z419" s="2"/>
      <c r="AA419" s="2"/>
      <c r="AB419" s="2"/>
      <c r="AC419" s="2"/>
      <c r="AD419" s="2"/>
      <c r="AE419" s="2"/>
    </row>
    <row r="420" spans="1:31" ht="51">
      <c r="A420" s="2" t="s">
        <v>1837</v>
      </c>
      <c r="B420" s="2" t="s">
        <v>1838</v>
      </c>
      <c r="C420" s="2" t="str">
        <f>sheet13[[#This Row],[Nombre]]&amp;sheet13[[#This Row],[Bp Id]]</f>
        <v>Constructores.comGI0028</v>
      </c>
      <c r="D420" s="2" t="str">
        <f>VLOOKUP(sheet13[[#This Row],[Columna1]],Sheet2!C:S,4,FALSE)</f>
        <v>Operativo</v>
      </c>
      <c r="E420" s="2" t="s">
        <v>119</v>
      </c>
      <c r="F420" s="2" t="s">
        <v>32</v>
      </c>
      <c r="G420" s="2" t="s">
        <v>123</v>
      </c>
      <c r="H420" s="2" t="s">
        <v>34</v>
      </c>
      <c r="I420" s="2"/>
      <c r="J420" s="2"/>
      <c r="K420" s="2"/>
      <c r="L420" s="2"/>
      <c r="M420" s="2" t="s">
        <v>39</v>
      </c>
      <c r="N420" s="2" t="s">
        <v>2343</v>
      </c>
      <c r="O420" s="2" t="s">
        <v>40</v>
      </c>
      <c r="P420" s="2" t="s">
        <v>41</v>
      </c>
      <c r="Q420" s="2" t="s">
        <v>53</v>
      </c>
      <c r="R420" s="2" t="s">
        <v>53</v>
      </c>
      <c r="S420" s="2" t="s">
        <v>41</v>
      </c>
      <c r="T420" s="2"/>
      <c r="U420" s="2" t="s">
        <v>41</v>
      </c>
      <c r="V420" s="2"/>
      <c r="W420" s="3">
        <v>45199</v>
      </c>
      <c r="X420" s="2"/>
      <c r="Y420" s="2" t="s">
        <v>100</v>
      </c>
      <c r="Z420" s="2"/>
      <c r="AA420" s="2"/>
      <c r="AB420" s="2"/>
      <c r="AC420" s="2"/>
      <c r="AD420" s="2"/>
      <c r="AE420" s="2"/>
    </row>
    <row r="421" spans="1:31" ht="51">
      <c r="A421" s="2" t="s">
        <v>1839</v>
      </c>
      <c r="B421" s="2" t="s">
        <v>1840</v>
      </c>
      <c r="C421" s="2" t="str">
        <f>sheet13[[#This Row],[Nombre]]&amp;sheet13[[#This Row],[Bp Id]]</f>
        <v>MTSGI0037</v>
      </c>
      <c r="D421" s="2" t="str">
        <f>VLOOKUP(sheet13[[#This Row],[Columna1]],Sheet2!C:S,4,FALSE)</f>
        <v>Operativo</v>
      </c>
      <c r="E421" s="2" t="s">
        <v>119</v>
      </c>
      <c r="F421" s="2" t="s">
        <v>32</v>
      </c>
      <c r="G421" s="2" t="s">
        <v>123</v>
      </c>
      <c r="H421" s="2" t="s">
        <v>34</v>
      </c>
      <c r="I421" s="2"/>
      <c r="J421" s="2"/>
      <c r="K421" s="2"/>
      <c r="L421" s="2"/>
      <c r="M421" s="2" t="s">
        <v>39</v>
      </c>
      <c r="N421" s="2" t="s">
        <v>2343</v>
      </c>
      <c r="O421" s="2" t="s">
        <v>40</v>
      </c>
      <c r="P421" s="2" t="s">
        <v>43</v>
      </c>
      <c r="Q421" s="2" t="s">
        <v>53</v>
      </c>
      <c r="R421" s="2" t="s">
        <v>53</v>
      </c>
      <c r="S421" s="2" t="s">
        <v>41</v>
      </c>
      <c r="T421" s="2"/>
      <c r="U421" s="2" t="s">
        <v>41</v>
      </c>
      <c r="V421" s="2"/>
      <c r="W421" s="3">
        <v>45199</v>
      </c>
      <c r="X421" s="2"/>
      <c r="Y421" s="2"/>
      <c r="Z421" s="2"/>
      <c r="AA421" s="2"/>
      <c r="AB421" s="2"/>
      <c r="AC421" s="2"/>
      <c r="AD421" s="2"/>
      <c r="AE421" s="2"/>
    </row>
    <row r="422" spans="1:31" ht="51">
      <c r="A422" s="2" t="s">
        <v>1841</v>
      </c>
      <c r="B422" s="2" t="s">
        <v>1842</v>
      </c>
      <c r="C422" s="2" t="str">
        <f>sheet13[[#This Row],[Nombre]]&amp;sheet13[[#This Row],[Bp Id]]</f>
        <v>NotificacionesGI0038</v>
      </c>
      <c r="D422" s="2" t="str">
        <f>VLOOKUP(sheet13[[#This Row],[Columna1]],Sheet2!C:S,4,FALSE)</f>
        <v>Operativo</v>
      </c>
      <c r="E422" s="2" t="s">
        <v>119</v>
      </c>
      <c r="F422" s="2" t="s">
        <v>32</v>
      </c>
      <c r="G422" s="2" t="s">
        <v>123</v>
      </c>
      <c r="H422" s="2" t="s">
        <v>34</v>
      </c>
      <c r="I422" s="2"/>
      <c r="J422" s="2"/>
      <c r="K422" s="2"/>
      <c r="L422" s="2"/>
      <c r="M422" s="2" t="s">
        <v>39</v>
      </c>
      <c r="N422" s="2" t="s">
        <v>2343</v>
      </c>
      <c r="O422" s="2" t="s">
        <v>40</v>
      </c>
      <c r="P422" s="2" t="s">
        <v>43</v>
      </c>
      <c r="Q422" s="2" t="s">
        <v>53</v>
      </c>
      <c r="R422" s="2" t="s">
        <v>53</v>
      </c>
      <c r="S422" s="2" t="s">
        <v>41</v>
      </c>
      <c r="T422" s="2"/>
      <c r="U422" s="2" t="s">
        <v>41</v>
      </c>
      <c r="V422" s="2"/>
      <c r="W422" s="3">
        <v>45199</v>
      </c>
      <c r="X422" s="2"/>
      <c r="Y422" s="2"/>
      <c r="Z422" s="2"/>
      <c r="AA422" s="2"/>
      <c r="AB422" s="2"/>
      <c r="AC422" s="2"/>
      <c r="AD422" s="2"/>
      <c r="AE422" s="2"/>
    </row>
    <row r="423" spans="1:31" ht="51">
      <c r="A423" s="2" t="s">
        <v>1843</v>
      </c>
      <c r="B423" s="2" t="s">
        <v>1844</v>
      </c>
      <c r="C423" s="2" t="str">
        <f>sheet13[[#This Row],[Nombre]]&amp;sheet13[[#This Row],[Bp Id]]</f>
        <v>OPERACIONES.COMGI0039</v>
      </c>
      <c r="D423" s="2" t="str">
        <f>VLOOKUP(sheet13[[#This Row],[Columna1]],Sheet2!C:S,4,FALSE)</f>
        <v>Operativo</v>
      </c>
      <c r="E423" s="2" t="s">
        <v>119</v>
      </c>
      <c r="F423" s="2" t="s">
        <v>32</v>
      </c>
      <c r="G423" s="2" t="s">
        <v>123</v>
      </c>
      <c r="H423" s="2" t="s">
        <v>34</v>
      </c>
      <c r="I423" s="2"/>
      <c r="J423" s="2"/>
      <c r="K423" s="2"/>
      <c r="L423" s="2"/>
      <c r="M423" s="2" t="s">
        <v>39</v>
      </c>
      <c r="N423" s="2" t="s">
        <v>2343</v>
      </c>
      <c r="O423" s="2" t="s">
        <v>40</v>
      </c>
      <c r="P423" s="2" t="s">
        <v>43</v>
      </c>
      <c r="Q423" s="2" t="s">
        <v>53</v>
      </c>
      <c r="R423" s="2" t="s">
        <v>53</v>
      </c>
      <c r="S423" s="2" t="s">
        <v>41</v>
      </c>
      <c r="T423" s="2"/>
      <c r="U423" s="2" t="s">
        <v>41</v>
      </c>
      <c r="V423" s="2"/>
      <c r="W423" s="3">
        <v>45199</v>
      </c>
      <c r="X423" s="2"/>
      <c r="Y423" s="2"/>
      <c r="Z423" s="2"/>
      <c r="AA423" s="2"/>
      <c r="AB423" s="2"/>
      <c r="AC423" s="2"/>
      <c r="AD423" s="2"/>
      <c r="AE423" s="2"/>
    </row>
    <row r="424" spans="1:31" ht="51">
      <c r="A424" s="2" t="s">
        <v>1845</v>
      </c>
      <c r="B424" s="2" t="s">
        <v>1846</v>
      </c>
      <c r="C424" s="2" t="str">
        <f>sheet13[[#This Row],[Nombre]]&amp;sheet13[[#This Row],[Bp Id]]</f>
        <v>Organismo de ControlGI0040</v>
      </c>
      <c r="D424" s="2" t="str">
        <f>VLOOKUP(sheet13[[#This Row],[Columna1]],Sheet2!C:S,4,FALSE)</f>
        <v>Operativo</v>
      </c>
      <c r="E424" s="2" t="s">
        <v>119</v>
      </c>
      <c r="F424" s="2" t="s">
        <v>32</v>
      </c>
      <c r="G424" s="2" t="s">
        <v>123</v>
      </c>
      <c r="H424" s="2" t="s">
        <v>34</v>
      </c>
      <c r="I424" s="2"/>
      <c r="J424" s="2"/>
      <c r="K424" s="2"/>
      <c r="L424" s="2"/>
      <c r="M424" s="2" t="s">
        <v>39</v>
      </c>
      <c r="N424" s="2" t="s">
        <v>2343</v>
      </c>
      <c r="O424" s="2" t="s">
        <v>40</v>
      </c>
      <c r="P424" s="2" t="s">
        <v>43</v>
      </c>
      <c r="Q424" s="2" t="s">
        <v>53</v>
      </c>
      <c r="R424" s="2" t="s">
        <v>53</v>
      </c>
      <c r="S424" s="2" t="s">
        <v>41</v>
      </c>
      <c r="T424" s="2"/>
      <c r="U424" s="2" t="s">
        <v>41</v>
      </c>
      <c r="V424" s="2"/>
      <c r="W424" s="3">
        <v>45199</v>
      </c>
      <c r="X424" s="2"/>
      <c r="Y424" s="2"/>
      <c r="Z424" s="2"/>
      <c r="AA424" s="2"/>
      <c r="AB424" s="2"/>
      <c r="AC424" s="2"/>
      <c r="AD424" s="2"/>
      <c r="AE424" s="2"/>
    </row>
    <row r="425" spans="1:31" ht="51">
      <c r="A425" s="2" t="s">
        <v>1847</v>
      </c>
      <c r="B425" s="2" t="s">
        <v>1848</v>
      </c>
      <c r="C425" s="2" t="str">
        <f>sheet13[[#This Row],[Nombre]]&amp;sheet13[[#This Row],[Bp Id]]</f>
        <v>Pague YaGI0041</v>
      </c>
      <c r="D425" s="2" t="str">
        <f>VLOOKUP(sheet13[[#This Row],[Columna1]],Sheet2!C:S,4,FALSE)</f>
        <v>Operativo</v>
      </c>
      <c r="E425" s="2" t="s">
        <v>119</v>
      </c>
      <c r="F425" s="2" t="s">
        <v>32</v>
      </c>
      <c r="G425" s="2" t="s">
        <v>123</v>
      </c>
      <c r="H425" s="2" t="s">
        <v>34</v>
      </c>
      <c r="I425" s="2"/>
      <c r="J425" s="2"/>
      <c r="K425" s="2"/>
      <c r="L425" s="2"/>
      <c r="M425" s="2" t="s">
        <v>39</v>
      </c>
      <c r="N425" s="2" t="s">
        <v>2343</v>
      </c>
      <c r="O425" s="2" t="s">
        <v>40</v>
      </c>
      <c r="P425" s="2" t="s">
        <v>43</v>
      </c>
      <c r="Q425" s="2" t="s">
        <v>53</v>
      </c>
      <c r="R425" s="2" t="s">
        <v>53</v>
      </c>
      <c r="S425" s="2" t="s">
        <v>41</v>
      </c>
      <c r="T425" s="2"/>
      <c r="U425" s="2" t="s">
        <v>41</v>
      </c>
      <c r="V425" s="2"/>
      <c r="W425" s="3">
        <v>45199</v>
      </c>
      <c r="X425" s="2"/>
      <c r="Y425" s="2"/>
      <c r="Z425" s="2"/>
      <c r="AA425" s="2"/>
      <c r="AB425" s="2"/>
      <c r="AC425" s="2"/>
      <c r="AD425" s="2"/>
      <c r="AE425" s="2"/>
    </row>
    <row r="426" spans="1:31" ht="51">
      <c r="A426" s="2" t="s">
        <v>1849</v>
      </c>
      <c r="B426" s="2" t="s">
        <v>1850</v>
      </c>
      <c r="C426" s="2" t="str">
        <f>sheet13[[#This Row],[Nombre]]&amp;sheet13[[#This Row],[Bp Id]]</f>
        <v>PreevaluacionRIS0009</v>
      </c>
      <c r="D426" s="2" t="str">
        <f>VLOOKUP(sheet13[[#This Row],[Columna1]],Sheet2!C:S,4,FALSE)</f>
        <v>Retirado</v>
      </c>
      <c r="E426" s="2"/>
      <c r="F426" s="2" t="s">
        <v>47</v>
      </c>
      <c r="G426" s="2" t="s">
        <v>48</v>
      </c>
      <c r="H426" s="2" t="s">
        <v>34</v>
      </c>
      <c r="I426" s="2" t="s">
        <v>320</v>
      </c>
      <c r="J426" s="2" t="s">
        <v>321</v>
      </c>
      <c r="K426" s="2"/>
      <c r="L426" s="2" t="s">
        <v>1851</v>
      </c>
      <c r="M426" s="2"/>
      <c r="N426" s="2" t="s">
        <v>2345</v>
      </c>
      <c r="O426" s="2"/>
      <c r="P426" s="2" t="s">
        <v>43</v>
      </c>
      <c r="Q426" s="2" t="s">
        <v>53</v>
      </c>
      <c r="R426" s="2" t="s">
        <v>53</v>
      </c>
      <c r="S426" s="2" t="s">
        <v>41</v>
      </c>
      <c r="T426" s="2"/>
      <c r="U426" s="2" t="s">
        <v>41</v>
      </c>
      <c r="V426" s="2" t="s">
        <v>1771</v>
      </c>
      <c r="W426" s="3">
        <v>45199</v>
      </c>
      <c r="X426" s="2"/>
      <c r="Y426" s="2"/>
      <c r="Z426" s="2"/>
      <c r="AA426" s="2"/>
      <c r="AB426" s="2"/>
      <c r="AC426" s="2"/>
      <c r="AD426" s="2"/>
      <c r="AE426" s="2"/>
    </row>
    <row r="427" spans="1:31" ht="63.6">
      <c r="A427" s="2" t="s">
        <v>1852</v>
      </c>
      <c r="B427" s="2" t="s">
        <v>1853</v>
      </c>
      <c r="C427" s="2" t="str">
        <f>sheet13[[#This Row],[Nombre]]&amp;sheet13[[#This Row],[Bp Id]]</f>
        <v>ApisProveedorITM0141</v>
      </c>
      <c r="D427" s="2" t="str">
        <f>VLOOKUP(sheet13[[#This Row],[Columna1]],Sheet2!C:S,4,FALSE)</f>
        <v>Retirado</v>
      </c>
      <c r="E427" s="2"/>
      <c r="F427" s="2" t="s">
        <v>47</v>
      </c>
      <c r="G427" s="2" t="s">
        <v>123</v>
      </c>
      <c r="H427" s="2" t="s">
        <v>59</v>
      </c>
      <c r="I427" s="2" t="s">
        <v>1854</v>
      </c>
      <c r="J427" s="2" t="s">
        <v>88</v>
      </c>
      <c r="K427" s="2" t="s">
        <v>1855</v>
      </c>
      <c r="L427" s="2" t="s">
        <v>1856</v>
      </c>
      <c r="M427" s="2"/>
      <c r="N427" s="2" t="s">
        <v>2345</v>
      </c>
      <c r="O427" s="2"/>
      <c r="P427" s="2"/>
      <c r="Q427" s="2"/>
      <c r="R427" s="2"/>
      <c r="S427" s="2" t="s">
        <v>41</v>
      </c>
      <c r="T427" s="2"/>
      <c r="U427" s="2" t="s">
        <v>43</v>
      </c>
      <c r="V427" s="2"/>
      <c r="W427" s="3"/>
      <c r="X427" s="2"/>
      <c r="Y427" s="2"/>
      <c r="Z427" s="2"/>
      <c r="AA427" s="2"/>
      <c r="AB427" s="2"/>
      <c r="AC427" s="2"/>
      <c r="AD427" s="2"/>
      <c r="AE427" s="2"/>
    </row>
    <row r="428" spans="1:31" ht="51">
      <c r="A428" s="2" t="s">
        <v>1857</v>
      </c>
      <c r="B428" s="2" t="s">
        <v>1858</v>
      </c>
      <c r="C428" s="2" t="str">
        <f>sheet13[[#This Row],[Nombre]]&amp;sheet13[[#This Row],[Bp Id]]</f>
        <v>HP SAN Network AdvisorITM0029</v>
      </c>
      <c r="D428" s="2" t="str">
        <f>VLOOKUP(sheet13[[#This Row],[Columna1]],Sheet2!C:S,4,FALSE)</f>
        <v>Operativo</v>
      </c>
      <c r="E428" s="2"/>
      <c r="F428" s="2" t="s">
        <v>32</v>
      </c>
      <c r="G428" s="2" t="s">
        <v>48</v>
      </c>
      <c r="H428" s="2" t="s">
        <v>34</v>
      </c>
      <c r="I428" s="2" t="s">
        <v>68</v>
      </c>
      <c r="J428" s="2" t="s">
        <v>236</v>
      </c>
      <c r="K428" s="2"/>
      <c r="L428" s="2" t="s">
        <v>586</v>
      </c>
      <c r="M428" s="2" t="s">
        <v>52</v>
      </c>
      <c r="N428" s="2" t="s">
        <v>2343</v>
      </c>
      <c r="O428" s="2" t="s">
        <v>40</v>
      </c>
      <c r="P428" s="2"/>
      <c r="Q428" s="2"/>
      <c r="R428" s="2"/>
      <c r="S428" s="2" t="s">
        <v>41</v>
      </c>
      <c r="T428" s="2" t="s">
        <v>2344</v>
      </c>
      <c r="U428" s="2" t="s">
        <v>43</v>
      </c>
      <c r="V428" s="2"/>
      <c r="W428" s="3"/>
      <c r="X428" s="2"/>
      <c r="Y428" s="2"/>
      <c r="Z428" s="2"/>
      <c r="AA428" s="2"/>
      <c r="AB428" s="2"/>
      <c r="AC428" s="2"/>
      <c r="AD428" s="2"/>
      <c r="AE428" s="2"/>
    </row>
    <row r="429" spans="1:31" ht="351">
      <c r="A429" s="2" t="s">
        <v>1859</v>
      </c>
      <c r="B429" s="2" t="s">
        <v>1860</v>
      </c>
      <c r="C429" s="2" t="str">
        <f>sheet13[[#This Row],[Nombre]]&amp;sheet13[[#This Row],[Bp Id]]</f>
        <v>PANORAMAGI0018</v>
      </c>
      <c r="D429" s="2" t="str">
        <f>VLOOKUP(sheet13[[#This Row],[Columna1]],Sheet2!C:S,4,FALSE)</f>
        <v>Operativo</v>
      </c>
      <c r="E429" s="2" t="s">
        <v>1861</v>
      </c>
      <c r="F429" s="2" t="s">
        <v>32</v>
      </c>
      <c r="G429" s="2" t="s">
        <v>76</v>
      </c>
      <c r="H429" s="2" t="s">
        <v>59</v>
      </c>
      <c r="I429" s="2" t="s">
        <v>1862</v>
      </c>
      <c r="J429" s="2" t="s">
        <v>1862</v>
      </c>
      <c r="K429" s="2"/>
      <c r="L429" s="2" t="s">
        <v>1862</v>
      </c>
      <c r="M429" s="2" t="s">
        <v>111</v>
      </c>
      <c r="N429" s="2" t="s">
        <v>2343</v>
      </c>
      <c r="O429" s="2" t="s">
        <v>40</v>
      </c>
      <c r="P429" s="2" t="s">
        <v>41</v>
      </c>
      <c r="Q429" s="2" t="s">
        <v>42</v>
      </c>
      <c r="R429" s="2" t="s">
        <v>42</v>
      </c>
      <c r="S429" s="2" t="s">
        <v>41</v>
      </c>
      <c r="T429" s="2"/>
      <c r="U429" s="2" t="s">
        <v>41</v>
      </c>
      <c r="V429" s="2"/>
      <c r="W429" s="3">
        <v>45554</v>
      </c>
      <c r="X429" s="2" t="s">
        <v>1862</v>
      </c>
      <c r="Y429" s="2" t="s">
        <v>253</v>
      </c>
      <c r="Z429" s="2" t="s">
        <v>590</v>
      </c>
      <c r="AA429" s="2" t="s">
        <v>376</v>
      </c>
      <c r="AB429" s="2" t="s">
        <v>127</v>
      </c>
      <c r="AC429" s="2" t="s">
        <v>1863</v>
      </c>
      <c r="AD429" s="2" t="s">
        <v>129</v>
      </c>
      <c r="AE429" s="2" t="s">
        <v>1859</v>
      </c>
    </row>
    <row r="430" spans="1:31" ht="409.6">
      <c r="A430" s="2" t="s">
        <v>1864</v>
      </c>
      <c r="B430" s="2" t="s">
        <v>1865</v>
      </c>
      <c r="C430" s="2" t="str">
        <f>sheet13[[#This Row],[Nombre]]&amp;sheet13[[#This Row],[Bp Id]]</f>
        <v>DataPower InternoINT0006</v>
      </c>
      <c r="D430" s="2" t="str">
        <f>VLOOKUP(sheet13[[#This Row],[Columna1]],Sheet2!C:S,4,FALSE)</f>
        <v>Operativo</v>
      </c>
      <c r="E430" s="2" t="s">
        <v>1866</v>
      </c>
      <c r="F430" s="2" t="s">
        <v>32</v>
      </c>
      <c r="G430" s="2" t="s">
        <v>123</v>
      </c>
      <c r="H430" s="2" t="s">
        <v>34</v>
      </c>
      <c r="I430" s="2" t="s">
        <v>49</v>
      </c>
      <c r="J430" s="2" t="s">
        <v>50</v>
      </c>
      <c r="K430" s="2" t="s">
        <v>51</v>
      </c>
      <c r="L430" s="2" t="s">
        <v>405</v>
      </c>
      <c r="M430" s="2" t="s">
        <v>52</v>
      </c>
      <c r="N430" s="2" t="s">
        <v>2343</v>
      </c>
      <c r="O430" s="2" t="s">
        <v>40</v>
      </c>
      <c r="P430" s="2" t="s">
        <v>41</v>
      </c>
      <c r="Q430" s="2" t="s">
        <v>53</v>
      </c>
      <c r="R430" s="2" t="s">
        <v>53</v>
      </c>
      <c r="S430" s="2" t="s">
        <v>41</v>
      </c>
      <c r="T430" s="2"/>
      <c r="U430" s="2" t="s">
        <v>41</v>
      </c>
      <c r="V430" s="2" t="s">
        <v>1867</v>
      </c>
      <c r="W430" s="3">
        <v>46197</v>
      </c>
      <c r="X430" s="2" t="s">
        <v>124</v>
      </c>
      <c r="Y430" s="2" t="s">
        <v>126</v>
      </c>
      <c r="Z430" s="2" t="s">
        <v>125</v>
      </c>
      <c r="AA430" s="2" t="s">
        <v>127</v>
      </c>
      <c r="AB430" s="2" t="s">
        <v>127</v>
      </c>
      <c r="AC430" s="2" t="s">
        <v>1868</v>
      </c>
      <c r="AD430" s="2" t="s">
        <v>129</v>
      </c>
      <c r="AE430" s="2" t="s">
        <v>1869</v>
      </c>
    </row>
    <row r="431" spans="1:31" ht="409.6">
      <c r="A431" s="2" t="s">
        <v>1870</v>
      </c>
      <c r="B431" s="2" t="s">
        <v>1871</v>
      </c>
      <c r="C431" s="2" t="str">
        <f>sheet13[[#This Row],[Nombre]]&amp;sheet13[[#This Row],[Bp Id]]</f>
        <v>Integration Bus OmnicanalINT0008</v>
      </c>
      <c r="D431" s="2" t="str">
        <f>VLOOKUP(sheet13[[#This Row],[Columna1]],Sheet2!C:S,4,FALSE)</f>
        <v>Operativo</v>
      </c>
      <c r="E431" s="2" t="s">
        <v>122</v>
      </c>
      <c r="F431" s="2" t="s">
        <v>32</v>
      </c>
      <c r="G431" s="2" t="s">
        <v>123</v>
      </c>
      <c r="H431" s="2" t="s">
        <v>34</v>
      </c>
      <c r="I431" s="2" t="s">
        <v>49</v>
      </c>
      <c r="J431" s="2" t="s">
        <v>50</v>
      </c>
      <c r="K431" s="2" t="s">
        <v>51</v>
      </c>
      <c r="L431" s="2" t="s">
        <v>51</v>
      </c>
      <c r="M431" s="2" t="s">
        <v>52</v>
      </c>
      <c r="N431" s="2" t="s">
        <v>2343</v>
      </c>
      <c r="O431" s="2" t="s">
        <v>40</v>
      </c>
      <c r="P431" s="2" t="s">
        <v>41</v>
      </c>
      <c r="Q431" s="2" t="s">
        <v>53</v>
      </c>
      <c r="R431" s="2" t="s">
        <v>53</v>
      </c>
      <c r="S431" s="2" t="s">
        <v>41</v>
      </c>
      <c r="T431" s="2"/>
      <c r="U431" s="2" t="s">
        <v>41</v>
      </c>
      <c r="V431" s="2"/>
      <c r="W431" s="3">
        <v>46197</v>
      </c>
      <c r="X431" s="2" t="s">
        <v>124</v>
      </c>
      <c r="Y431" s="2" t="s">
        <v>125</v>
      </c>
      <c r="Z431" s="2" t="s">
        <v>126</v>
      </c>
      <c r="AA431" s="2" t="s">
        <v>127</v>
      </c>
      <c r="AB431" s="2" t="s">
        <v>127</v>
      </c>
      <c r="AC431" s="2" t="s">
        <v>1872</v>
      </c>
      <c r="AD431" s="2" t="s">
        <v>129</v>
      </c>
      <c r="AE431" s="2" t="s">
        <v>1873</v>
      </c>
    </row>
    <row r="432" spans="1:31" ht="51">
      <c r="A432" s="2" t="s">
        <v>1874</v>
      </c>
      <c r="B432" s="2" t="s">
        <v>1875</v>
      </c>
      <c r="C432" s="2" t="str">
        <f>sheet13[[#This Row],[Nombre]]&amp;sheet13[[#This Row],[Bp Id]]</f>
        <v>BPComplianceITM0126</v>
      </c>
      <c r="D432" s="2" t="str">
        <f>VLOOKUP(sheet13[[#This Row],[Columna1]],Sheet2!C:S,4,FALSE)</f>
        <v>Operativo</v>
      </c>
      <c r="E432" s="2"/>
      <c r="F432" s="2" t="s">
        <v>32</v>
      </c>
      <c r="G432" s="2" t="s">
        <v>48</v>
      </c>
      <c r="H432" s="2" t="s">
        <v>59</v>
      </c>
      <c r="I432" s="2" t="s">
        <v>225</v>
      </c>
      <c r="J432" s="2" t="s">
        <v>226</v>
      </c>
      <c r="K432" s="2" t="s">
        <v>687</v>
      </c>
      <c r="L432" s="2" t="s">
        <v>1392</v>
      </c>
      <c r="M432" s="2" t="s">
        <v>63</v>
      </c>
      <c r="N432" s="2" t="s">
        <v>2343</v>
      </c>
      <c r="O432" s="2" t="s">
        <v>40</v>
      </c>
      <c r="P432" s="2" t="s">
        <v>43</v>
      </c>
      <c r="Q432" s="2" t="s">
        <v>64</v>
      </c>
      <c r="R432" s="2" t="s">
        <v>64</v>
      </c>
      <c r="S432" s="2" t="s">
        <v>41</v>
      </c>
      <c r="T432" s="2"/>
      <c r="U432" s="2" t="s">
        <v>41</v>
      </c>
      <c r="V432" s="2"/>
      <c r="W432" s="3">
        <v>46184</v>
      </c>
      <c r="X432" s="2"/>
      <c r="Y432" s="2"/>
      <c r="Z432" s="2"/>
      <c r="AA432" s="2" t="s">
        <v>376</v>
      </c>
      <c r="AB432" s="2" t="s">
        <v>376</v>
      </c>
      <c r="AC432" s="2"/>
      <c r="AD432" s="2" t="s">
        <v>129</v>
      </c>
      <c r="AE432" s="2"/>
    </row>
    <row r="433" spans="1:31" ht="63.6">
      <c r="A433" s="2" t="s">
        <v>1880</v>
      </c>
      <c r="B433" s="2" t="s">
        <v>1881</v>
      </c>
      <c r="C433" s="2" t="str">
        <f>sheet13[[#This Row],[Nombre]]&amp;sheet13[[#This Row],[Bp Id]]</f>
        <v>Staffing ITM0105</v>
      </c>
      <c r="D433" s="2" t="str">
        <f>VLOOKUP(sheet13[[#This Row],[Columna1]],Sheet2!C:S,4,FALSE)</f>
        <v>Operativo</v>
      </c>
      <c r="E433" s="2"/>
      <c r="F433" s="2" t="s">
        <v>32</v>
      </c>
      <c r="G433" s="2" t="s">
        <v>48</v>
      </c>
      <c r="H433" s="2" t="s">
        <v>59</v>
      </c>
      <c r="I433" s="2" t="s">
        <v>225</v>
      </c>
      <c r="J433" s="2" t="s">
        <v>226</v>
      </c>
      <c r="K433" s="2" t="s">
        <v>1215</v>
      </c>
      <c r="L433" s="2" t="s">
        <v>2351</v>
      </c>
      <c r="M433" s="2" t="s">
        <v>52</v>
      </c>
      <c r="N433" s="2" t="s">
        <v>2343</v>
      </c>
      <c r="O433" s="2" t="s">
        <v>40</v>
      </c>
      <c r="P433" s="2"/>
      <c r="Q433" s="2"/>
      <c r="R433" s="2"/>
      <c r="S433" s="2" t="s">
        <v>41</v>
      </c>
      <c r="T433" s="2" t="s">
        <v>2344</v>
      </c>
      <c r="U433" s="2" t="s">
        <v>43</v>
      </c>
      <c r="V433" s="2"/>
      <c r="W433" s="3"/>
      <c r="X433" s="2"/>
      <c r="Y433" s="2"/>
      <c r="Z433" s="2"/>
      <c r="AA433" s="2"/>
      <c r="AB433" s="2"/>
      <c r="AC433" s="2"/>
      <c r="AD433" s="2"/>
      <c r="AE433" s="2"/>
    </row>
    <row r="434" spans="1:31" ht="51">
      <c r="A434" s="2" t="s">
        <v>1882</v>
      </c>
      <c r="B434" s="2" t="s">
        <v>1883</v>
      </c>
      <c r="C434" s="2" t="str">
        <f>sheet13[[#This Row],[Nombre]]&amp;sheet13[[#This Row],[Bp Id]]</f>
        <v>Capital CredifePRD0051</v>
      </c>
      <c r="D434" s="2" t="str">
        <f>VLOOKUP(sheet13[[#This Row],[Columna1]],Sheet2!C:S,4,FALSE)</f>
        <v>Operativo</v>
      </c>
      <c r="E434" s="2"/>
      <c r="F434" s="2" t="s">
        <v>32</v>
      </c>
      <c r="G434" s="2" t="s">
        <v>48</v>
      </c>
      <c r="H434" s="2" t="s">
        <v>34</v>
      </c>
      <c r="I434" s="2" t="s">
        <v>309</v>
      </c>
      <c r="J434" s="2" t="s">
        <v>310</v>
      </c>
      <c r="K434" s="2"/>
      <c r="L434" s="2"/>
      <c r="M434" s="2"/>
      <c r="N434" s="2" t="s">
        <v>2343</v>
      </c>
      <c r="O434" s="2" t="s">
        <v>40</v>
      </c>
      <c r="P434" s="2"/>
      <c r="Q434" s="2" t="s">
        <v>53</v>
      </c>
      <c r="R434" s="2" t="s">
        <v>53</v>
      </c>
      <c r="S434" s="2" t="s">
        <v>41</v>
      </c>
      <c r="T434" s="2" t="s">
        <v>2344</v>
      </c>
      <c r="U434" s="2" t="s">
        <v>43</v>
      </c>
      <c r="V434" s="2" t="s">
        <v>1884</v>
      </c>
      <c r="W434" s="3"/>
      <c r="X434" s="2"/>
      <c r="Y434" s="2"/>
      <c r="Z434" s="2"/>
      <c r="AA434" s="2"/>
      <c r="AB434" s="2"/>
      <c r="AC434" s="2"/>
      <c r="AD434" s="2"/>
      <c r="AE434" s="2"/>
    </row>
    <row r="435" spans="1:31" ht="51">
      <c r="A435" s="2" t="s">
        <v>1908</v>
      </c>
      <c r="B435" s="2" t="s">
        <v>1909</v>
      </c>
      <c r="C435" s="2" t="str">
        <f>sheet13[[#This Row],[Nombre]]&amp;sheet13[[#This Row],[Bp Id]]</f>
        <v>Redis EnterpriseITM0142</v>
      </c>
      <c r="D435" s="2" t="str">
        <f>VLOOKUP(sheet13[[#This Row],[Columna1]],Sheet2!C:S,4,FALSE)</f>
        <v>Operativo</v>
      </c>
      <c r="E435" s="2"/>
      <c r="F435" s="2" t="s">
        <v>32</v>
      </c>
      <c r="G435" s="2" t="s">
        <v>48</v>
      </c>
      <c r="H435" s="2" t="s">
        <v>59</v>
      </c>
      <c r="I435" s="2" t="s">
        <v>449</v>
      </c>
      <c r="J435" s="2" t="s">
        <v>450</v>
      </c>
      <c r="K435" s="2" t="s">
        <v>450</v>
      </c>
      <c r="L435" s="2" t="s">
        <v>450</v>
      </c>
      <c r="M435" s="2" t="s">
        <v>52</v>
      </c>
      <c r="N435" s="2" t="s">
        <v>2343</v>
      </c>
      <c r="O435" s="2" t="s">
        <v>40</v>
      </c>
      <c r="P435" s="2"/>
      <c r="Q435" s="2"/>
      <c r="R435" s="2"/>
      <c r="S435" s="2" t="s">
        <v>41</v>
      </c>
      <c r="T435" s="2" t="s">
        <v>2344</v>
      </c>
      <c r="U435" s="2" t="s">
        <v>43</v>
      </c>
      <c r="V435" s="2"/>
      <c r="W435" s="3"/>
      <c r="X435" s="2"/>
      <c r="Y435" s="2"/>
      <c r="Z435" s="2"/>
      <c r="AA435" s="2"/>
      <c r="AB435" s="2"/>
      <c r="AC435" s="2"/>
      <c r="AD435" s="2"/>
      <c r="AE435" s="2"/>
    </row>
    <row r="436" spans="1:31" ht="51">
      <c r="A436" s="2" t="s">
        <v>1911</v>
      </c>
      <c r="B436" s="2" t="s">
        <v>1912</v>
      </c>
      <c r="C436" s="2" t="str">
        <f>sheet13[[#This Row],[Nombre]]&amp;sheet13[[#This Row],[Bp Id]]</f>
        <v>Sistema Nacional de PagosPRD0028</v>
      </c>
      <c r="D436" s="2" t="str">
        <f>VLOOKUP(sheet13[[#This Row],[Columna1]],Sheet2!C:S,4,FALSE)</f>
        <v>Operativo</v>
      </c>
      <c r="E436" s="2"/>
      <c r="F436" s="2" t="s">
        <v>32</v>
      </c>
      <c r="G436" s="2" t="s">
        <v>123</v>
      </c>
      <c r="H436" s="2" t="s">
        <v>34</v>
      </c>
      <c r="I436" s="2" t="s">
        <v>553</v>
      </c>
      <c r="J436" s="2" t="s">
        <v>554</v>
      </c>
      <c r="K436" s="2" t="s">
        <v>634</v>
      </c>
      <c r="L436" s="2" t="s">
        <v>722</v>
      </c>
      <c r="M436" s="2" t="s">
        <v>39</v>
      </c>
      <c r="N436" s="2" t="s">
        <v>2343</v>
      </c>
      <c r="O436" s="2" t="s">
        <v>40</v>
      </c>
      <c r="P436" s="2"/>
      <c r="Q436" s="2"/>
      <c r="R436" s="2"/>
      <c r="S436" s="2" t="s">
        <v>41</v>
      </c>
      <c r="T436" s="2" t="s">
        <v>2344</v>
      </c>
      <c r="U436" s="2" t="s">
        <v>43</v>
      </c>
      <c r="V436" s="2"/>
      <c r="W436" s="3"/>
      <c r="X436" s="2"/>
      <c r="Y436" s="2"/>
      <c r="Z436" s="2"/>
      <c r="AA436" s="2"/>
      <c r="AB436" s="2"/>
      <c r="AC436" s="2"/>
      <c r="AD436" s="2"/>
      <c r="AE436" s="2"/>
    </row>
    <row r="437" spans="1:31" ht="51">
      <c r="A437" s="2" t="s">
        <v>1923</v>
      </c>
      <c r="B437" s="2" t="s">
        <v>1924</v>
      </c>
      <c r="C437" s="2" t="str">
        <f>sheet13[[#This Row],[Nombre]]&amp;sheet13[[#This Row],[Bp Id]]</f>
        <v>ZDLRAITM0067</v>
      </c>
      <c r="D437" s="2" t="str">
        <f>VLOOKUP(sheet13[[#This Row],[Columna1]],Sheet2!C:S,4,FALSE)</f>
        <v>Operativo</v>
      </c>
      <c r="E437" s="2"/>
      <c r="F437" s="2" t="s">
        <v>32</v>
      </c>
      <c r="G437" s="2" t="s">
        <v>76</v>
      </c>
      <c r="H437" s="2" t="s">
        <v>34</v>
      </c>
      <c r="I437" s="2" t="s">
        <v>68</v>
      </c>
      <c r="J437" s="2" t="s">
        <v>236</v>
      </c>
      <c r="K437" s="2" t="s">
        <v>70</v>
      </c>
      <c r="L437" s="2" t="s">
        <v>586</v>
      </c>
      <c r="M437" s="2" t="s">
        <v>52</v>
      </c>
      <c r="N437" s="2" t="s">
        <v>2343</v>
      </c>
      <c r="O437" s="2" t="s">
        <v>40</v>
      </c>
      <c r="P437" s="2"/>
      <c r="Q437" s="2"/>
      <c r="R437" s="2"/>
      <c r="S437" s="2" t="s">
        <v>41</v>
      </c>
      <c r="T437" s="2" t="s">
        <v>2344</v>
      </c>
      <c r="U437" s="2" t="s">
        <v>43</v>
      </c>
      <c r="V437" s="2"/>
      <c r="W437" s="3"/>
      <c r="X437" s="2"/>
      <c r="Y437" s="2"/>
      <c r="Z437" s="2"/>
      <c r="AA437" s="2"/>
      <c r="AB437" s="2"/>
      <c r="AC437" s="2"/>
      <c r="AD437" s="2"/>
      <c r="AE437" s="2"/>
    </row>
    <row r="438" spans="1:31" ht="63.6">
      <c r="A438" s="2" t="s">
        <v>1925</v>
      </c>
      <c r="B438" s="2" t="s">
        <v>1926</v>
      </c>
      <c r="C438" s="2" t="str">
        <f>sheet13[[#This Row],[Nombre]]&amp;sheet13[[#This Row],[Bp Id]]</f>
        <v>BMC HelixITM0139</v>
      </c>
      <c r="D438" s="2" t="str">
        <f>VLOOKUP(sheet13[[#This Row],[Columna1]],Sheet2!C:S,4,FALSE)</f>
        <v>Operativo</v>
      </c>
      <c r="E438" s="2"/>
      <c r="F438" s="2" t="s">
        <v>32</v>
      </c>
      <c r="G438" s="2" t="s">
        <v>48</v>
      </c>
      <c r="H438" s="2" t="s">
        <v>34</v>
      </c>
      <c r="I438" s="2" t="s">
        <v>670</v>
      </c>
      <c r="J438" s="2" t="s">
        <v>450</v>
      </c>
      <c r="K438" s="2" t="s">
        <v>672</v>
      </c>
      <c r="L438" s="2" t="s">
        <v>1435</v>
      </c>
      <c r="M438" s="2" t="s">
        <v>111</v>
      </c>
      <c r="N438" s="2" t="s">
        <v>2343</v>
      </c>
      <c r="O438" s="2" t="s">
        <v>40</v>
      </c>
      <c r="P438" s="2"/>
      <c r="Q438" s="2"/>
      <c r="R438" s="2"/>
      <c r="S438" s="2" t="s">
        <v>41</v>
      </c>
      <c r="T438" s="2" t="s">
        <v>2344</v>
      </c>
      <c r="U438" s="2" t="s">
        <v>43</v>
      </c>
      <c r="V438" s="2"/>
      <c r="W438" s="3"/>
      <c r="X438" s="2"/>
      <c r="Y438" s="2"/>
      <c r="Z438" s="2"/>
      <c r="AA438" s="2"/>
      <c r="AB438" s="2"/>
      <c r="AC438" s="2"/>
      <c r="AD438" s="2"/>
      <c r="AE438" s="2"/>
    </row>
    <row r="439" spans="1:31" ht="63.6">
      <c r="A439" s="2" t="s">
        <v>1930</v>
      </c>
      <c r="B439" s="2" t="s">
        <v>1931</v>
      </c>
      <c r="C439" s="2" t="str">
        <f>sheet13[[#This Row],[Nombre]]&amp;sheet13[[#This Row],[Bp Id]]</f>
        <v>Stratio RocketDAT0011</v>
      </c>
      <c r="D439" s="2" t="str">
        <f>VLOOKUP(sheet13[[#This Row],[Columna1]],Sheet2!C:S,4,FALSE)</f>
        <v>Retirado</v>
      </c>
      <c r="E439" s="2"/>
      <c r="F439" s="2" t="s">
        <v>47</v>
      </c>
      <c r="G439" s="2" t="s">
        <v>48</v>
      </c>
      <c r="H439" s="2" t="s">
        <v>59</v>
      </c>
      <c r="I439" s="2" t="s">
        <v>328</v>
      </c>
      <c r="J439" s="2" t="s">
        <v>329</v>
      </c>
      <c r="K439" s="2" t="s">
        <v>575</v>
      </c>
      <c r="L439" s="2" t="s">
        <v>575</v>
      </c>
      <c r="M439" s="2"/>
      <c r="N439" s="2" t="s">
        <v>2345</v>
      </c>
      <c r="O439" s="2"/>
      <c r="P439" s="2"/>
      <c r="Q439" s="2"/>
      <c r="R439" s="2"/>
      <c r="S439" s="2"/>
      <c r="T439" s="2"/>
      <c r="U439" s="2"/>
      <c r="V439" s="2"/>
      <c r="W439" s="3"/>
      <c r="X439" s="2"/>
      <c r="Y439" s="2"/>
      <c r="Z439" s="2"/>
      <c r="AA439" s="2"/>
      <c r="AB439" s="2"/>
      <c r="AC439" s="2"/>
      <c r="AD439" s="2"/>
      <c r="AE439" s="2"/>
    </row>
    <row r="440" spans="1:31" ht="63.6">
      <c r="A440" s="2" t="s">
        <v>1932</v>
      </c>
      <c r="B440" s="2" t="s">
        <v>1933</v>
      </c>
      <c r="C440" s="2" t="str">
        <f>sheet13[[#This Row],[Nombre]]&amp;sheet13[[#This Row],[Bp Id]]</f>
        <v>Servicenow ITSMITM0101</v>
      </c>
      <c r="D440" s="2" t="str">
        <f>VLOOKUP(sheet13[[#This Row],[Columna1]],Sheet2!C:S,4,FALSE)</f>
        <v>Operativo</v>
      </c>
      <c r="E440" s="2"/>
      <c r="F440" s="2" t="s">
        <v>32</v>
      </c>
      <c r="G440" s="2" t="s">
        <v>76</v>
      </c>
      <c r="H440" s="2" t="s">
        <v>59</v>
      </c>
      <c r="I440" s="2" t="s">
        <v>232</v>
      </c>
      <c r="J440" s="2" t="s">
        <v>234</v>
      </c>
      <c r="K440" s="2" t="s">
        <v>1256</v>
      </c>
      <c r="L440" s="2" t="s">
        <v>1256</v>
      </c>
      <c r="M440" s="2" t="s">
        <v>111</v>
      </c>
      <c r="N440" s="2" t="s">
        <v>2343</v>
      </c>
      <c r="O440" s="2" t="s">
        <v>40</v>
      </c>
      <c r="P440" s="2"/>
      <c r="Q440" s="2"/>
      <c r="R440" s="2"/>
      <c r="S440" s="2"/>
      <c r="T440" s="2" t="s">
        <v>2344</v>
      </c>
      <c r="U440" s="2" t="s">
        <v>2345</v>
      </c>
      <c r="V440" s="2"/>
      <c r="W440" s="3"/>
      <c r="X440" s="2"/>
      <c r="Y440" s="2"/>
      <c r="Z440" s="2"/>
      <c r="AA440" s="2"/>
      <c r="AB440" s="2"/>
      <c r="AC440" s="2"/>
      <c r="AD440" s="2"/>
      <c r="AE440" s="2"/>
    </row>
    <row r="441" spans="1:31" ht="75.95">
      <c r="A441" s="2" t="s">
        <v>1934</v>
      </c>
      <c r="B441" s="2" t="s">
        <v>1935</v>
      </c>
      <c r="C441" s="2" t="str">
        <f>sheet13[[#This Row],[Nombre]]&amp;sheet13[[#This Row],[Bp Id]]</f>
        <v>Modelo Credito Pequeñas Empresas(MEC)RIS0016</v>
      </c>
      <c r="D441" s="2" t="str">
        <f>VLOOKUP(sheet13[[#This Row],[Columna1]],Sheet2!C:S,4,FALSE)</f>
        <v>Retirado</v>
      </c>
      <c r="E441" s="2"/>
      <c r="F441" s="2" t="s">
        <v>47</v>
      </c>
      <c r="G441" s="2" t="s">
        <v>48</v>
      </c>
      <c r="H441" s="2" t="s">
        <v>34</v>
      </c>
      <c r="I441" s="2" t="s">
        <v>553</v>
      </c>
      <c r="J441" s="2" t="s">
        <v>554</v>
      </c>
      <c r="K441" s="2"/>
      <c r="L441" s="2"/>
      <c r="M441" s="2"/>
      <c r="N441" s="2" t="s">
        <v>2345</v>
      </c>
      <c r="O441" s="2"/>
      <c r="P441" s="2"/>
      <c r="Q441" s="2"/>
      <c r="R441" s="2"/>
      <c r="S441" s="2"/>
      <c r="T441" s="2"/>
      <c r="U441" s="2"/>
      <c r="V441" s="2"/>
      <c r="W441" s="3"/>
      <c r="X441" s="2"/>
      <c r="Y441" s="2"/>
      <c r="Z441" s="2"/>
      <c r="AA441" s="2"/>
      <c r="AB441" s="2"/>
      <c r="AC441" s="2"/>
      <c r="AD441" s="2"/>
      <c r="AE441" s="2"/>
    </row>
    <row r="442" spans="1:31" ht="63.6">
      <c r="A442" s="2" t="s">
        <v>1936</v>
      </c>
      <c r="B442" s="2" t="s">
        <v>1937</v>
      </c>
      <c r="C442" s="2" t="str">
        <f>sheet13[[#This Row],[Nombre]]&amp;sheet13[[#This Row],[Bp Id]]</f>
        <v>DatawarehouseDAT0003</v>
      </c>
      <c r="D442" s="2" t="str">
        <f>VLOOKUP(sheet13[[#This Row],[Columna1]],Sheet2!C:S,4,FALSE)</f>
        <v>Retirado</v>
      </c>
      <c r="E442" s="2"/>
      <c r="F442" s="2" t="s">
        <v>47</v>
      </c>
      <c r="G442" s="2" t="s">
        <v>76</v>
      </c>
      <c r="H442" s="2" t="s">
        <v>34</v>
      </c>
      <c r="I442" s="2" t="s">
        <v>328</v>
      </c>
      <c r="J442" s="2" t="s">
        <v>329</v>
      </c>
      <c r="K442" s="2" t="s">
        <v>575</v>
      </c>
      <c r="L442" s="2" t="s">
        <v>647</v>
      </c>
      <c r="M442" s="2"/>
      <c r="N442" s="2" t="s">
        <v>2345</v>
      </c>
      <c r="O442" s="2"/>
      <c r="P442" s="2"/>
      <c r="Q442" s="2"/>
      <c r="R442" s="2"/>
      <c r="S442" s="2"/>
      <c r="T442" s="2"/>
      <c r="U442" s="2"/>
      <c r="V442" s="2"/>
      <c r="W442" s="3"/>
      <c r="X442" s="2"/>
      <c r="Y442" s="2"/>
      <c r="Z442" s="2"/>
      <c r="AA442" s="2"/>
      <c r="AB442" s="2"/>
      <c r="AC442" s="2"/>
      <c r="AD442" s="2"/>
      <c r="AE442" s="2"/>
    </row>
    <row r="443" spans="1:31" ht="63.6">
      <c r="A443" s="2" t="s">
        <v>1938</v>
      </c>
      <c r="B443" s="2" t="s">
        <v>1939</v>
      </c>
      <c r="C443" s="2" t="str">
        <f>sheet13[[#This Row],[Nombre]]&amp;sheet13[[#This Row],[Bp Id]]</f>
        <v>Nessus ProfessionalSEC0029</v>
      </c>
      <c r="D443" s="2" t="str">
        <f>VLOOKUP(sheet13[[#This Row],[Columna1]],Sheet2!C:S,4,FALSE)</f>
        <v>Retirado</v>
      </c>
      <c r="E443" s="2"/>
      <c r="F443" s="2" t="s">
        <v>47</v>
      </c>
      <c r="G443" s="2" t="s">
        <v>48</v>
      </c>
      <c r="H443" s="2" t="s">
        <v>34</v>
      </c>
      <c r="I443" s="2" t="s">
        <v>2346</v>
      </c>
      <c r="J443" s="2" t="s">
        <v>272</v>
      </c>
      <c r="K443" s="2" t="s">
        <v>176</v>
      </c>
      <c r="L443" s="2" t="s">
        <v>214</v>
      </c>
      <c r="M443" s="2"/>
      <c r="N443" s="2" t="s">
        <v>2345</v>
      </c>
      <c r="O443" s="2"/>
      <c r="P443" s="2"/>
      <c r="Q443" s="2"/>
      <c r="R443" s="2"/>
      <c r="S443" s="2"/>
      <c r="T443" s="2"/>
      <c r="U443" s="2"/>
      <c r="V443" s="2"/>
      <c r="W443" s="3"/>
      <c r="X443" s="2"/>
      <c r="Y443" s="2"/>
      <c r="Z443" s="2"/>
      <c r="AA443" s="2"/>
      <c r="AB443" s="2"/>
      <c r="AC443" s="2"/>
      <c r="AD443" s="2"/>
      <c r="AE443" s="2"/>
    </row>
    <row r="444" spans="1:31" ht="75.95">
      <c r="A444" s="2" t="s">
        <v>1940</v>
      </c>
      <c r="B444" s="2" t="s">
        <v>1941</v>
      </c>
      <c r="C444" s="2" t="str">
        <f>sheet13[[#This Row],[Nombre]]&amp;sheet13[[#This Row],[Bp Id]]</f>
        <v>Servicios Tarjeta de Crédito (OTPs TDD)PAY0014</v>
      </c>
      <c r="D444" s="2" t="str">
        <f>VLOOKUP(sheet13[[#This Row],[Columna1]],Sheet2!C:S,4,FALSE)</f>
        <v>Retirado</v>
      </c>
      <c r="E444" s="2"/>
      <c r="F444" s="2" t="s">
        <v>47</v>
      </c>
      <c r="G444" s="2" t="s">
        <v>48</v>
      </c>
      <c r="H444" s="2" t="s">
        <v>34</v>
      </c>
      <c r="I444" s="2" t="s">
        <v>141</v>
      </c>
      <c r="J444" s="2" t="s">
        <v>142</v>
      </c>
      <c r="K444" s="2" t="s">
        <v>1366</v>
      </c>
      <c r="L444" s="2" t="s">
        <v>565</v>
      </c>
      <c r="M444" s="2"/>
      <c r="N444" s="2" t="s">
        <v>2345</v>
      </c>
      <c r="O444" s="2"/>
      <c r="P444" s="2"/>
      <c r="Q444" s="2"/>
      <c r="R444" s="2"/>
      <c r="S444" s="2"/>
      <c r="T444" s="2"/>
      <c r="U444" s="2"/>
      <c r="V444" s="2"/>
      <c r="W444" s="3"/>
      <c r="X444" s="2"/>
      <c r="Y444" s="2"/>
      <c r="Z444" s="2"/>
      <c r="AA444" s="2"/>
      <c r="AB444" s="2"/>
      <c r="AC444" s="2"/>
      <c r="AD444" s="2"/>
      <c r="AE444" s="2"/>
    </row>
    <row r="445" spans="1:31" ht="63.6">
      <c r="A445" s="2" t="s">
        <v>1942</v>
      </c>
      <c r="B445" s="2" t="s">
        <v>1943</v>
      </c>
      <c r="C445" s="2" t="str">
        <f>sheet13[[#This Row],[Nombre]]&amp;sheet13[[#This Row],[Bp Id]]</f>
        <v>Qlik SenseDAT0008</v>
      </c>
      <c r="D445" s="2" t="str">
        <f>VLOOKUP(sheet13[[#This Row],[Columna1]],Sheet2!C:S,4,FALSE)</f>
        <v>Retirado</v>
      </c>
      <c r="E445" s="2"/>
      <c r="F445" s="2" t="s">
        <v>47</v>
      </c>
      <c r="G445" s="2" t="s">
        <v>48</v>
      </c>
      <c r="H445" s="2" t="s">
        <v>34</v>
      </c>
      <c r="I445" s="2" t="s">
        <v>328</v>
      </c>
      <c r="J445" s="2" t="s">
        <v>329</v>
      </c>
      <c r="K445" s="2"/>
      <c r="L445" s="2" t="s">
        <v>647</v>
      </c>
      <c r="M445" s="2"/>
      <c r="N445" s="2" t="s">
        <v>2345</v>
      </c>
      <c r="O445" s="2"/>
      <c r="P445" s="2"/>
      <c r="Q445" s="2"/>
      <c r="R445" s="2"/>
      <c r="S445" s="2"/>
      <c r="T445" s="2"/>
      <c r="U445" s="2"/>
      <c r="V445" s="2"/>
      <c r="W445" s="3"/>
      <c r="X445" s="2"/>
      <c r="Y445" s="2"/>
      <c r="Z445" s="2"/>
      <c r="AA445" s="2"/>
      <c r="AB445" s="2"/>
      <c r="AC445" s="2"/>
      <c r="AD445" s="2"/>
      <c r="AE445" s="2"/>
    </row>
    <row r="446" spans="1:31" ht="63.6">
      <c r="A446" s="2" t="s">
        <v>1944</v>
      </c>
      <c r="B446" s="2" t="s">
        <v>1945</v>
      </c>
      <c r="C446" s="2" t="str">
        <f>sheet13[[#This Row],[Nombre]]&amp;sheet13[[#This Row],[Bp Id]]</f>
        <v>Switch de Servicios ATMsCHL0027</v>
      </c>
      <c r="D446" s="2" t="str">
        <f>VLOOKUP(sheet13[[#This Row],[Columna1]],Sheet2!C:S,4,FALSE)</f>
        <v>Retirado</v>
      </c>
      <c r="E446" s="2"/>
      <c r="F446" s="2" t="s">
        <v>47</v>
      </c>
      <c r="G446" s="2" t="s">
        <v>48</v>
      </c>
      <c r="H446" s="2" t="s">
        <v>34</v>
      </c>
      <c r="I446" s="2" t="s">
        <v>35</v>
      </c>
      <c r="J446" s="2" t="s">
        <v>349</v>
      </c>
      <c r="K446" s="2" t="s">
        <v>234</v>
      </c>
      <c r="L446" s="2" t="s">
        <v>1326</v>
      </c>
      <c r="M446" s="2"/>
      <c r="N446" s="2" t="s">
        <v>2345</v>
      </c>
      <c r="O446" s="2"/>
      <c r="P446" s="2"/>
      <c r="Q446" s="2"/>
      <c r="R446" s="2"/>
      <c r="S446" s="2"/>
      <c r="T446" s="2"/>
      <c r="U446" s="2"/>
      <c r="V446" s="2"/>
      <c r="W446" s="3"/>
      <c r="X446" s="2"/>
      <c r="Y446" s="2"/>
      <c r="Z446" s="2"/>
      <c r="AA446" s="2"/>
      <c r="AB446" s="2"/>
      <c r="AC446" s="2"/>
      <c r="AD446" s="2"/>
      <c r="AE446" s="2"/>
    </row>
    <row r="447" spans="1:31" ht="75.95">
      <c r="A447" s="2" t="s">
        <v>1948</v>
      </c>
      <c r="B447" s="2" t="s">
        <v>1949</v>
      </c>
      <c r="C447" s="2" t="str">
        <f>sheet13[[#This Row],[Nombre]]&amp;sheet13[[#This Row],[Bp Id]]</f>
        <v>Automatizaciones BDDITM0091</v>
      </c>
      <c r="D447" s="2" t="str">
        <f>VLOOKUP(sheet13[[#This Row],[Columna1]],Sheet2!C:S,4,FALSE)</f>
        <v>Operativo</v>
      </c>
      <c r="E447" s="2"/>
      <c r="F447" s="2" t="s">
        <v>32</v>
      </c>
      <c r="G447" s="2" t="s">
        <v>48</v>
      </c>
      <c r="H447" s="2" t="s">
        <v>34</v>
      </c>
      <c r="I447" s="2" t="s">
        <v>68</v>
      </c>
      <c r="J447" s="2" t="s">
        <v>69</v>
      </c>
      <c r="K447" s="2" t="s">
        <v>70</v>
      </c>
      <c r="L447" s="2" t="s">
        <v>71</v>
      </c>
      <c r="M447" s="2" t="s">
        <v>52</v>
      </c>
      <c r="N447" s="2" t="s">
        <v>2343</v>
      </c>
      <c r="O447" s="2" t="s">
        <v>40</v>
      </c>
      <c r="P447" s="2"/>
      <c r="Q447" s="2"/>
      <c r="R447" s="2"/>
      <c r="S447" s="2"/>
      <c r="T447" s="2" t="s">
        <v>2344</v>
      </c>
      <c r="U447" s="2" t="s">
        <v>2345</v>
      </c>
      <c r="V447" s="2"/>
      <c r="W447" s="3"/>
      <c r="X447" s="2"/>
      <c r="Y447" s="2"/>
      <c r="Z447" s="2"/>
      <c r="AA447" s="2"/>
      <c r="AB447" s="2"/>
      <c r="AC447" s="2"/>
      <c r="AD447" s="2"/>
      <c r="AE447" s="2"/>
    </row>
    <row r="448" spans="1:31" ht="51">
      <c r="A448" s="2" t="s">
        <v>1946</v>
      </c>
      <c r="B448" s="2" t="s">
        <v>1947</v>
      </c>
      <c r="C448" s="2" t="str">
        <f>sheet13[[#This Row],[Nombre]]&amp;sheet13[[#This Row],[Bp Id]]</f>
        <v>Afiliacion_Pichincha_EmpresasPRD0002</v>
      </c>
      <c r="D448" s="2" t="str">
        <f>VLOOKUP(sheet13[[#This Row],[Columna1]],Sheet2!C:S,4,FALSE)</f>
        <v>Retirado</v>
      </c>
      <c r="E448" s="2"/>
      <c r="F448" s="2" t="s">
        <v>47</v>
      </c>
      <c r="G448" s="2" t="s">
        <v>76</v>
      </c>
      <c r="H448" s="2" t="s">
        <v>34</v>
      </c>
      <c r="I448" s="2" t="s">
        <v>553</v>
      </c>
      <c r="J448" s="2" t="s">
        <v>554</v>
      </c>
      <c r="K448" s="2"/>
      <c r="L448" s="2" t="s">
        <v>722</v>
      </c>
      <c r="M448" s="2"/>
      <c r="N448" s="2" t="s">
        <v>2345</v>
      </c>
      <c r="O448" s="2"/>
      <c r="P448" s="2"/>
      <c r="Q448" s="2"/>
      <c r="R448" s="2"/>
      <c r="S448" s="2"/>
      <c r="T448" s="2"/>
      <c r="U448" s="2"/>
      <c r="V448" s="2"/>
      <c r="W448" s="3"/>
      <c r="X448" s="2"/>
      <c r="Y448" s="2"/>
      <c r="Z448" s="2"/>
      <c r="AA448" s="2"/>
      <c r="AB448" s="2"/>
      <c r="AC448" s="2"/>
      <c r="AD448" s="2"/>
      <c r="AE448" s="2"/>
    </row>
    <row r="449" spans="1:31" ht="63.6">
      <c r="A449" s="2" t="s">
        <v>1950</v>
      </c>
      <c r="B449" s="2" t="s">
        <v>1951</v>
      </c>
      <c r="C449" s="2" t="str">
        <f>sheet13[[#This Row],[Nombre]]&amp;sheet13[[#This Row],[Bp Id]]</f>
        <v>TeamsITM0057</v>
      </c>
      <c r="D449" s="2" t="str">
        <f>VLOOKUP(sheet13[[#This Row],[Columna1]],Sheet2!C:S,4,FALSE)</f>
        <v>Retirado</v>
      </c>
      <c r="E449" s="2"/>
      <c r="F449" s="2" t="s">
        <v>47</v>
      </c>
      <c r="G449" s="2" t="s">
        <v>48</v>
      </c>
      <c r="H449" s="2" t="s">
        <v>59</v>
      </c>
      <c r="I449" s="2" t="s">
        <v>68</v>
      </c>
      <c r="J449" s="2" t="s">
        <v>236</v>
      </c>
      <c r="K449" s="2"/>
      <c r="L449" s="2" t="s">
        <v>234</v>
      </c>
      <c r="M449" s="2"/>
      <c r="N449" s="2" t="s">
        <v>2345</v>
      </c>
      <c r="O449" s="2"/>
      <c r="P449" s="2"/>
      <c r="Q449" s="2"/>
      <c r="R449" s="2"/>
      <c r="S449" s="2"/>
      <c r="T449" s="2"/>
      <c r="U449" s="2"/>
      <c r="V449" s="2"/>
      <c r="W449" s="3"/>
      <c r="X449" s="2"/>
      <c r="Y449" s="2"/>
      <c r="Z449" s="2"/>
      <c r="AA449" s="2"/>
      <c r="AB449" s="2"/>
      <c r="AC449" s="2"/>
      <c r="AD449" s="2"/>
      <c r="AE449" s="2"/>
    </row>
    <row r="450" spans="1:31" ht="63.6">
      <c r="A450" s="2" t="s">
        <v>1952</v>
      </c>
      <c r="B450" s="2" t="s">
        <v>1953</v>
      </c>
      <c r="C450" s="2" t="str">
        <f>sheet13[[#This Row],[Nombre]]&amp;sheet13[[#This Row],[Bp Id]]</f>
        <v>VMware Site Recovery ManagerITM0079</v>
      </c>
      <c r="D450" s="2" t="str">
        <f>VLOOKUP(sheet13[[#This Row],[Columna1]],Sheet2!C:S,4,FALSE)</f>
        <v>Operativo</v>
      </c>
      <c r="E450" s="2"/>
      <c r="F450" s="2" t="s">
        <v>32</v>
      </c>
      <c r="G450" s="2" t="s">
        <v>48</v>
      </c>
      <c r="H450" s="2" t="s">
        <v>34</v>
      </c>
      <c r="I450" s="2" t="s">
        <v>68</v>
      </c>
      <c r="J450" s="2" t="s">
        <v>69</v>
      </c>
      <c r="K450" s="2" t="s">
        <v>82</v>
      </c>
      <c r="L450" s="2" t="s">
        <v>1715</v>
      </c>
      <c r="M450" s="2" t="s">
        <v>52</v>
      </c>
      <c r="N450" s="2" t="s">
        <v>2343</v>
      </c>
      <c r="O450" s="2" t="s">
        <v>40</v>
      </c>
      <c r="P450" s="2"/>
      <c r="Q450" s="2"/>
      <c r="R450" s="2"/>
      <c r="S450" s="2"/>
      <c r="T450" s="2" t="s">
        <v>2344</v>
      </c>
      <c r="U450" s="2" t="s">
        <v>2345</v>
      </c>
      <c r="V450" s="2"/>
      <c r="W450" s="3"/>
      <c r="X450" s="2"/>
      <c r="Y450" s="2"/>
      <c r="Z450" s="2"/>
      <c r="AA450" s="2"/>
      <c r="AB450" s="2"/>
      <c r="AC450" s="2"/>
      <c r="AD450" s="2"/>
      <c r="AE450" s="2"/>
    </row>
    <row r="451" spans="1:31" ht="63.6">
      <c r="A451" s="2" t="s">
        <v>1954</v>
      </c>
      <c r="B451" s="2" t="s">
        <v>1955</v>
      </c>
      <c r="C451" s="2" t="str">
        <f>sheet13[[#This Row],[Nombre]]&amp;sheet13[[#This Row],[Bp Id]]</f>
        <v>VMware SkylineITM0081</v>
      </c>
      <c r="D451" s="2" t="str">
        <f>VLOOKUP(sheet13[[#This Row],[Columna1]],Sheet2!C:S,4,FALSE)</f>
        <v>Operativo</v>
      </c>
      <c r="E451" s="2"/>
      <c r="F451" s="2" t="s">
        <v>32</v>
      </c>
      <c r="G451" s="2" t="s">
        <v>48</v>
      </c>
      <c r="H451" s="2" t="s">
        <v>34</v>
      </c>
      <c r="I451" s="2" t="s">
        <v>68</v>
      </c>
      <c r="J451" s="2" t="s">
        <v>69</v>
      </c>
      <c r="K451" s="2" t="s">
        <v>82</v>
      </c>
      <c r="L451" s="2" t="s">
        <v>1715</v>
      </c>
      <c r="M451" s="2" t="s">
        <v>52</v>
      </c>
      <c r="N451" s="2" t="s">
        <v>2343</v>
      </c>
      <c r="O451" s="2" t="s">
        <v>40</v>
      </c>
      <c r="P451" s="2"/>
      <c r="Q451" s="2"/>
      <c r="R451" s="2"/>
      <c r="S451" s="2"/>
      <c r="T451" s="2" t="s">
        <v>2344</v>
      </c>
      <c r="U451" s="2" t="s">
        <v>2345</v>
      </c>
      <c r="V451" s="2"/>
      <c r="W451" s="3"/>
      <c r="X451" s="2"/>
      <c r="Y451" s="2"/>
      <c r="Z451" s="2"/>
      <c r="AA451" s="2"/>
      <c r="AB451" s="2"/>
      <c r="AC451" s="2"/>
      <c r="AD451" s="2"/>
      <c r="AE451" s="2"/>
    </row>
    <row r="452" spans="1:31" ht="51">
      <c r="A452" s="2" t="s">
        <v>1956</v>
      </c>
      <c r="B452" s="2" t="s">
        <v>1957</v>
      </c>
      <c r="C452" s="2" t="str">
        <f>sheet13[[#This Row],[Nombre]]&amp;sheet13[[#This Row],[Bp Id]]</f>
        <v>Contact Center PlusCHL0013</v>
      </c>
      <c r="D452" s="2" t="str">
        <f>VLOOKUP(sheet13[[#This Row],[Columna1]],Sheet2!C:S,4,FALSE)</f>
        <v>Retirado</v>
      </c>
      <c r="E452" s="2"/>
      <c r="F452" s="2" t="s">
        <v>47</v>
      </c>
      <c r="G452" s="2" t="s">
        <v>123</v>
      </c>
      <c r="H452" s="2" t="s">
        <v>34</v>
      </c>
      <c r="I452" s="2" t="s">
        <v>35</v>
      </c>
      <c r="J452" s="2" t="s">
        <v>349</v>
      </c>
      <c r="K452" s="2"/>
      <c r="L452" s="2" t="s">
        <v>517</v>
      </c>
      <c r="M452" s="2"/>
      <c r="N452" s="2" t="s">
        <v>2345</v>
      </c>
      <c r="O452" s="2"/>
      <c r="P452" s="2"/>
      <c r="Q452" s="2"/>
      <c r="R452" s="2"/>
      <c r="S452" s="2"/>
      <c r="T452" s="2"/>
      <c r="U452" s="2"/>
      <c r="V452" s="2"/>
      <c r="W452" s="3"/>
      <c r="X452" s="2"/>
      <c r="Y452" s="2"/>
      <c r="Z452" s="2"/>
      <c r="AA452" s="2"/>
      <c r="AB452" s="2"/>
      <c r="AC452" s="2"/>
      <c r="AD452" s="2"/>
      <c r="AE452" s="2"/>
    </row>
    <row r="453" spans="1:31" ht="63.6">
      <c r="A453" s="2" t="s">
        <v>1958</v>
      </c>
      <c r="B453" s="2" t="s">
        <v>1959</v>
      </c>
      <c r="C453" s="2" t="str">
        <f>sheet13[[#This Row],[Nombre]]&amp;sheet13[[#This Row],[Bp Id]]</f>
        <v>HP Monitoreo Insight ManagerITM0077</v>
      </c>
      <c r="D453" s="2" t="str">
        <f>VLOOKUP(sheet13[[#This Row],[Columna1]],Sheet2!C:S,4,FALSE)</f>
        <v>Retirado</v>
      </c>
      <c r="E453" s="2"/>
      <c r="F453" s="2" t="s">
        <v>47</v>
      </c>
      <c r="G453" s="2" t="s">
        <v>48</v>
      </c>
      <c r="H453" s="2" t="s">
        <v>34</v>
      </c>
      <c r="I453" s="2" t="s">
        <v>68</v>
      </c>
      <c r="J453" s="2" t="s">
        <v>236</v>
      </c>
      <c r="K453" s="2" t="s">
        <v>82</v>
      </c>
      <c r="L453" s="2" t="s">
        <v>335</v>
      </c>
      <c r="M453" s="2"/>
      <c r="N453" s="2" t="s">
        <v>2345</v>
      </c>
      <c r="O453" s="2"/>
      <c r="P453" s="2"/>
      <c r="Q453" s="2"/>
      <c r="R453" s="2"/>
      <c r="S453" s="2"/>
      <c r="T453" s="2"/>
      <c r="U453" s="2"/>
      <c r="V453" s="2"/>
      <c r="W453" s="3"/>
      <c r="X453" s="2"/>
      <c r="Y453" s="2"/>
      <c r="Z453" s="2"/>
      <c r="AA453" s="2"/>
      <c r="AB453" s="2"/>
      <c r="AC453" s="2"/>
      <c r="AD453" s="2"/>
      <c r="AE453" s="2"/>
    </row>
    <row r="454" spans="1:31" ht="51">
      <c r="A454" s="2" t="s">
        <v>1960</v>
      </c>
      <c r="B454" s="2" t="s">
        <v>1961</v>
      </c>
      <c r="C454" s="2" t="str">
        <f>sheet13[[#This Row],[Nombre]]&amp;sheet13[[#This Row],[Bp Id]]</f>
        <v>AcunetixSEC0001</v>
      </c>
      <c r="D454" s="2" t="str">
        <f>VLOOKUP(sheet13[[#This Row],[Columna1]],Sheet2!C:S,4,FALSE)</f>
        <v>Retirado</v>
      </c>
      <c r="E454" s="2"/>
      <c r="F454" s="2" t="s">
        <v>47</v>
      </c>
      <c r="G454" s="2" t="s">
        <v>48</v>
      </c>
      <c r="H454" s="2" t="s">
        <v>34</v>
      </c>
      <c r="I454" s="2" t="s">
        <v>2346</v>
      </c>
      <c r="J454" s="2" t="s">
        <v>176</v>
      </c>
      <c r="K454" s="2"/>
      <c r="L454" s="2" t="s">
        <v>1637</v>
      </c>
      <c r="M454" s="2"/>
      <c r="N454" s="2" t="s">
        <v>2345</v>
      </c>
      <c r="O454" s="2"/>
      <c r="P454" s="2"/>
      <c r="Q454" s="2"/>
      <c r="R454" s="2"/>
      <c r="S454" s="2"/>
      <c r="T454" s="2"/>
      <c r="U454" s="2"/>
      <c r="V454" s="2"/>
      <c r="W454" s="3"/>
      <c r="X454" s="2"/>
      <c r="Y454" s="2"/>
      <c r="Z454" s="2"/>
      <c r="AA454" s="2"/>
      <c r="AB454" s="2"/>
      <c r="AC454" s="2"/>
      <c r="AD454" s="2"/>
      <c r="AE454" s="2"/>
    </row>
    <row r="455" spans="1:31" ht="63.6">
      <c r="A455" s="2" t="s">
        <v>1962</v>
      </c>
      <c r="B455" s="2" t="s">
        <v>1963</v>
      </c>
      <c r="C455" s="2" t="str">
        <f>sheet13[[#This Row],[Nombre]]&amp;sheet13[[#This Row],[Bp Id]]</f>
        <v>AUTODESKITM0002</v>
      </c>
      <c r="D455" s="2" t="str">
        <f>VLOOKUP(sheet13[[#This Row],[Columna1]],Sheet2!C:S,4,FALSE)</f>
        <v>Retirado</v>
      </c>
      <c r="E455" s="2"/>
      <c r="F455" s="2" t="s">
        <v>47</v>
      </c>
      <c r="G455" s="2" t="s">
        <v>48</v>
      </c>
      <c r="H455" s="2" t="s">
        <v>34</v>
      </c>
      <c r="I455" s="2" t="s">
        <v>68</v>
      </c>
      <c r="J455" s="2" t="s">
        <v>236</v>
      </c>
      <c r="K455" s="2"/>
      <c r="L455" s="2" t="s">
        <v>234</v>
      </c>
      <c r="M455" s="2"/>
      <c r="N455" s="2" t="s">
        <v>2345</v>
      </c>
      <c r="O455" s="2"/>
      <c r="P455" s="2"/>
      <c r="Q455" s="2"/>
      <c r="R455" s="2"/>
      <c r="S455" s="2"/>
      <c r="T455" s="2"/>
      <c r="U455" s="2"/>
      <c r="V455" s="2"/>
      <c r="W455" s="3"/>
      <c r="X455" s="2"/>
      <c r="Y455" s="2"/>
      <c r="Z455" s="2"/>
      <c r="AA455" s="2"/>
      <c r="AB455" s="2"/>
      <c r="AC455" s="2"/>
      <c r="AD455" s="2"/>
      <c r="AE455" s="2"/>
    </row>
    <row r="456" spans="1:31" ht="51">
      <c r="A456" s="2" t="s">
        <v>1964</v>
      </c>
      <c r="B456" s="2" t="s">
        <v>1965</v>
      </c>
      <c r="C456" s="2" t="str">
        <f>sheet13[[#This Row],[Nombre]]&amp;sheet13[[#This Row],[Bp Id]]</f>
        <v>Futuro SeguroSUP0019</v>
      </c>
      <c r="D456" s="2" t="str">
        <f>VLOOKUP(sheet13[[#This Row],[Columna1]],Sheet2!C:S,4,FALSE)</f>
        <v>Retirado</v>
      </c>
      <c r="E456" s="2"/>
      <c r="F456" s="2" t="s">
        <v>47</v>
      </c>
      <c r="G456" s="2" t="s">
        <v>48</v>
      </c>
      <c r="H456" s="2" t="s">
        <v>34</v>
      </c>
      <c r="I456" s="2" t="s">
        <v>225</v>
      </c>
      <c r="J456" s="2" t="s">
        <v>226</v>
      </c>
      <c r="K456" s="2"/>
      <c r="L456" s="2" t="s">
        <v>169</v>
      </c>
      <c r="M456" s="2"/>
      <c r="N456" s="2" t="s">
        <v>2345</v>
      </c>
      <c r="O456" s="2"/>
      <c r="P456" s="2"/>
      <c r="Q456" s="2"/>
      <c r="R456" s="2"/>
      <c r="S456" s="2"/>
      <c r="T456" s="2"/>
      <c r="U456" s="2"/>
      <c r="V456" s="2"/>
      <c r="W456" s="3"/>
      <c r="X456" s="2"/>
      <c r="Y456" s="2"/>
      <c r="Z456" s="2"/>
      <c r="AA456" s="2"/>
      <c r="AB456" s="2"/>
      <c r="AC456" s="2"/>
      <c r="AD456" s="2"/>
      <c r="AE456" s="2"/>
    </row>
    <row r="457" spans="1:31" ht="51">
      <c r="A457" s="2" t="s">
        <v>1966</v>
      </c>
      <c r="B457" s="2" t="s">
        <v>1967</v>
      </c>
      <c r="C457" s="2" t="str">
        <f>sheet13[[#This Row],[Nombre]]&amp;sheet13[[#This Row],[Bp Id]]</f>
        <v>Visa Direct PortalITM0140</v>
      </c>
      <c r="D457" s="2" t="str">
        <f>VLOOKUP(sheet13[[#This Row],[Columna1]],Sheet2!C:S,4,FALSE)</f>
        <v>Operativo</v>
      </c>
      <c r="E457" s="2"/>
      <c r="F457" s="2" t="s">
        <v>32</v>
      </c>
      <c r="G457" s="2" t="s">
        <v>48</v>
      </c>
      <c r="H457" s="2" t="s">
        <v>59</v>
      </c>
      <c r="I457" s="2" t="s">
        <v>141</v>
      </c>
      <c r="J457" s="2" t="s">
        <v>151</v>
      </c>
      <c r="K457" s="2" t="s">
        <v>1968</v>
      </c>
      <c r="L457" s="2" t="s">
        <v>1347</v>
      </c>
      <c r="M457" s="2" t="s">
        <v>39</v>
      </c>
      <c r="N457" s="2" t="s">
        <v>2343</v>
      </c>
      <c r="O457" s="2" t="s">
        <v>40</v>
      </c>
      <c r="P457" s="2"/>
      <c r="Q457" s="2"/>
      <c r="R457" s="2"/>
      <c r="S457" s="2"/>
      <c r="T457" s="2" t="str">
        <f>VLOOKUP(sheet13[[#This Row],[Nombre]],[1]Hoja1!A:B,2,FALSE)</f>
        <v>FASE 2</v>
      </c>
      <c r="U457" s="2" t="s">
        <v>2345</v>
      </c>
      <c r="V457" s="2"/>
      <c r="W457" s="3"/>
      <c r="X457" s="2"/>
      <c r="Y457" s="2"/>
      <c r="Z457" s="2"/>
      <c r="AA457" s="2"/>
      <c r="AB457" s="2"/>
      <c r="AC457" s="2"/>
      <c r="AD457" s="2"/>
      <c r="AE457" s="2"/>
    </row>
    <row r="458" spans="1:31" ht="63.6">
      <c r="A458" s="2" t="s">
        <v>1969</v>
      </c>
      <c r="B458" s="2" t="s">
        <v>1970</v>
      </c>
      <c r="C458" s="2" t="str">
        <f>sheet13[[#This Row],[Nombre]]&amp;sheet13[[#This Row],[Bp Id]]</f>
        <v>IPAM AWSITM0128</v>
      </c>
      <c r="D458" s="2" t="str">
        <f>VLOOKUP(sheet13[[#This Row],[Columna1]],Sheet2!C:S,4,FALSE)</f>
        <v>Operativo</v>
      </c>
      <c r="E458" s="2"/>
      <c r="F458" s="2" t="s">
        <v>32</v>
      </c>
      <c r="G458" s="2" t="s">
        <v>48</v>
      </c>
      <c r="H458" s="2" t="s">
        <v>59</v>
      </c>
      <c r="I458" s="2" t="s">
        <v>68</v>
      </c>
      <c r="J458" s="2" t="s">
        <v>69</v>
      </c>
      <c r="K458" s="2" t="s">
        <v>521</v>
      </c>
      <c r="L458" s="2" t="s">
        <v>1971</v>
      </c>
      <c r="M458" s="2" t="s">
        <v>111</v>
      </c>
      <c r="N458" s="2" t="s">
        <v>2343</v>
      </c>
      <c r="O458" s="2" t="s">
        <v>40</v>
      </c>
      <c r="P458" s="2"/>
      <c r="Q458" s="2"/>
      <c r="R458" s="2"/>
      <c r="S458" s="2"/>
      <c r="T458" s="2" t="s">
        <v>2344</v>
      </c>
      <c r="U458" s="2" t="s">
        <v>2345</v>
      </c>
      <c r="V458" s="2"/>
      <c r="W458" s="3"/>
      <c r="X458" s="2"/>
      <c r="Y458" s="2"/>
      <c r="Z458" s="2"/>
      <c r="AA458" s="2"/>
      <c r="AB458" s="2"/>
      <c r="AC458" s="2"/>
      <c r="AD458" s="2"/>
      <c r="AE458" s="2"/>
    </row>
    <row r="459" spans="1:31" ht="63.6">
      <c r="A459" s="2" t="s">
        <v>1975</v>
      </c>
      <c r="B459" s="2" t="s">
        <v>1976</v>
      </c>
      <c r="C459" s="2" t="str">
        <f>sheet13[[#This Row],[Nombre]]&amp;sheet13[[#This Row],[Bp Id]]</f>
        <v>SlackITM0052</v>
      </c>
      <c r="D459" s="2" t="str">
        <f>VLOOKUP(sheet13[[#This Row],[Columna1]],Sheet2!C:S,4,FALSE)</f>
        <v>Retirado</v>
      </c>
      <c r="E459" s="2"/>
      <c r="F459" s="2" t="s">
        <v>47</v>
      </c>
      <c r="G459" s="2" t="s">
        <v>48</v>
      </c>
      <c r="H459" s="2" t="s">
        <v>59</v>
      </c>
      <c r="I459" s="2" t="s">
        <v>68</v>
      </c>
      <c r="J459" s="2" t="s">
        <v>236</v>
      </c>
      <c r="K459" s="2"/>
      <c r="L459" s="2" t="s">
        <v>234</v>
      </c>
      <c r="M459" s="2"/>
      <c r="N459" s="2" t="s">
        <v>2345</v>
      </c>
      <c r="O459" s="2"/>
      <c r="P459" s="2"/>
      <c r="Q459" s="2"/>
      <c r="R459" s="2"/>
      <c r="S459" s="2"/>
      <c r="T459" s="2"/>
      <c r="U459" s="2"/>
      <c r="V459" s="2"/>
      <c r="W459" s="3"/>
      <c r="X459" s="2"/>
      <c r="Y459" s="2"/>
      <c r="Z459" s="2"/>
      <c r="AA459" s="2"/>
      <c r="AB459" s="2"/>
      <c r="AC459" s="2"/>
      <c r="AD459" s="2"/>
      <c r="AE459" s="2"/>
    </row>
    <row r="460" spans="1:31" ht="63.6">
      <c r="A460" s="2" t="s">
        <v>1977</v>
      </c>
      <c r="B460" s="2" t="s">
        <v>1978</v>
      </c>
      <c r="C460" s="2" t="str">
        <f>sheet13[[#This Row],[Nombre]]&amp;sheet13[[#This Row],[Bp Id]]</f>
        <v>Banred Switch BASE 24 CLASICOCHL0005</v>
      </c>
      <c r="D460" s="2" t="str">
        <f>VLOOKUP(sheet13[[#This Row],[Columna1]],Sheet2!C:S,4,FALSE)</f>
        <v>Retirado</v>
      </c>
      <c r="E460" s="2"/>
      <c r="F460" s="2" t="s">
        <v>47</v>
      </c>
      <c r="G460" s="2" t="s">
        <v>123</v>
      </c>
      <c r="H460" s="2" t="s">
        <v>140</v>
      </c>
      <c r="I460" s="2" t="s">
        <v>35</v>
      </c>
      <c r="J460" s="2" t="s">
        <v>349</v>
      </c>
      <c r="K460" s="2"/>
      <c r="L460" s="2" t="s">
        <v>350</v>
      </c>
      <c r="M460" s="2"/>
      <c r="N460" s="2" t="s">
        <v>2345</v>
      </c>
      <c r="O460" s="2"/>
      <c r="P460" s="2"/>
      <c r="Q460" s="2"/>
      <c r="R460" s="2"/>
      <c r="S460" s="2"/>
      <c r="T460" s="2"/>
      <c r="U460" s="2"/>
      <c r="V460" s="2"/>
      <c r="W460" s="3"/>
      <c r="X460" s="2"/>
      <c r="Y460" s="2"/>
      <c r="Z460" s="2"/>
      <c r="AA460" s="2"/>
      <c r="AB460" s="2"/>
      <c r="AC460" s="2"/>
      <c r="AD460" s="2"/>
      <c r="AE460" s="2"/>
    </row>
    <row r="461" spans="1:31" ht="51">
      <c r="A461" s="2" t="s">
        <v>1972</v>
      </c>
      <c r="B461" s="2" t="s">
        <v>1973</v>
      </c>
      <c r="C461" s="2" t="str">
        <f>sheet13[[#This Row],[Nombre]]&amp;sheet13[[#This Row],[Bp Id]]</f>
        <v>CIS CAT ProITM0119</v>
      </c>
      <c r="D461" s="2" t="str">
        <f>VLOOKUP(sheet13[[#This Row],[Columna1]],Sheet2!C:S,4,FALSE)</f>
        <v>Operativo</v>
      </c>
      <c r="E461" s="2"/>
      <c r="F461" s="2" t="s">
        <v>32</v>
      </c>
      <c r="G461" s="2" t="s">
        <v>48</v>
      </c>
      <c r="H461" s="2" t="s">
        <v>34</v>
      </c>
      <c r="I461" s="2" t="s">
        <v>2346</v>
      </c>
      <c r="J461" s="2" t="s">
        <v>1737</v>
      </c>
      <c r="K461" s="2" t="s">
        <v>1974</v>
      </c>
      <c r="L461" s="2" t="s">
        <v>1737</v>
      </c>
      <c r="M461" s="2"/>
      <c r="N461" s="2" t="s">
        <v>2343</v>
      </c>
      <c r="O461" s="2" t="s">
        <v>40</v>
      </c>
      <c r="P461" s="2"/>
      <c r="Q461" s="2"/>
      <c r="R461" s="2"/>
      <c r="S461" s="2"/>
      <c r="T461" s="2" t="s">
        <v>2344</v>
      </c>
      <c r="U461" s="2" t="s">
        <v>2345</v>
      </c>
      <c r="V461" s="2"/>
      <c r="W461" s="3"/>
      <c r="X461" s="2"/>
      <c r="Y461" s="2"/>
      <c r="Z461" s="2"/>
      <c r="AA461" s="2"/>
      <c r="AB461" s="2"/>
      <c r="AC461" s="2"/>
      <c r="AD461" s="2"/>
      <c r="AE461" s="2"/>
    </row>
    <row r="462" spans="1:31" ht="63.6">
      <c r="A462" s="2" t="s">
        <v>1979</v>
      </c>
      <c r="B462" s="2" t="s">
        <v>1980</v>
      </c>
      <c r="C462" s="2" t="str">
        <f>sheet13[[#This Row],[Nombre]]&amp;sheet13[[#This Row],[Bp Id]]</f>
        <v>Notificador TransversalTIE0023</v>
      </c>
      <c r="D462" s="2" t="str">
        <f>VLOOKUP(sheet13[[#This Row],[Columna1]],Sheet2!C:S,4,FALSE)</f>
        <v>Operativo</v>
      </c>
      <c r="E462" s="2"/>
      <c r="F462" s="2" t="s">
        <v>32</v>
      </c>
      <c r="G462" s="2" t="s">
        <v>58</v>
      </c>
      <c r="H462" s="2" t="s">
        <v>59</v>
      </c>
      <c r="I462" s="2" t="s">
        <v>49</v>
      </c>
      <c r="J462" s="2" t="s">
        <v>340</v>
      </c>
      <c r="K462" s="2" t="s">
        <v>340</v>
      </c>
      <c r="L462" s="2" t="s">
        <v>1981</v>
      </c>
      <c r="M462" s="2" t="s">
        <v>39</v>
      </c>
      <c r="N462" s="2" t="s">
        <v>2343</v>
      </c>
      <c r="O462" s="2" t="s">
        <v>40</v>
      </c>
      <c r="P462" s="2"/>
      <c r="Q462" s="2"/>
      <c r="R462" s="2"/>
      <c r="S462" s="2"/>
      <c r="T462" s="2" t="s">
        <v>2344</v>
      </c>
      <c r="U462" s="2" t="s">
        <v>2345</v>
      </c>
      <c r="V462" s="2"/>
      <c r="W462" s="3"/>
      <c r="X462" s="2"/>
      <c r="Y462" s="2"/>
      <c r="Z462" s="2"/>
      <c r="AA462" s="2"/>
      <c r="AB462" s="2"/>
      <c r="AC462" s="2"/>
      <c r="AD462" s="2"/>
      <c r="AE462" s="2"/>
    </row>
    <row r="463" spans="1:31" ht="51">
      <c r="A463" s="2" t="s">
        <v>1982</v>
      </c>
      <c r="B463" s="2" t="s">
        <v>1983</v>
      </c>
      <c r="C463" s="2" t="str">
        <f>sheet13[[#This Row],[Nombre]]&amp;sheet13[[#This Row],[Bp Id]]</f>
        <v>IVR GVPCHL0018</v>
      </c>
      <c r="D463" s="2" t="str">
        <f>VLOOKUP(sheet13[[#This Row],[Columna1]],Sheet2!C:S,4,FALSE)</f>
        <v>Retirado</v>
      </c>
      <c r="E463" s="2"/>
      <c r="F463" s="2" t="s">
        <v>47</v>
      </c>
      <c r="G463" s="2" t="s">
        <v>33</v>
      </c>
      <c r="H463" s="2" t="s">
        <v>34</v>
      </c>
      <c r="I463" s="2" t="s">
        <v>35</v>
      </c>
      <c r="J463" s="2" t="s">
        <v>349</v>
      </c>
      <c r="K463" s="2"/>
      <c r="L463" s="2" t="s">
        <v>517</v>
      </c>
      <c r="M463" s="2"/>
      <c r="N463" s="2" t="s">
        <v>2345</v>
      </c>
      <c r="O463" s="2"/>
      <c r="P463" s="2"/>
      <c r="Q463" s="2"/>
      <c r="R463" s="2"/>
      <c r="S463" s="2"/>
      <c r="T463" s="2"/>
      <c r="U463" s="2"/>
      <c r="V463" s="2"/>
      <c r="W463" s="3"/>
      <c r="X463" s="2"/>
      <c r="Y463" s="2"/>
      <c r="Z463" s="2"/>
      <c r="AA463" s="2"/>
      <c r="AB463" s="2"/>
      <c r="AC463" s="2"/>
      <c r="AD463" s="2"/>
      <c r="AE463" s="2"/>
    </row>
    <row r="464" spans="1:31" ht="51">
      <c r="A464" s="2" t="s">
        <v>1984</v>
      </c>
      <c r="B464" s="2" t="s">
        <v>1985</v>
      </c>
      <c r="C464" s="2" t="str">
        <f>sheet13[[#This Row],[Nombre]]&amp;sheet13[[#This Row],[Bp Id]]</f>
        <v>KasperskySEC0027</v>
      </c>
      <c r="D464" s="2" t="str">
        <f>VLOOKUP(sheet13[[#This Row],[Columna1]],Sheet2!C:S,4,FALSE)</f>
        <v>Retirado</v>
      </c>
      <c r="E464" s="2"/>
      <c r="F464" s="2" t="s">
        <v>47</v>
      </c>
      <c r="G464" s="2" t="s">
        <v>48</v>
      </c>
      <c r="H464" s="2" t="s">
        <v>34</v>
      </c>
      <c r="I464" s="2" t="s">
        <v>2346</v>
      </c>
      <c r="J464" s="2" t="s">
        <v>176</v>
      </c>
      <c r="K464" s="2"/>
      <c r="L464" s="2" t="s">
        <v>1637</v>
      </c>
      <c r="M464" s="2"/>
      <c r="N464" s="2" t="s">
        <v>2345</v>
      </c>
      <c r="O464" s="2"/>
      <c r="P464" s="2"/>
      <c r="Q464" s="2"/>
      <c r="R464" s="2"/>
      <c r="S464" s="2"/>
      <c r="T464" s="2"/>
      <c r="U464" s="2"/>
      <c r="V464" s="2"/>
      <c r="W464" s="3"/>
      <c r="X464" s="2"/>
      <c r="Y464" s="2"/>
      <c r="Z464" s="2"/>
      <c r="AA464" s="2"/>
      <c r="AB464" s="2"/>
      <c r="AC464" s="2"/>
      <c r="AD464" s="2"/>
      <c r="AE464" s="2"/>
    </row>
    <row r="465" spans="1:31" ht="51">
      <c r="A465" s="2" t="s">
        <v>1986</v>
      </c>
      <c r="B465" s="2" t="s">
        <v>1987</v>
      </c>
      <c r="C465" s="2" t="str">
        <f>sheet13[[#This Row],[Nombre]]&amp;sheet13[[#This Row],[Bp Id]]</f>
        <v>Swift InquiryPRD0042</v>
      </c>
      <c r="D465" s="2" t="str">
        <f>VLOOKUP(sheet13[[#This Row],[Columna1]],Sheet2!C:S,4,FALSE)</f>
        <v>Retirado</v>
      </c>
      <c r="E465" s="2"/>
      <c r="F465" s="2" t="s">
        <v>47</v>
      </c>
      <c r="G465" s="2" t="s">
        <v>123</v>
      </c>
      <c r="H465" s="2" t="s">
        <v>34</v>
      </c>
      <c r="I465" s="2" t="s">
        <v>921</v>
      </c>
      <c r="J465" s="2" t="s">
        <v>240</v>
      </c>
      <c r="K465" s="2"/>
      <c r="L465" s="2"/>
      <c r="M465" s="2"/>
      <c r="N465" s="2" t="s">
        <v>2345</v>
      </c>
      <c r="O465" s="2"/>
      <c r="P465" s="2"/>
      <c r="Q465" s="2"/>
      <c r="R465" s="2"/>
      <c r="S465" s="2"/>
      <c r="T465" s="2"/>
      <c r="U465" s="2"/>
      <c r="V465" s="2"/>
      <c r="W465" s="3"/>
      <c r="X465" s="2"/>
      <c r="Y465" s="2"/>
      <c r="Z465" s="2"/>
      <c r="AA465" s="2"/>
      <c r="AB465" s="2"/>
      <c r="AC465" s="2"/>
      <c r="AD465" s="2"/>
      <c r="AE465" s="2"/>
    </row>
    <row r="466" spans="1:31" ht="63.6">
      <c r="A466" s="2" t="s">
        <v>1988</v>
      </c>
      <c r="B466" s="2" t="s">
        <v>1989</v>
      </c>
      <c r="C466" s="2" t="str">
        <f>sheet13[[#This Row],[Nombre]]&amp;sheet13[[#This Row],[Bp Id]]</f>
        <v>Componentes de NetworkingITM0094</v>
      </c>
      <c r="D466" s="2" t="str">
        <f>VLOOKUP(sheet13[[#This Row],[Columna1]],Sheet2!C:S,4,FALSE)</f>
        <v>Operativo</v>
      </c>
      <c r="E466" s="2"/>
      <c r="F466" s="2" t="s">
        <v>32</v>
      </c>
      <c r="G466" s="2" t="s">
        <v>48</v>
      </c>
      <c r="H466" s="2" t="s">
        <v>34</v>
      </c>
      <c r="I466" s="2" t="s">
        <v>68</v>
      </c>
      <c r="J466" s="2" t="s">
        <v>69</v>
      </c>
      <c r="K466" s="2" t="s">
        <v>516</v>
      </c>
      <c r="L466" s="2" t="s">
        <v>1990</v>
      </c>
      <c r="M466" s="2" t="s">
        <v>52</v>
      </c>
      <c r="N466" s="2" t="s">
        <v>2343</v>
      </c>
      <c r="O466" s="2" t="s">
        <v>40</v>
      </c>
      <c r="P466" s="2"/>
      <c r="Q466" s="2"/>
      <c r="R466" s="2"/>
      <c r="S466" s="2"/>
      <c r="T466" s="2" t="s">
        <v>2344</v>
      </c>
      <c r="U466" s="2" t="s">
        <v>2345</v>
      </c>
      <c r="V466" s="2"/>
      <c r="W466" s="3"/>
      <c r="X466" s="2"/>
      <c r="Y466" s="2"/>
      <c r="Z466" s="2"/>
      <c r="AA466" s="2"/>
      <c r="AB466" s="2"/>
      <c r="AC466" s="2"/>
      <c r="AD466" s="2"/>
      <c r="AE466" s="2"/>
    </row>
    <row r="467" spans="1:31" ht="63.6">
      <c r="A467" s="2" t="s">
        <v>475</v>
      </c>
      <c r="B467" s="2" t="s">
        <v>1991</v>
      </c>
      <c r="C467" s="2" t="str">
        <f>sheet13[[#This Row],[Nombre]]&amp;sheet13[[#This Row],[Bp Id]]</f>
        <v>Microsoft AzureITM0138</v>
      </c>
      <c r="D467" s="2" t="str">
        <f>VLOOKUP(sheet13[[#This Row],[Columna1]],Sheet2!C:S,4,FALSE)</f>
        <v>Operativo</v>
      </c>
      <c r="E467" s="2"/>
      <c r="F467" s="2" t="s">
        <v>32</v>
      </c>
      <c r="G467" s="2" t="s">
        <v>123</v>
      </c>
      <c r="H467" s="2" t="s">
        <v>59</v>
      </c>
      <c r="I467" s="2" t="s">
        <v>68</v>
      </c>
      <c r="J467" s="2" t="s">
        <v>69</v>
      </c>
      <c r="K467" s="2" t="s">
        <v>521</v>
      </c>
      <c r="L467" s="2" t="s">
        <v>1971</v>
      </c>
      <c r="M467" s="2" t="s">
        <v>52</v>
      </c>
      <c r="N467" s="2" t="s">
        <v>2343</v>
      </c>
      <c r="O467" s="2" t="s">
        <v>40</v>
      </c>
      <c r="P467" s="2"/>
      <c r="Q467" s="2"/>
      <c r="R467" s="2"/>
      <c r="S467" s="2"/>
      <c r="T467" s="2" t="s">
        <v>2344</v>
      </c>
      <c r="U467" s="2" t="s">
        <v>2345</v>
      </c>
      <c r="V467" s="2"/>
      <c r="W467" s="3"/>
      <c r="X467" s="2"/>
      <c r="Y467" s="2"/>
      <c r="Z467" s="2"/>
      <c r="AA467" s="2"/>
      <c r="AB467" s="2"/>
      <c r="AC467" s="2"/>
      <c r="AD467" s="2"/>
      <c r="AE467" s="2"/>
    </row>
    <row r="468" spans="1:31" ht="75.95">
      <c r="A468" s="2" t="s">
        <v>1992</v>
      </c>
      <c r="B468" s="2" t="s">
        <v>1993</v>
      </c>
      <c r="C468" s="2" t="str">
        <f>sheet13[[#This Row],[Nombre]]&amp;sheet13[[#This Row],[Bp Id]]</f>
        <v>Componentes ISTITM0086</v>
      </c>
      <c r="D468" s="2" t="str">
        <f>VLOOKUP(sheet13[[#This Row],[Columna1]],Sheet2!C:S,4,FALSE)</f>
        <v>Operativo</v>
      </c>
      <c r="E468" s="2"/>
      <c r="F468" s="2" t="s">
        <v>32</v>
      </c>
      <c r="G468" s="2" t="s">
        <v>48</v>
      </c>
      <c r="H468" s="2" t="s">
        <v>34</v>
      </c>
      <c r="I468" s="2" t="s">
        <v>68</v>
      </c>
      <c r="J468" s="2" t="s">
        <v>450</v>
      </c>
      <c r="K468" s="2" t="s">
        <v>869</v>
      </c>
      <c r="L468" s="2" t="s">
        <v>1994</v>
      </c>
      <c r="M468" s="2" t="s">
        <v>52</v>
      </c>
      <c r="N468" s="2" t="s">
        <v>2343</v>
      </c>
      <c r="O468" s="2" t="s">
        <v>40</v>
      </c>
      <c r="P468" s="2"/>
      <c r="Q468" s="2"/>
      <c r="R468" s="2"/>
      <c r="S468" s="2"/>
      <c r="T468" s="2" t="s">
        <v>2344</v>
      </c>
      <c r="U468" s="2" t="s">
        <v>2345</v>
      </c>
      <c r="V468" s="2"/>
      <c r="W468" s="3"/>
      <c r="X468" s="2"/>
      <c r="Y468" s="2"/>
      <c r="Z468" s="2"/>
      <c r="AA468" s="2"/>
      <c r="AB468" s="2"/>
      <c r="AC468" s="2"/>
      <c r="AD468" s="2"/>
      <c r="AE468" s="2"/>
    </row>
    <row r="469" spans="1:31" ht="63.6">
      <c r="A469" s="2" t="s">
        <v>1995</v>
      </c>
      <c r="B469" s="2" t="s">
        <v>1996</v>
      </c>
      <c r="C469" s="2" t="str">
        <f>sheet13[[#This Row],[Nombre]]&amp;sheet13[[#This Row],[Bp Id]]</f>
        <v>Gestión de LitigiosITM0144</v>
      </c>
      <c r="D469" s="2" t="str">
        <f>VLOOKUP(sheet13[[#This Row],[Columna1]],Sheet2!C:S,4,FALSE)</f>
        <v>Operativo</v>
      </c>
      <c r="E469" s="2"/>
      <c r="F469" s="2" t="s">
        <v>32</v>
      </c>
      <c r="G469" s="2" t="s">
        <v>48</v>
      </c>
      <c r="H469" s="2" t="s">
        <v>59</v>
      </c>
      <c r="I469" s="2" t="s">
        <v>225</v>
      </c>
      <c r="J469" s="2" t="s">
        <v>226</v>
      </c>
      <c r="K469" s="2" t="s">
        <v>1997</v>
      </c>
      <c r="L469" s="2" t="s">
        <v>228</v>
      </c>
      <c r="M469" s="2" t="s">
        <v>63</v>
      </c>
      <c r="N469" s="2" t="s">
        <v>2343</v>
      </c>
      <c r="O469" s="2" t="s">
        <v>40</v>
      </c>
      <c r="P469" s="2"/>
      <c r="Q469" s="2"/>
      <c r="R469" s="2"/>
      <c r="S469" s="2"/>
      <c r="T469" s="2" t="s">
        <v>2344</v>
      </c>
      <c r="U469" s="2" t="s">
        <v>2345</v>
      </c>
      <c r="V469" s="2"/>
      <c r="W469" s="3"/>
      <c r="X469" s="2"/>
      <c r="Y469" s="2"/>
      <c r="Z469" s="2"/>
      <c r="AA469" s="2"/>
      <c r="AB469" s="2"/>
      <c r="AC469" s="2"/>
      <c r="AD469" s="2"/>
      <c r="AE469" s="2"/>
    </row>
    <row r="470" spans="1:31" ht="51">
      <c r="A470" s="2" t="s">
        <v>1998</v>
      </c>
      <c r="B470" s="2" t="s">
        <v>1999</v>
      </c>
      <c r="C470" s="2" t="str">
        <f>sheet13[[#This Row],[Nombre]]&amp;sheet13[[#This Row],[Bp Id]]</f>
        <v>Switch InterfilialesPRD0043</v>
      </c>
      <c r="D470" s="2" t="str">
        <f>VLOOKUP(sheet13[[#This Row],[Columna1]],Sheet2!C:S,4,FALSE)</f>
        <v>No operativo</v>
      </c>
      <c r="E470" s="2"/>
      <c r="F470" s="2" t="s">
        <v>1788</v>
      </c>
      <c r="G470" s="2" t="s">
        <v>48</v>
      </c>
      <c r="H470" s="2" t="s">
        <v>34</v>
      </c>
      <c r="I470" s="2" t="s">
        <v>921</v>
      </c>
      <c r="J470" s="2" t="s">
        <v>240</v>
      </c>
      <c r="K470" s="2"/>
      <c r="L470" s="2" t="s">
        <v>634</v>
      </c>
      <c r="M470" s="2"/>
      <c r="N470" s="2" t="s">
        <v>2345</v>
      </c>
      <c r="O470" s="2"/>
      <c r="P470" s="2"/>
      <c r="Q470" s="2"/>
      <c r="R470" s="2"/>
      <c r="S470" s="2"/>
      <c r="T470" s="2"/>
      <c r="U470" s="2"/>
      <c r="V470" s="2"/>
      <c r="W470" s="3"/>
      <c r="X470" s="2"/>
      <c r="Y470" s="2"/>
      <c r="Z470" s="2"/>
      <c r="AA470" s="2"/>
      <c r="AB470" s="2"/>
      <c r="AC470" s="2"/>
      <c r="AD470" s="2"/>
      <c r="AE470" s="2"/>
    </row>
    <row r="471" spans="1:31" ht="63.6">
      <c r="A471" s="2" t="s">
        <v>2000</v>
      </c>
      <c r="B471" s="2" t="s">
        <v>2001</v>
      </c>
      <c r="C471" s="2" t="str">
        <f>sheet13[[#This Row],[Nombre]]&amp;sheet13[[#This Row],[Bp Id]]</f>
        <v>Ducats Data Director (3D)PRD0017</v>
      </c>
      <c r="D471" s="2" t="str">
        <f>VLOOKUP(sheet13[[#This Row],[Columna1]],Sheet2!C:S,4,FALSE)</f>
        <v>Retirado</v>
      </c>
      <c r="E471" s="2"/>
      <c r="F471" s="2" t="s">
        <v>47</v>
      </c>
      <c r="G471" s="2" t="s">
        <v>48</v>
      </c>
      <c r="H471" s="2" t="s">
        <v>34</v>
      </c>
      <c r="I471" s="2" t="s">
        <v>553</v>
      </c>
      <c r="J471" s="2" t="s">
        <v>554</v>
      </c>
      <c r="K471" s="2"/>
      <c r="L471" s="2"/>
      <c r="M471" s="2"/>
      <c r="N471" s="2" t="s">
        <v>2345</v>
      </c>
      <c r="O471" s="2"/>
      <c r="P471" s="2"/>
      <c r="Q471" s="2"/>
      <c r="R471" s="2"/>
      <c r="S471" s="2"/>
      <c r="T471" s="2"/>
      <c r="U471" s="2"/>
      <c r="V471" s="2"/>
      <c r="W471" s="3"/>
      <c r="X471" s="2"/>
      <c r="Y471" s="2"/>
      <c r="Z471" s="2"/>
      <c r="AA471" s="2"/>
      <c r="AB471" s="2"/>
      <c r="AC471" s="2"/>
      <c r="AD471" s="2"/>
      <c r="AE471" s="2"/>
    </row>
    <row r="472" spans="1:31" ht="63.6">
      <c r="A472" s="2" t="s">
        <v>1913</v>
      </c>
      <c r="B472" s="2" t="s">
        <v>1914</v>
      </c>
      <c r="C472" s="2" t="str">
        <f>sheet13[[#This Row],[Nombre]]&amp;sheet13[[#This Row],[Bp Id]]</f>
        <v>OnboardingCUS0021</v>
      </c>
      <c r="D472" s="2" t="str">
        <f>VLOOKUP(sheet13[[#This Row],[Columna1]],Sheet2!C:S,4,FALSE)</f>
        <v>Operativo</v>
      </c>
      <c r="E472" s="2"/>
      <c r="F472" s="2" t="s">
        <v>32</v>
      </c>
      <c r="G472" s="2" t="s">
        <v>76</v>
      </c>
      <c r="H472" s="2" t="s">
        <v>59</v>
      </c>
      <c r="I472" s="2" t="s">
        <v>1854</v>
      </c>
      <c r="J472" s="2" t="s">
        <v>88</v>
      </c>
      <c r="K472" s="2" t="s">
        <v>1855</v>
      </c>
      <c r="L472" s="2" t="s">
        <v>88</v>
      </c>
      <c r="M472" s="2" t="s">
        <v>63</v>
      </c>
      <c r="N472" s="2" t="s">
        <v>2343</v>
      </c>
      <c r="O472" s="2" t="s">
        <v>40</v>
      </c>
      <c r="P472" s="2"/>
      <c r="Q472" s="2"/>
      <c r="R472" s="2"/>
      <c r="S472" s="2"/>
      <c r="T472" s="2" t="s">
        <v>2344</v>
      </c>
      <c r="U472" s="2" t="s">
        <v>2345</v>
      </c>
      <c r="V472" s="2"/>
      <c r="W472" s="3"/>
      <c r="X472" s="2"/>
      <c r="Y472" s="2"/>
      <c r="Z472" s="2"/>
      <c r="AA472" s="2"/>
      <c r="AB472" s="2"/>
      <c r="AC472" s="2"/>
      <c r="AD472" s="2"/>
      <c r="AE472" s="2"/>
    </row>
    <row r="473" spans="1:31" ht="75.95">
      <c r="A473" s="2" t="s">
        <v>1885</v>
      </c>
      <c r="B473" s="2" t="s">
        <v>1886</v>
      </c>
      <c r="C473" s="2" t="str">
        <f>sheet13[[#This Row],[Nombre]]&amp;sheet13[[#This Row],[Bp Id]]</f>
        <v>Componentes de Infraestructura - BDDITM0106</v>
      </c>
      <c r="D473" s="2" t="str">
        <f>VLOOKUP(sheet13[[#This Row],[Columna1]],Sheet2!C:S,4,FALSE)</f>
        <v>Operativo</v>
      </c>
      <c r="E473" s="2"/>
      <c r="F473" s="2" t="s">
        <v>32</v>
      </c>
      <c r="G473" s="2" t="s">
        <v>48</v>
      </c>
      <c r="H473" s="2" t="s">
        <v>34</v>
      </c>
      <c r="I473" s="2" t="s">
        <v>68</v>
      </c>
      <c r="J473" s="2" t="s">
        <v>69</v>
      </c>
      <c r="K473" s="2" t="s">
        <v>70</v>
      </c>
      <c r="L473" s="2" t="s">
        <v>71</v>
      </c>
      <c r="M473" s="2" t="s">
        <v>2368</v>
      </c>
      <c r="N473" s="2" t="s">
        <v>2343</v>
      </c>
      <c r="O473" s="2" t="s">
        <v>40</v>
      </c>
      <c r="P473" s="2"/>
      <c r="Q473" s="2"/>
      <c r="R473" s="2"/>
      <c r="S473" s="2"/>
      <c r="T473" s="2" t="s">
        <v>2344</v>
      </c>
      <c r="U473" s="2" t="s">
        <v>2345</v>
      </c>
      <c r="V473" s="2"/>
      <c r="W473" s="3"/>
      <c r="X473" s="2"/>
      <c r="Y473" s="2"/>
      <c r="Z473" s="2"/>
      <c r="AA473" s="2"/>
      <c r="AB473" s="2"/>
      <c r="AC473" s="2"/>
      <c r="AD473" s="2"/>
      <c r="AE473" s="2"/>
    </row>
    <row r="474" spans="1:31" ht="88.5">
      <c r="A474" s="2" t="s">
        <v>1917</v>
      </c>
      <c r="B474" s="2" t="s">
        <v>1918</v>
      </c>
      <c r="C474" s="2" t="str">
        <f>sheet13[[#This Row],[Nombre]]&amp;sheet13[[#This Row],[Bp Id]]</f>
        <v>MSAL Seguridad de Aplicaciones LegadasITM0145</v>
      </c>
      <c r="D474" s="2" t="str">
        <f>VLOOKUP(sheet13[[#This Row],[Columna1]],Sheet2!C:S,4,FALSE)</f>
        <v>Operativo</v>
      </c>
      <c r="E474" s="2"/>
      <c r="F474" s="2" t="s">
        <v>32</v>
      </c>
      <c r="G474" s="2" t="s">
        <v>48</v>
      </c>
      <c r="H474" s="2" t="s">
        <v>34</v>
      </c>
      <c r="I474" s="2" t="s">
        <v>258</v>
      </c>
      <c r="J474" s="2" t="s">
        <v>438</v>
      </c>
      <c r="K474" s="2" t="s">
        <v>260</v>
      </c>
      <c r="L474" s="2" t="s">
        <v>261</v>
      </c>
      <c r="M474" s="2" t="s">
        <v>111</v>
      </c>
      <c r="N474" s="2" t="s">
        <v>2343</v>
      </c>
      <c r="O474" s="2" t="s">
        <v>40</v>
      </c>
      <c r="P474" s="2"/>
      <c r="Q474" s="2"/>
      <c r="R474" s="2"/>
      <c r="S474" s="2"/>
      <c r="T474" s="2" t="s">
        <v>2344</v>
      </c>
      <c r="U474" s="2" t="s">
        <v>2343</v>
      </c>
      <c r="V474" s="2"/>
      <c r="W474" s="3"/>
      <c r="X474" s="2"/>
      <c r="Y474" s="2"/>
      <c r="Z474" s="2"/>
      <c r="AA474" s="2"/>
      <c r="AB474" s="2"/>
      <c r="AC474" s="2"/>
      <c r="AD474" s="2"/>
      <c r="AE474" s="2"/>
    </row>
    <row r="475" spans="1:31" ht="51">
      <c r="A475" s="2" t="s">
        <v>2002</v>
      </c>
      <c r="B475" s="2" t="s">
        <v>2003</v>
      </c>
      <c r="C475" s="2" t="str">
        <f>sheet13[[#This Row],[Nombre]]&amp;sheet13[[#This Row],[Bp Id]]</f>
        <v>LogicorbaRIS0015</v>
      </c>
      <c r="D475" s="2" t="str">
        <f>VLOOKUP(sheet13[[#This Row],[Columna1]],Sheet2!C:S,4,FALSE)</f>
        <v>Retirado</v>
      </c>
      <c r="E475" s="2"/>
      <c r="F475" s="2" t="s">
        <v>47</v>
      </c>
      <c r="G475" s="2" t="s">
        <v>76</v>
      </c>
      <c r="H475" s="2" t="s">
        <v>34</v>
      </c>
      <c r="I475" s="2" t="s">
        <v>553</v>
      </c>
      <c r="J475" s="2" t="s">
        <v>554</v>
      </c>
      <c r="K475" s="2"/>
      <c r="L475" s="2" t="s">
        <v>110</v>
      </c>
      <c r="M475" s="2"/>
      <c r="N475" s="2" t="s">
        <v>2345</v>
      </c>
      <c r="O475" s="2"/>
      <c r="P475" s="2"/>
      <c r="Q475" s="2"/>
      <c r="R475" s="2"/>
      <c r="S475" s="2"/>
      <c r="T475" s="2"/>
      <c r="U475" s="2"/>
      <c r="V475" s="2"/>
      <c r="W475" s="3"/>
      <c r="X475" s="2"/>
      <c r="Y475" s="2"/>
      <c r="Z475" s="2"/>
      <c r="AA475" s="2"/>
      <c r="AB475" s="2"/>
      <c r="AC475" s="2"/>
      <c r="AD475" s="2"/>
      <c r="AE475" s="2"/>
    </row>
    <row r="476" spans="1:31" ht="75.95">
      <c r="A476" s="2" t="s">
        <v>1887</v>
      </c>
      <c r="B476" s="2" t="s">
        <v>1888</v>
      </c>
      <c r="C476" s="2" t="str">
        <f>sheet13[[#This Row],[Nombre]]&amp;sheet13[[#This Row],[Bp Id]]</f>
        <v>Sistema de Gestión de Video DSSSEC0096</v>
      </c>
      <c r="D476" s="2" t="str">
        <f>VLOOKUP(sheet13[[#This Row],[Columna1]],Sheet2!C:S,4,FALSE)</f>
        <v>Operativo</v>
      </c>
      <c r="E476" s="2"/>
      <c r="F476" s="2" t="s">
        <v>32</v>
      </c>
      <c r="G476" s="2" t="s">
        <v>48</v>
      </c>
      <c r="H476" s="2" t="s">
        <v>34</v>
      </c>
      <c r="I476" s="2" t="s">
        <v>2346</v>
      </c>
      <c r="J476" s="2" t="s">
        <v>1889</v>
      </c>
      <c r="K476" s="2" t="s">
        <v>1890</v>
      </c>
      <c r="L476" s="2" t="s">
        <v>1889</v>
      </c>
      <c r="M476" s="2" t="s">
        <v>111</v>
      </c>
      <c r="N476" s="2" t="s">
        <v>2343</v>
      </c>
      <c r="O476" s="2" t="s">
        <v>40</v>
      </c>
      <c r="P476" s="2"/>
      <c r="Q476" s="2"/>
      <c r="R476" s="2"/>
      <c r="S476" s="2"/>
      <c r="T476" s="2" t="s">
        <v>2344</v>
      </c>
      <c r="U476" s="2" t="s">
        <v>2345</v>
      </c>
      <c r="V476" s="2"/>
      <c r="W476" s="3"/>
      <c r="X476" s="2"/>
      <c r="Y476" s="2"/>
      <c r="Z476" s="2"/>
      <c r="AA476" s="2"/>
      <c r="AB476" s="2"/>
      <c r="AC476" s="2"/>
      <c r="AD476" s="2"/>
      <c r="AE476" s="2"/>
    </row>
    <row r="477" spans="1:31" ht="51">
      <c r="A477" s="2" t="s">
        <v>2004</v>
      </c>
      <c r="B477" s="2" t="s">
        <v>2005</v>
      </c>
      <c r="C477" s="2" t="str">
        <f>sheet13[[#This Row],[Nombre]]&amp;sheet13[[#This Row],[Bp Id]]</f>
        <v>Host to HostPRD0020</v>
      </c>
      <c r="D477" s="2" t="str">
        <f>VLOOKUP(sheet13[[#This Row],[Columna1]],Sheet2!C:S,4,FALSE)</f>
        <v>Retirado</v>
      </c>
      <c r="E477" s="2"/>
      <c r="F477" s="2" t="s">
        <v>47</v>
      </c>
      <c r="G477" s="2" t="s">
        <v>48</v>
      </c>
      <c r="H477" s="2" t="s">
        <v>34</v>
      </c>
      <c r="I477" s="2" t="s">
        <v>553</v>
      </c>
      <c r="J477" s="2" t="s">
        <v>554</v>
      </c>
      <c r="K477" s="2" t="s">
        <v>555</v>
      </c>
      <c r="L477" s="2" t="s">
        <v>556</v>
      </c>
      <c r="M477" s="2"/>
      <c r="N477" s="2" t="s">
        <v>2345</v>
      </c>
      <c r="O477" s="2"/>
      <c r="P477" s="2"/>
      <c r="Q477" s="2"/>
      <c r="R477" s="2"/>
      <c r="S477" s="2"/>
      <c r="T477" s="2"/>
      <c r="U477" s="2"/>
      <c r="V477" s="2"/>
      <c r="W477" s="3"/>
      <c r="X477" s="2"/>
      <c r="Y477" s="2"/>
      <c r="Z477" s="2"/>
      <c r="AA477" s="2"/>
      <c r="AB477" s="2"/>
      <c r="AC477" s="2"/>
      <c r="AD477" s="2"/>
      <c r="AE477" s="2"/>
    </row>
    <row r="478" spans="1:31" ht="51">
      <c r="A478" s="2" t="s">
        <v>2006</v>
      </c>
      <c r="B478" s="2" t="s">
        <v>2007</v>
      </c>
      <c r="C478" s="2" t="str">
        <f>sheet13[[#This Row],[Nombre]]&amp;sheet13[[#This Row],[Bp Id]]</f>
        <v>AgenciaVirtualCHL0004</v>
      </c>
      <c r="D478" s="2" t="str">
        <f>VLOOKUP(sheet13[[#This Row],[Columna1]],Sheet2!C:S,4,FALSE)</f>
        <v>Retirado</v>
      </c>
      <c r="E478" s="2"/>
      <c r="F478" s="2" t="s">
        <v>47</v>
      </c>
      <c r="G478" s="2" t="s">
        <v>48</v>
      </c>
      <c r="H478" s="2" t="s">
        <v>34</v>
      </c>
      <c r="I478" s="2" t="s">
        <v>35</v>
      </c>
      <c r="J478" s="2" t="s">
        <v>349</v>
      </c>
      <c r="K478" s="2"/>
      <c r="L478" s="2" t="s">
        <v>517</v>
      </c>
      <c r="M478" s="2"/>
      <c r="N478" s="2" t="s">
        <v>2345</v>
      </c>
      <c r="O478" s="2"/>
      <c r="P478" s="2"/>
      <c r="Q478" s="2"/>
      <c r="R478" s="2"/>
      <c r="S478" s="2"/>
      <c r="T478" s="2"/>
      <c r="U478" s="2"/>
      <c r="V478" s="2"/>
      <c r="W478" s="3"/>
      <c r="X478" s="2"/>
      <c r="Y478" s="2"/>
      <c r="Z478" s="2"/>
      <c r="AA478" s="2"/>
      <c r="AB478" s="2"/>
      <c r="AC478" s="2"/>
      <c r="AD478" s="2"/>
      <c r="AE478" s="2"/>
    </row>
    <row r="479" spans="1:31" ht="63.6">
      <c r="A479" s="2" t="s">
        <v>2008</v>
      </c>
      <c r="B479" s="2" t="s">
        <v>2009</v>
      </c>
      <c r="C479" s="2" t="str">
        <f>sheet13[[#This Row],[Nombre]]&amp;sheet13[[#This Row],[Bp Id]]</f>
        <v>Middleware Fuentes PúblicasCUS0024</v>
      </c>
      <c r="D479" s="2" t="str">
        <f>VLOOKUP(sheet13[[#This Row],[Columna1]],Sheet2!C:S,4,FALSE)</f>
        <v>Retirado</v>
      </c>
      <c r="E479" s="2"/>
      <c r="F479" s="2" t="s">
        <v>47</v>
      </c>
      <c r="G479" s="2" t="s">
        <v>123</v>
      </c>
      <c r="H479" s="2" t="s">
        <v>34</v>
      </c>
      <c r="I479" s="2" t="s">
        <v>134</v>
      </c>
      <c r="J479" s="2" t="s">
        <v>88</v>
      </c>
      <c r="K479" s="2" t="s">
        <v>1855</v>
      </c>
      <c r="L479" s="2" t="s">
        <v>2010</v>
      </c>
      <c r="M479" s="2"/>
      <c r="N479" s="2" t="s">
        <v>2345</v>
      </c>
      <c r="O479" s="2"/>
      <c r="P479" s="2"/>
      <c r="Q479" s="2"/>
      <c r="R479" s="2"/>
      <c r="S479" s="2"/>
      <c r="T479" s="2"/>
      <c r="U479" s="2"/>
      <c r="V479" s="2"/>
      <c r="W479" s="3"/>
      <c r="X479" s="2"/>
      <c r="Y479" s="2"/>
      <c r="Z479" s="2"/>
      <c r="AA479" s="2"/>
      <c r="AB479" s="2"/>
      <c r="AC479" s="2"/>
      <c r="AD479" s="2"/>
      <c r="AE479" s="2"/>
    </row>
    <row r="480" spans="1:31" ht="63.6">
      <c r="A480" s="2" t="s">
        <v>2011</v>
      </c>
      <c r="B480" s="2" t="s">
        <v>2012</v>
      </c>
      <c r="C480" s="2" t="str">
        <f>sheet13[[#This Row],[Nombre]]&amp;sheet13[[#This Row],[Bp Id]]</f>
        <v>IBM Deployment Manager (Dmgr_Portal)ITM0032</v>
      </c>
      <c r="D480" s="2" t="str">
        <f>VLOOKUP(sheet13[[#This Row],[Columna1]],Sheet2!C:S,4,FALSE)</f>
        <v>Retirado</v>
      </c>
      <c r="E480" s="2"/>
      <c r="F480" s="2" t="s">
        <v>47</v>
      </c>
      <c r="G480" s="2" t="s">
        <v>48</v>
      </c>
      <c r="H480" s="2" t="s">
        <v>34</v>
      </c>
      <c r="I480" s="2" t="s">
        <v>35</v>
      </c>
      <c r="J480" s="2" t="s">
        <v>349</v>
      </c>
      <c r="K480" s="2"/>
      <c r="L480" s="2" t="s">
        <v>38</v>
      </c>
      <c r="M480" s="2"/>
      <c r="N480" s="2" t="s">
        <v>2345</v>
      </c>
      <c r="O480" s="2"/>
      <c r="P480" s="2"/>
      <c r="Q480" s="2"/>
      <c r="R480" s="2"/>
      <c r="S480" s="2"/>
      <c r="T480" s="2"/>
      <c r="U480" s="2"/>
      <c r="V480" s="2"/>
      <c r="W480" s="3"/>
      <c r="X480" s="2"/>
      <c r="Y480" s="2"/>
      <c r="Z480" s="2"/>
      <c r="AA480" s="2"/>
      <c r="AB480" s="2"/>
      <c r="AC480" s="2"/>
      <c r="AD480" s="2"/>
      <c r="AE480" s="2"/>
    </row>
    <row r="481" spans="1:31" ht="75.95">
      <c r="A481" s="2" t="s">
        <v>1927</v>
      </c>
      <c r="B481" s="2" t="s">
        <v>1928</v>
      </c>
      <c r="C481" s="2" t="str">
        <f>sheet13[[#This Row],[Nombre]]&amp;sheet13[[#This Row],[Bp Id]]</f>
        <v>IBM Guardium Key Lifecycle ManagerITM0116</v>
      </c>
      <c r="D481" s="2" t="str">
        <f>VLOOKUP(sheet13[[#This Row],[Columna1]],Sheet2!C:S,4,FALSE)</f>
        <v>Operativo</v>
      </c>
      <c r="E481" s="2"/>
      <c r="F481" s="2" t="s">
        <v>32</v>
      </c>
      <c r="G481" s="2" t="s">
        <v>48</v>
      </c>
      <c r="H481" s="2" t="s">
        <v>34</v>
      </c>
      <c r="I481" s="2" t="s">
        <v>68</v>
      </c>
      <c r="J481" s="2" t="s">
        <v>69</v>
      </c>
      <c r="K481" s="2" t="s">
        <v>70</v>
      </c>
      <c r="L481" s="2" t="s">
        <v>1929</v>
      </c>
      <c r="M481" s="2" t="s">
        <v>52</v>
      </c>
      <c r="N481" s="2" t="s">
        <v>2343</v>
      </c>
      <c r="O481" s="2" t="s">
        <v>40</v>
      </c>
      <c r="P481" s="2"/>
      <c r="Q481" s="2"/>
      <c r="R481" s="2"/>
      <c r="S481" s="2"/>
      <c r="T481" s="2" t="s">
        <v>2344</v>
      </c>
      <c r="U481" s="2" t="s">
        <v>2345</v>
      </c>
      <c r="V481" s="2"/>
      <c r="W481" s="3"/>
      <c r="X481" s="2"/>
      <c r="Y481" s="2"/>
      <c r="Z481" s="2"/>
      <c r="AA481" s="2"/>
      <c r="AB481" s="2"/>
      <c r="AC481" s="2"/>
      <c r="AD481" s="2"/>
      <c r="AE481" s="2"/>
    </row>
    <row r="482" spans="1:31" ht="63.6">
      <c r="A482" s="2" t="s">
        <v>1891</v>
      </c>
      <c r="B482" s="2" t="s">
        <v>1892</v>
      </c>
      <c r="C482" s="2" t="str">
        <f>sheet13[[#This Row],[Nombre]]&amp;sheet13[[#This Row],[Bp Id]]</f>
        <v>HP Servicios GestionadosITM0087</v>
      </c>
      <c r="D482" s="2" t="str">
        <f>VLOOKUP(sheet13[[#This Row],[Columna1]],Sheet2!C:S,4,FALSE)</f>
        <v>Operativo</v>
      </c>
      <c r="E482" s="2"/>
      <c r="F482" s="2" t="s">
        <v>32</v>
      </c>
      <c r="G482" s="2" t="s">
        <v>48</v>
      </c>
      <c r="H482" s="2" t="s">
        <v>34</v>
      </c>
      <c r="I482" s="2" t="s">
        <v>68</v>
      </c>
      <c r="J482" s="2" t="s">
        <v>69</v>
      </c>
      <c r="K482" s="2" t="s">
        <v>82</v>
      </c>
      <c r="L482" s="2" t="s">
        <v>898</v>
      </c>
      <c r="M482" s="2" t="s">
        <v>52</v>
      </c>
      <c r="N482" s="2" t="s">
        <v>2343</v>
      </c>
      <c r="O482" s="2" t="s">
        <v>40</v>
      </c>
      <c r="P482" s="2"/>
      <c r="Q482" s="2"/>
      <c r="R482" s="2"/>
      <c r="S482" s="2"/>
      <c r="T482" s="2" t="s">
        <v>2344</v>
      </c>
      <c r="U482" s="2" t="s">
        <v>2345</v>
      </c>
      <c r="V482" s="2"/>
      <c r="W482" s="3"/>
      <c r="X482" s="2"/>
      <c r="Y482" s="2"/>
      <c r="Z482" s="2"/>
      <c r="AA482" s="2"/>
      <c r="AB482" s="2"/>
      <c r="AC482" s="2"/>
      <c r="AD482" s="2"/>
      <c r="AE482" s="2"/>
    </row>
    <row r="483" spans="1:31" ht="51">
      <c r="A483" s="2" t="s">
        <v>2013</v>
      </c>
      <c r="B483" s="2" t="s">
        <v>2014</v>
      </c>
      <c r="C483" s="2" t="str">
        <f>sheet13[[#This Row],[Nombre]]&amp;sheet13[[#This Row],[Bp Id]]</f>
        <v>AppdomeITM0146</v>
      </c>
      <c r="D483" s="2" t="str">
        <f>VLOOKUP(sheet13[[#This Row],[Columna1]],Sheet2!C:S,4,FALSE)</f>
        <v>Operativo</v>
      </c>
      <c r="E483" s="2"/>
      <c r="F483" s="2" t="s">
        <v>32</v>
      </c>
      <c r="G483" s="2" t="s">
        <v>48</v>
      </c>
      <c r="H483" s="2" t="s">
        <v>140</v>
      </c>
      <c r="I483" s="2" t="s">
        <v>258</v>
      </c>
      <c r="J483" s="2" t="s">
        <v>438</v>
      </c>
      <c r="K483" s="2" t="s">
        <v>438</v>
      </c>
      <c r="L483" s="2" t="s">
        <v>261</v>
      </c>
      <c r="M483" s="2"/>
      <c r="N483" s="2" t="s">
        <v>2343</v>
      </c>
      <c r="O483" s="2" t="s">
        <v>40</v>
      </c>
      <c r="P483" s="2"/>
      <c r="Q483" s="2"/>
      <c r="R483" s="2"/>
      <c r="S483" s="2"/>
      <c r="T483" s="2" t="s">
        <v>2344</v>
      </c>
      <c r="U483" s="2" t="s">
        <v>2345</v>
      </c>
      <c r="V483" s="2"/>
      <c r="W483" s="3"/>
      <c r="X483" s="2"/>
      <c r="Y483" s="2"/>
      <c r="Z483" s="2"/>
      <c r="AA483" s="2"/>
      <c r="AB483" s="2"/>
      <c r="AC483" s="2"/>
      <c r="AD483" s="2"/>
      <c r="AE483" s="2"/>
    </row>
    <row r="484" spans="1:31" ht="51">
      <c r="A484" s="2" t="s">
        <v>2015</v>
      </c>
      <c r="B484" s="2" t="s">
        <v>2016</v>
      </c>
      <c r="C484" s="2" t="str">
        <f>sheet13[[#This Row],[Nombre]]&amp;sheet13[[#This Row],[Bp Id]]</f>
        <v>Parametrizador LegadosITM0110</v>
      </c>
      <c r="D484" s="2" t="str">
        <f>VLOOKUP(sheet13[[#This Row],[Columna1]],Sheet2!C:S,4,FALSE)</f>
        <v>Operativo</v>
      </c>
      <c r="E484" s="2"/>
      <c r="F484" s="2" t="s">
        <v>32</v>
      </c>
      <c r="G484" s="2" t="s">
        <v>48</v>
      </c>
      <c r="H484" s="2" t="s">
        <v>59</v>
      </c>
      <c r="I484" s="2" t="s">
        <v>225</v>
      </c>
      <c r="J484" s="2" t="s">
        <v>226</v>
      </c>
      <c r="K484" s="2" t="s">
        <v>50</v>
      </c>
      <c r="L484" s="2" t="s">
        <v>2017</v>
      </c>
      <c r="M484" s="2"/>
      <c r="N484" s="2" t="s">
        <v>2343</v>
      </c>
      <c r="O484" s="2" t="s">
        <v>40</v>
      </c>
      <c r="P484" s="2"/>
      <c r="Q484" s="2"/>
      <c r="R484" s="2"/>
      <c r="S484" s="2"/>
      <c r="T484" s="2" t="s">
        <v>2344</v>
      </c>
      <c r="U484" s="2" t="s">
        <v>2345</v>
      </c>
      <c r="V484" s="2"/>
      <c r="W484" s="3"/>
      <c r="X484" s="2"/>
      <c r="Y484" s="2"/>
      <c r="Z484" s="2"/>
      <c r="AA484" s="2"/>
      <c r="AB484" s="2"/>
      <c r="AC484" s="2"/>
      <c r="AD484" s="2"/>
      <c r="AE484" s="2"/>
    </row>
    <row r="485" spans="1:31" ht="63.6">
      <c r="A485" s="2" t="s">
        <v>2018</v>
      </c>
      <c r="B485" s="2" t="s">
        <v>2019</v>
      </c>
      <c r="C485" s="2" t="str">
        <f>sheet13[[#This Row],[Nombre]]&amp;sheet13[[#This Row],[Bp Id]]</f>
        <v>Fraud rules ManagerGOB0004</v>
      </c>
      <c r="D485" s="2" t="str">
        <f>VLOOKUP(sheet13[[#This Row],[Columna1]],Sheet2!C:S,4,FALSE)</f>
        <v>Retirado</v>
      </c>
      <c r="E485" s="2"/>
      <c r="F485" s="2" t="s">
        <v>47</v>
      </c>
      <c r="G485" s="2" t="s">
        <v>123</v>
      </c>
      <c r="H485" s="2" t="s">
        <v>140</v>
      </c>
      <c r="I485" s="2" t="s">
        <v>2346</v>
      </c>
      <c r="J485" s="2" t="s">
        <v>176</v>
      </c>
      <c r="K485" s="2"/>
      <c r="L485" s="2" t="s">
        <v>108</v>
      </c>
      <c r="M485" s="2"/>
      <c r="N485" s="2" t="s">
        <v>2345</v>
      </c>
      <c r="O485" s="2"/>
      <c r="P485" s="2"/>
      <c r="Q485" s="2"/>
      <c r="R485" s="2"/>
      <c r="S485" s="2"/>
      <c r="T485" s="2"/>
      <c r="U485" s="2"/>
      <c r="V485" s="2"/>
      <c r="W485" s="3"/>
      <c r="X485" s="2"/>
      <c r="Y485" s="2"/>
      <c r="Z485" s="2"/>
      <c r="AA485" s="2"/>
      <c r="AB485" s="2"/>
      <c r="AC485" s="2"/>
      <c r="AD485" s="2"/>
      <c r="AE485" s="2"/>
    </row>
    <row r="486" spans="1:31" ht="63.6">
      <c r="A486" s="2" t="s">
        <v>1915</v>
      </c>
      <c r="B486" s="2" t="s">
        <v>1916</v>
      </c>
      <c r="C486" s="2" t="str">
        <f>sheet13[[#This Row],[Nombre]]&amp;sheet13[[#This Row],[Bp Id]]</f>
        <v>SDWAN CISCOITM0090</v>
      </c>
      <c r="D486" s="2" t="str">
        <f>VLOOKUP(sheet13[[#This Row],[Columna1]],Sheet2!C:S,4,FALSE)</f>
        <v>Operativo</v>
      </c>
      <c r="E486" s="2"/>
      <c r="F486" s="2" t="s">
        <v>32</v>
      </c>
      <c r="G486" s="2" t="s">
        <v>48</v>
      </c>
      <c r="H486" s="2" t="s">
        <v>140</v>
      </c>
      <c r="I486" s="2" t="s">
        <v>68</v>
      </c>
      <c r="J486" s="2" t="s">
        <v>69</v>
      </c>
      <c r="K486" s="2" t="s">
        <v>516</v>
      </c>
      <c r="L486" s="2" t="s">
        <v>529</v>
      </c>
      <c r="M486" s="2" t="s">
        <v>52</v>
      </c>
      <c r="N486" s="2" t="s">
        <v>2343</v>
      </c>
      <c r="O486" s="2" t="s">
        <v>40</v>
      </c>
      <c r="P486" s="2"/>
      <c r="Q486" s="2"/>
      <c r="R486" s="2"/>
      <c r="S486" s="2"/>
      <c r="T486" s="2" t="s">
        <v>2344</v>
      </c>
      <c r="U486" s="2" t="s">
        <v>2345</v>
      </c>
      <c r="V486" s="2"/>
      <c r="W486" s="3"/>
      <c r="X486" s="2"/>
      <c r="Y486" s="2"/>
      <c r="Z486" s="2"/>
      <c r="AA486" s="2"/>
      <c r="AB486" s="2"/>
      <c r="AC486" s="2"/>
      <c r="AD486" s="2"/>
      <c r="AE486" s="2"/>
    </row>
    <row r="487" spans="1:31" ht="51">
      <c r="A487" s="2" t="s">
        <v>2020</v>
      </c>
      <c r="B487" s="2" t="s">
        <v>2021</v>
      </c>
      <c r="C487" s="2" t="str">
        <f>sheet13[[#This Row],[Nombre]]&amp;sheet13[[#This Row],[Bp Id]]</f>
        <v>CertesSEC0007</v>
      </c>
      <c r="D487" s="2" t="str">
        <f>VLOOKUP(sheet13[[#This Row],[Columna1]],Sheet2!C:S,4,FALSE)</f>
        <v>Retirado</v>
      </c>
      <c r="E487" s="2"/>
      <c r="F487" s="2" t="s">
        <v>47</v>
      </c>
      <c r="G487" s="2" t="s">
        <v>48</v>
      </c>
      <c r="H487" s="2" t="s">
        <v>34</v>
      </c>
      <c r="I487" s="2" t="s">
        <v>2346</v>
      </c>
      <c r="J487" s="2" t="s">
        <v>176</v>
      </c>
      <c r="K487" s="2"/>
      <c r="L487" s="2" t="s">
        <v>185</v>
      </c>
      <c r="M487" s="2"/>
      <c r="N487" s="2" t="s">
        <v>2345</v>
      </c>
      <c r="O487" s="2"/>
      <c r="P487" s="2"/>
      <c r="Q487" s="2"/>
      <c r="R487" s="2"/>
      <c r="S487" s="2"/>
      <c r="T487" s="2"/>
      <c r="U487" s="2"/>
      <c r="V487" s="2"/>
      <c r="W487" s="3"/>
      <c r="X487" s="2"/>
      <c r="Y487" s="2"/>
      <c r="Z487" s="2"/>
      <c r="AA487" s="2"/>
      <c r="AB487" s="2"/>
      <c r="AC487" s="2"/>
      <c r="AD487" s="2"/>
      <c r="AE487" s="2"/>
    </row>
    <row r="488" spans="1:31" ht="51">
      <c r="A488" s="2" t="s">
        <v>2022</v>
      </c>
      <c r="B488" s="2" t="s">
        <v>2023</v>
      </c>
      <c r="C488" s="2" t="str">
        <f>sheet13[[#This Row],[Nombre]]&amp;sheet13[[#This Row],[Bp Id]]</f>
        <v>Onboarding VinculaciónCHL0035</v>
      </c>
      <c r="D488" s="2" t="str">
        <f>VLOOKUP(sheet13[[#This Row],[Columna1]],Sheet2!C:S,4,FALSE)</f>
        <v>Retirado</v>
      </c>
      <c r="E488" s="2"/>
      <c r="F488" s="2" t="s">
        <v>47</v>
      </c>
      <c r="G488" s="2" t="s">
        <v>48</v>
      </c>
      <c r="H488" s="2" t="s">
        <v>59</v>
      </c>
      <c r="I488" s="2" t="s">
        <v>553</v>
      </c>
      <c r="J488" s="2" t="s">
        <v>554</v>
      </c>
      <c r="K488" s="2"/>
      <c r="L488" s="2"/>
      <c r="M488" s="2"/>
      <c r="N488" s="2" t="s">
        <v>2345</v>
      </c>
      <c r="O488" s="2"/>
      <c r="P488" s="2"/>
      <c r="Q488" s="2"/>
      <c r="R488" s="2"/>
      <c r="S488" s="2"/>
      <c r="T488" s="2"/>
      <c r="U488" s="2"/>
      <c r="V488" s="2"/>
      <c r="W488" s="3"/>
      <c r="X488" s="2"/>
      <c r="Y488" s="2"/>
      <c r="Z488" s="2"/>
      <c r="AA488" s="2"/>
      <c r="AB488" s="2"/>
      <c r="AC488" s="2"/>
      <c r="AD488" s="2"/>
      <c r="AE488" s="2"/>
    </row>
    <row r="489" spans="1:31" ht="51">
      <c r="A489" s="2" t="s">
        <v>2024</v>
      </c>
      <c r="B489" s="2" t="s">
        <v>2025</v>
      </c>
      <c r="C489" s="2" t="str">
        <f>sheet13[[#This Row],[Nombre]]&amp;sheet13[[#This Row],[Bp Id]]</f>
        <v>Exchange Server 2010ITM0016</v>
      </c>
      <c r="D489" s="2" t="str">
        <f>VLOOKUP(sheet13[[#This Row],[Columna1]],Sheet2!C:S,4,FALSE)</f>
        <v>Retirado</v>
      </c>
      <c r="E489" s="2"/>
      <c r="F489" s="2" t="s">
        <v>47</v>
      </c>
      <c r="G489" s="2" t="s">
        <v>48</v>
      </c>
      <c r="H489" s="2" t="s">
        <v>34</v>
      </c>
      <c r="I489" s="2" t="s">
        <v>68</v>
      </c>
      <c r="J489" s="2" t="s">
        <v>236</v>
      </c>
      <c r="K489" s="2"/>
      <c r="L489" s="2" t="s">
        <v>82</v>
      </c>
      <c r="M489" s="2"/>
      <c r="N489" s="2" t="s">
        <v>2345</v>
      </c>
      <c r="O489" s="2"/>
      <c r="P489" s="2"/>
      <c r="Q489" s="2"/>
      <c r="R489" s="2"/>
      <c r="S489" s="2"/>
      <c r="T489" s="2"/>
      <c r="U489" s="2"/>
      <c r="V489" s="2"/>
      <c r="W489" s="3"/>
      <c r="X489" s="2"/>
      <c r="Y489" s="2"/>
      <c r="Z489" s="2"/>
      <c r="AA489" s="2"/>
      <c r="AB489" s="2"/>
      <c r="AC489" s="2"/>
      <c r="AD489" s="2"/>
      <c r="AE489" s="2"/>
    </row>
    <row r="490" spans="1:31" ht="75.95">
      <c r="A490" s="2" t="s">
        <v>2026</v>
      </c>
      <c r="B490" s="2" t="s">
        <v>2027</v>
      </c>
      <c r="C490" s="2" t="str">
        <f>sheet13[[#This Row],[Nombre]]&amp;sheet13[[#This Row],[Bp Id]]</f>
        <v>IBM Rational Perfomance TesterITM0103</v>
      </c>
      <c r="D490" s="2" t="str">
        <f>VLOOKUP(sheet13[[#This Row],[Columna1]],Sheet2!C:S,4,FALSE)</f>
        <v>Operativo</v>
      </c>
      <c r="E490" s="2"/>
      <c r="F490" s="2" t="s">
        <v>32</v>
      </c>
      <c r="G490" s="2" t="s">
        <v>48</v>
      </c>
      <c r="H490" s="2" t="s">
        <v>34</v>
      </c>
      <c r="I490" s="2" t="s">
        <v>198</v>
      </c>
      <c r="J490" s="2" t="s">
        <v>240</v>
      </c>
      <c r="K490" s="2" t="s">
        <v>2028</v>
      </c>
      <c r="L490" s="2" t="s">
        <v>2028</v>
      </c>
      <c r="M490" s="2" t="s">
        <v>52</v>
      </c>
      <c r="N490" s="2" t="s">
        <v>2343</v>
      </c>
      <c r="O490" s="2" t="s">
        <v>40</v>
      </c>
      <c r="P490" s="2"/>
      <c r="Q490" s="2"/>
      <c r="R490" s="2"/>
      <c r="S490" s="2"/>
      <c r="T490" s="2" t="s">
        <v>2344</v>
      </c>
      <c r="U490" s="2" t="s">
        <v>2345</v>
      </c>
      <c r="V490" s="2"/>
      <c r="W490" s="3"/>
      <c r="X490" s="2"/>
      <c r="Y490" s="2"/>
      <c r="Z490" s="2"/>
      <c r="AA490" s="2"/>
      <c r="AB490" s="2"/>
      <c r="AC490" s="2"/>
      <c r="AD490" s="2"/>
      <c r="AE490" s="2"/>
    </row>
    <row r="491" spans="1:31" ht="63.6">
      <c r="A491" s="2" t="s">
        <v>64</v>
      </c>
      <c r="B491" s="2" t="s">
        <v>1876</v>
      </c>
      <c r="C491" s="2" t="str">
        <f>sheet13[[#This Row],[Nombre]]&amp;sheet13[[#This Row],[Bp Id]]</f>
        <v>Entra IDITM0130</v>
      </c>
      <c r="D491" s="2" t="str">
        <f>VLOOKUP(sheet13[[#This Row],[Columna1]],Sheet2!C:S,4,FALSE)</f>
        <v>Operativo</v>
      </c>
      <c r="E491" s="2"/>
      <c r="F491" s="2" t="s">
        <v>32</v>
      </c>
      <c r="G491" s="2" t="s">
        <v>48</v>
      </c>
      <c r="H491" s="2" t="s">
        <v>59</v>
      </c>
      <c r="I491" s="2" t="s">
        <v>2346</v>
      </c>
      <c r="J491" s="2" t="s">
        <v>916</v>
      </c>
      <c r="K491" s="2" t="s">
        <v>916</v>
      </c>
      <c r="L491" s="2" t="s">
        <v>1877</v>
      </c>
      <c r="M491" s="2" t="s">
        <v>111</v>
      </c>
      <c r="N491" s="2" t="s">
        <v>2343</v>
      </c>
      <c r="O491" s="2" t="s">
        <v>40</v>
      </c>
      <c r="P491" s="2"/>
      <c r="Q491" s="2"/>
      <c r="R491" s="2"/>
      <c r="S491" s="2"/>
      <c r="T491" s="2" t="s">
        <v>2344</v>
      </c>
      <c r="U491" s="2" t="s">
        <v>2345</v>
      </c>
      <c r="V491" s="2"/>
      <c r="W491" s="3"/>
      <c r="X491" s="2"/>
      <c r="Y491" s="2"/>
      <c r="Z491" s="2"/>
      <c r="AA491" s="2"/>
      <c r="AB491" s="2"/>
      <c r="AC491" s="2"/>
      <c r="AD491" s="2"/>
      <c r="AE491" s="2"/>
    </row>
    <row r="492" spans="1:31" ht="51">
      <c r="A492" s="2" t="s">
        <v>2032</v>
      </c>
      <c r="B492" s="2" t="s">
        <v>2033</v>
      </c>
      <c r="C492" s="2" t="str">
        <f>sheet13[[#This Row],[Nombre]]&amp;sheet13[[#This Row],[Bp Id]]</f>
        <v>Urban Code DeployITM0059</v>
      </c>
      <c r="D492" s="2" t="str">
        <f>VLOOKUP(sheet13[[#This Row],[Columna1]],Sheet2!C:S,4,FALSE)</f>
        <v>Retirado</v>
      </c>
      <c r="E492" s="2"/>
      <c r="F492" s="2" t="s">
        <v>47</v>
      </c>
      <c r="G492" s="2" t="s">
        <v>48</v>
      </c>
      <c r="H492" s="2" t="s">
        <v>34</v>
      </c>
      <c r="I492" s="2" t="s">
        <v>198</v>
      </c>
      <c r="J492" s="2" t="s">
        <v>199</v>
      </c>
      <c r="K492" s="2" t="s">
        <v>199</v>
      </c>
      <c r="L492" s="2" t="s">
        <v>199</v>
      </c>
      <c r="M492" s="2"/>
      <c r="N492" s="2" t="s">
        <v>2345</v>
      </c>
      <c r="O492" s="2"/>
      <c r="P492" s="2"/>
      <c r="Q492" s="2"/>
      <c r="R492" s="2"/>
      <c r="S492" s="2"/>
      <c r="T492" s="2"/>
      <c r="U492" s="2"/>
      <c r="V492" s="2"/>
      <c r="W492" s="3"/>
      <c r="X492" s="2"/>
      <c r="Y492" s="2"/>
      <c r="Z492" s="2"/>
      <c r="AA492" s="2"/>
      <c r="AB492" s="2"/>
      <c r="AC492" s="2"/>
      <c r="AD492" s="2"/>
      <c r="AE492" s="2"/>
    </row>
    <row r="493" spans="1:31" ht="63.6">
      <c r="A493" s="2" t="s">
        <v>2034</v>
      </c>
      <c r="B493" s="2" t="s">
        <v>2035</v>
      </c>
      <c r="C493" s="2" t="str">
        <f>sheet13[[#This Row],[Nombre]]&amp;sheet13[[#This Row],[Bp Id]]</f>
        <v>Componente MKT Cloud SMSCUS0006</v>
      </c>
      <c r="D493" s="2" t="str">
        <f>VLOOKUP(sheet13[[#This Row],[Columna1]],Sheet2!C:S,4,FALSE)</f>
        <v>Retirado</v>
      </c>
      <c r="E493" s="2"/>
      <c r="F493" s="2" t="s">
        <v>47</v>
      </c>
      <c r="G493" s="2" t="s">
        <v>48</v>
      </c>
      <c r="H493" s="2" t="s">
        <v>59</v>
      </c>
      <c r="I493" s="2" t="s">
        <v>134</v>
      </c>
      <c r="J493" s="2" t="s">
        <v>88</v>
      </c>
      <c r="K493" s="2" t="s">
        <v>479</v>
      </c>
      <c r="L493" s="2" t="s">
        <v>480</v>
      </c>
      <c r="M493" s="2"/>
      <c r="N493" s="2" t="s">
        <v>2345</v>
      </c>
      <c r="O493" s="2"/>
      <c r="P493" s="2"/>
      <c r="Q493" s="2"/>
      <c r="R493" s="2"/>
      <c r="S493" s="2"/>
      <c r="T493" s="2"/>
      <c r="U493" s="2"/>
      <c r="V493" s="2"/>
      <c r="W493" s="3"/>
      <c r="X493" s="2"/>
      <c r="Y493" s="2"/>
      <c r="Z493" s="2"/>
      <c r="AA493" s="2"/>
      <c r="AB493" s="2"/>
      <c r="AC493" s="2"/>
      <c r="AD493" s="2"/>
      <c r="AE493" s="2"/>
    </row>
    <row r="494" spans="1:31" ht="75.95">
      <c r="A494" s="2" t="s">
        <v>2036</v>
      </c>
      <c r="B494" s="2" t="s">
        <v>2037</v>
      </c>
      <c r="C494" s="2" t="str">
        <f>sheet13[[#This Row],[Nombre]]&amp;sheet13[[#This Row],[Bp Id]]</f>
        <v>Estados de CuentaPRD0066</v>
      </c>
      <c r="D494" s="2" t="str">
        <f>VLOOKUP(sheet13[[#This Row],[Columna1]],Sheet2!C:S,4,FALSE)</f>
        <v>Operativo</v>
      </c>
      <c r="E494" s="2"/>
      <c r="F494" s="2" t="s">
        <v>32</v>
      </c>
      <c r="G494" s="2" t="s">
        <v>48</v>
      </c>
      <c r="H494" s="2" t="s">
        <v>59</v>
      </c>
      <c r="I494" s="2" t="s">
        <v>167</v>
      </c>
      <c r="J494" s="2" t="s">
        <v>96</v>
      </c>
      <c r="K494" s="2" t="s">
        <v>2038</v>
      </c>
      <c r="L494" s="2" t="s">
        <v>169</v>
      </c>
      <c r="M494" s="2" t="s">
        <v>39</v>
      </c>
      <c r="N494" s="2" t="s">
        <v>2343</v>
      </c>
      <c r="O494" s="2" t="s">
        <v>40</v>
      </c>
      <c r="P494" s="2"/>
      <c r="Q494" s="2"/>
      <c r="R494" s="2"/>
      <c r="S494" s="2"/>
      <c r="T494" s="2" t="s">
        <v>2344</v>
      </c>
      <c r="U494" s="2" t="s">
        <v>2345</v>
      </c>
      <c r="V494" s="2"/>
      <c r="W494" s="3"/>
      <c r="X494" s="2"/>
      <c r="Y494" s="2"/>
      <c r="Z494" s="2"/>
      <c r="AA494" s="2"/>
      <c r="AB494" s="2"/>
      <c r="AC494" s="2"/>
      <c r="AD494" s="2"/>
      <c r="AE494" s="2"/>
    </row>
    <row r="495" spans="1:31" ht="51">
      <c r="A495" s="2" t="s">
        <v>2039</v>
      </c>
      <c r="B495" s="2" t="s">
        <v>2040</v>
      </c>
      <c r="C495" s="2" t="str">
        <f>sheet13[[#This Row],[Nombre]]&amp;sheet13[[#This Row],[Bp Id]]</f>
        <v>Switch YanbalPRD0030</v>
      </c>
      <c r="D495" s="2" t="str">
        <f>VLOOKUP(sheet13[[#This Row],[Columna1]],Sheet2!C:S,4,FALSE)</f>
        <v>No operativo</v>
      </c>
      <c r="E495" s="2"/>
      <c r="F495" s="2" t="s">
        <v>1788</v>
      </c>
      <c r="G495" s="2" t="s">
        <v>48</v>
      </c>
      <c r="H495" s="2" t="s">
        <v>34</v>
      </c>
      <c r="I495" s="2" t="s">
        <v>553</v>
      </c>
      <c r="J495" s="2" t="s">
        <v>554</v>
      </c>
      <c r="K495" s="2"/>
      <c r="L495" s="2" t="s">
        <v>556</v>
      </c>
      <c r="M495" s="2"/>
      <c r="N495" s="2" t="s">
        <v>2345</v>
      </c>
      <c r="O495" s="2"/>
      <c r="P495" s="2"/>
      <c r="Q495" s="2"/>
      <c r="R495" s="2"/>
      <c r="S495" s="2"/>
      <c r="T495" s="2"/>
      <c r="U495" s="2"/>
      <c r="V495" s="2"/>
      <c r="W495" s="3"/>
      <c r="X495" s="2"/>
      <c r="Y495" s="2"/>
      <c r="Z495" s="2"/>
      <c r="AA495" s="2"/>
      <c r="AB495" s="2"/>
      <c r="AC495" s="2"/>
      <c r="AD495" s="2"/>
      <c r="AE495" s="2"/>
    </row>
    <row r="496" spans="1:31" ht="63.6">
      <c r="A496" s="2" t="s">
        <v>2041</v>
      </c>
      <c r="B496" s="2" t="s">
        <v>2042</v>
      </c>
      <c r="C496" s="2" t="str">
        <f>sheet13[[#This Row],[Nombre]]&amp;sheet13[[#This Row],[Bp Id]]</f>
        <v>Stratio DiscoveryDAT0010</v>
      </c>
      <c r="D496" s="2" t="str">
        <f>VLOOKUP(sheet13[[#This Row],[Columna1]],Sheet2!C:S,4,FALSE)</f>
        <v>Retirado</v>
      </c>
      <c r="E496" s="2"/>
      <c r="F496" s="2" t="s">
        <v>47</v>
      </c>
      <c r="G496" s="2" t="s">
        <v>48</v>
      </c>
      <c r="H496" s="2" t="s">
        <v>59</v>
      </c>
      <c r="I496" s="2" t="s">
        <v>328</v>
      </c>
      <c r="J496" s="2" t="s">
        <v>329</v>
      </c>
      <c r="K496" s="2" t="s">
        <v>575</v>
      </c>
      <c r="L496" s="2" t="s">
        <v>575</v>
      </c>
      <c r="M496" s="2"/>
      <c r="N496" s="2" t="s">
        <v>2345</v>
      </c>
      <c r="O496" s="2"/>
      <c r="P496" s="2"/>
      <c r="Q496" s="2"/>
      <c r="R496" s="2"/>
      <c r="S496" s="2"/>
      <c r="T496" s="2"/>
      <c r="U496" s="2"/>
      <c r="V496" s="2"/>
      <c r="W496" s="3"/>
      <c r="X496" s="2"/>
      <c r="Y496" s="2"/>
      <c r="Z496" s="2"/>
      <c r="AA496" s="2"/>
      <c r="AB496" s="2"/>
      <c r="AC496" s="2"/>
      <c r="AD496" s="2"/>
      <c r="AE496" s="2"/>
    </row>
    <row r="497" spans="1:31" ht="51">
      <c r="A497" s="2" t="s">
        <v>2045</v>
      </c>
      <c r="B497" s="2" t="s">
        <v>2046</v>
      </c>
      <c r="C497" s="2" t="str">
        <f>sheet13[[#This Row],[Nombre]]&amp;sheet13[[#This Row],[Bp Id]]</f>
        <v>Nuevo CashPRD0024</v>
      </c>
      <c r="D497" s="2" t="str">
        <f>VLOOKUP(sheet13[[#This Row],[Columna1]],Sheet2!C:S,4,FALSE)</f>
        <v>Retirado</v>
      </c>
      <c r="E497" s="2"/>
      <c r="F497" s="2" t="s">
        <v>47</v>
      </c>
      <c r="G497" s="2" t="s">
        <v>48</v>
      </c>
      <c r="H497" s="2" t="s">
        <v>59</v>
      </c>
      <c r="I497" s="2" t="s">
        <v>553</v>
      </c>
      <c r="J497" s="2" t="s">
        <v>554</v>
      </c>
      <c r="K497" s="2"/>
      <c r="L497" s="2" t="s">
        <v>2047</v>
      </c>
      <c r="M497" s="2"/>
      <c r="N497" s="2" t="s">
        <v>2345</v>
      </c>
      <c r="O497" s="2"/>
      <c r="P497" s="2"/>
      <c r="Q497" s="2"/>
      <c r="R497" s="2"/>
      <c r="S497" s="2"/>
      <c r="T497" s="2"/>
      <c r="U497" s="2"/>
      <c r="V497" s="2"/>
      <c r="W497" s="3"/>
      <c r="X497" s="2"/>
      <c r="Y497" s="2"/>
      <c r="Z497" s="2"/>
      <c r="AA497" s="2"/>
      <c r="AB497" s="2"/>
      <c r="AC497" s="2"/>
      <c r="AD497" s="2"/>
      <c r="AE497" s="2"/>
    </row>
    <row r="498" spans="1:31" ht="63.6">
      <c r="A498" s="2" t="s">
        <v>2048</v>
      </c>
      <c r="B498" s="2" t="s">
        <v>2049</v>
      </c>
      <c r="C498" s="2" t="str">
        <f>sheet13[[#This Row],[Nombre]]&amp;sheet13[[#This Row],[Bp Id]]</f>
        <v>Componente MKT Cloud PushCUS0005</v>
      </c>
      <c r="D498" s="2" t="str">
        <f>VLOOKUP(sheet13[[#This Row],[Columna1]],Sheet2!C:S,4,FALSE)</f>
        <v>Retirado</v>
      </c>
      <c r="E498" s="2"/>
      <c r="F498" s="2" t="s">
        <v>47</v>
      </c>
      <c r="G498" s="2" t="s">
        <v>48</v>
      </c>
      <c r="H498" s="2" t="s">
        <v>59</v>
      </c>
      <c r="I498" s="2" t="s">
        <v>134</v>
      </c>
      <c r="J498" s="2" t="s">
        <v>88</v>
      </c>
      <c r="K498" s="2" t="s">
        <v>479</v>
      </c>
      <c r="L498" s="2" t="s">
        <v>480</v>
      </c>
      <c r="M498" s="2"/>
      <c r="N498" s="2" t="s">
        <v>2345</v>
      </c>
      <c r="O498" s="2"/>
      <c r="P498" s="2"/>
      <c r="Q498" s="2"/>
      <c r="R498" s="2"/>
      <c r="S498" s="2"/>
      <c r="T498" s="2"/>
      <c r="U498" s="2"/>
      <c r="V498" s="2"/>
      <c r="W498" s="3"/>
      <c r="X498" s="2"/>
      <c r="Y498" s="2"/>
      <c r="Z498" s="2"/>
      <c r="AA498" s="2"/>
      <c r="AB498" s="2"/>
      <c r="AC498" s="2"/>
      <c r="AD498" s="2"/>
      <c r="AE498" s="2"/>
    </row>
    <row r="499" spans="1:31" ht="51">
      <c r="A499" s="2" t="s">
        <v>2050</v>
      </c>
      <c r="B499" s="2" t="s">
        <v>2051</v>
      </c>
      <c r="C499" s="2" t="str">
        <f>sheet13[[#This Row],[Nombre]]&amp;sheet13[[#This Row],[Bp Id]]</f>
        <v>UnificaTPSUP0022</v>
      </c>
      <c r="D499" s="2" t="str">
        <f>VLOOKUP(sheet13[[#This Row],[Columna1]],Sheet2!C:S,4,FALSE)</f>
        <v>Retirado</v>
      </c>
      <c r="E499" s="2"/>
      <c r="F499" s="2" t="s">
        <v>47</v>
      </c>
      <c r="G499" s="2" t="s">
        <v>48</v>
      </c>
      <c r="H499" s="2" t="s">
        <v>34</v>
      </c>
      <c r="I499" s="2" t="s">
        <v>35</v>
      </c>
      <c r="J499" s="2" t="s">
        <v>349</v>
      </c>
      <c r="K499" s="2" t="s">
        <v>381</v>
      </c>
      <c r="L499" s="2" t="s">
        <v>350</v>
      </c>
      <c r="M499" s="2"/>
      <c r="N499" s="2" t="s">
        <v>2345</v>
      </c>
      <c r="O499" s="2"/>
      <c r="P499" s="2"/>
      <c r="Q499" s="2"/>
      <c r="R499" s="2"/>
      <c r="S499" s="2"/>
      <c r="T499" s="2"/>
      <c r="U499" s="2"/>
      <c r="V499" s="2"/>
      <c r="W499" s="3"/>
      <c r="X499" s="2"/>
      <c r="Y499" s="2"/>
      <c r="Z499" s="2"/>
      <c r="AA499" s="2"/>
      <c r="AB499" s="2"/>
      <c r="AC499" s="2"/>
      <c r="AD499" s="2"/>
      <c r="AE499" s="2"/>
    </row>
    <row r="500" spans="1:31" ht="51">
      <c r="A500" s="2" t="s">
        <v>2052</v>
      </c>
      <c r="B500" s="2" t="s">
        <v>2053</v>
      </c>
      <c r="C500" s="2" t="str">
        <f>sheet13[[#This Row],[Nombre]]&amp;sheet13[[#This Row],[Bp Id]]</f>
        <v>Elastic Kubernetes ServicesITM0124</v>
      </c>
      <c r="D500" s="2" t="str">
        <f>VLOOKUP(sheet13[[#This Row],[Columna1]],Sheet2!C:S,4,FALSE)</f>
        <v>Operativo</v>
      </c>
      <c r="E500" s="2"/>
      <c r="F500" s="2" t="s">
        <v>32</v>
      </c>
      <c r="G500" s="2" t="s">
        <v>123</v>
      </c>
      <c r="H500" s="2" t="s">
        <v>59</v>
      </c>
      <c r="I500" s="2" t="s">
        <v>198</v>
      </c>
      <c r="J500" s="2" t="s">
        <v>199</v>
      </c>
      <c r="K500" s="2" t="s">
        <v>521</v>
      </c>
      <c r="L500" s="2" t="s">
        <v>242</v>
      </c>
      <c r="M500" s="2" t="s">
        <v>52</v>
      </c>
      <c r="N500" s="2" t="s">
        <v>2343</v>
      </c>
      <c r="O500" s="2" t="s">
        <v>40</v>
      </c>
      <c r="P500" s="2"/>
      <c r="Q500" s="2"/>
      <c r="R500" s="2"/>
      <c r="S500" s="2"/>
      <c r="T500" s="2" t="s">
        <v>2344</v>
      </c>
      <c r="U500" s="2" t="s">
        <v>2345</v>
      </c>
      <c r="V500" s="2"/>
      <c r="W500" s="3"/>
      <c r="X500" s="2"/>
      <c r="Y500" s="2"/>
      <c r="Z500" s="2"/>
      <c r="AA500" s="2"/>
      <c r="AB500" s="2"/>
      <c r="AC500" s="2"/>
      <c r="AD500" s="2"/>
      <c r="AE500" s="2"/>
    </row>
    <row r="501" spans="1:31" ht="63.6">
      <c r="A501" s="2" t="s">
        <v>2054</v>
      </c>
      <c r="B501" s="2" t="s">
        <v>2055</v>
      </c>
      <c r="C501" s="2" t="str">
        <f>sheet13[[#This Row],[Nombre]]&amp;sheet13[[#This Row],[Bp Id]]</f>
        <v>Sharepoint 2013ITM0051</v>
      </c>
      <c r="D501" s="2" t="str">
        <f>VLOOKUP(sheet13[[#This Row],[Columna1]],Sheet2!C:S,4,FALSE)</f>
        <v>No operativo</v>
      </c>
      <c r="E501" s="2"/>
      <c r="F501" s="2" t="s">
        <v>1788</v>
      </c>
      <c r="G501" s="2" t="s">
        <v>58</v>
      </c>
      <c r="H501" s="2" t="s">
        <v>34</v>
      </c>
      <c r="I501" s="2" t="s">
        <v>68</v>
      </c>
      <c r="J501" s="2" t="s">
        <v>236</v>
      </c>
      <c r="K501" s="2"/>
      <c r="L501" s="2" t="s">
        <v>234</v>
      </c>
      <c r="M501" s="2"/>
      <c r="N501" s="2" t="s">
        <v>2345</v>
      </c>
      <c r="O501" s="2"/>
      <c r="P501" s="2"/>
      <c r="Q501" s="2"/>
      <c r="R501" s="2"/>
      <c r="S501" s="2"/>
      <c r="T501" s="2"/>
      <c r="U501" s="2"/>
      <c r="V501" s="2"/>
      <c r="W501" s="3"/>
      <c r="X501" s="2"/>
      <c r="Y501" s="2"/>
      <c r="Z501" s="2"/>
      <c r="AA501" s="2"/>
      <c r="AB501" s="2"/>
      <c r="AC501" s="2"/>
      <c r="AD501" s="2"/>
      <c r="AE501" s="2"/>
    </row>
    <row r="502" spans="1:31" ht="38.450000000000003">
      <c r="A502" s="2" t="s">
        <v>2059</v>
      </c>
      <c r="B502" s="2" t="s">
        <v>2060</v>
      </c>
      <c r="C502" s="2" t="str">
        <f>sheet13[[#This Row],[Nombre]]&amp;sheet13[[#This Row],[Bp Id]]</f>
        <v>Citrix MetaframeITM0005</v>
      </c>
      <c r="D502" s="2" t="str">
        <f>VLOOKUP(sheet13[[#This Row],[Columna1]],Sheet2!C:S,4,FALSE)</f>
        <v>Retirado</v>
      </c>
      <c r="E502" s="2"/>
      <c r="F502" s="2" t="s">
        <v>47</v>
      </c>
      <c r="G502" s="2" t="s">
        <v>48</v>
      </c>
      <c r="H502" s="2" t="s">
        <v>34</v>
      </c>
      <c r="I502" s="2" t="s">
        <v>68</v>
      </c>
      <c r="J502" s="2" t="s">
        <v>236</v>
      </c>
      <c r="K502" s="2"/>
      <c r="L502" s="2"/>
      <c r="M502" s="2"/>
      <c r="N502" s="2" t="s">
        <v>2345</v>
      </c>
      <c r="O502" s="2"/>
      <c r="P502" s="2"/>
      <c r="Q502" s="2"/>
      <c r="R502" s="2"/>
      <c r="S502" s="2"/>
      <c r="T502" s="2"/>
      <c r="U502" s="2"/>
      <c r="V502" s="2"/>
      <c r="W502" s="3"/>
      <c r="X502" s="2"/>
      <c r="Y502" s="2"/>
      <c r="Z502" s="2"/>
      <c r="AA502" s="2"/>
      <c r="AB502" s="2"/>
      <c r="AC502" s="2"/>
      <c r="AD502" s="2"/>
      <c r="AE502" s="2"/>
    </row>
    <row r="503" spans="1:31" ht="63.6">
      <c r="A503" s="2" t="s">
        <v>2056</v>
      </c>
      <c r="B503" s="2" t="s">
        <v>2057</v>
      </c>
      <c r="C503" s="2" t="str">
        <f>sheet13[[#This Row],[Nombre]]&amp;sheet13[[#This Row],[Bp Id]]</f>
        <v>Segmentación de ClientesCUS0023</v>
      </c>
      <c r="D503" s="2" t="str">
        <f>VLOOKUP(sheet13[[#This Row],[Columna1]],Sheet2!C:S,4,FALSE)</f>
        <v>Operativo</v>
      </c>
      <c r="E503" s="2"/>
      <c r="F503" s="2" t="s">
        <v>32</v>
      </c>
      <c r="G503" s="2" t="s">
        <v>48</v>
      </c>
      <c r="H503" s="2" t="s">
        <v>59</v>
      </c>
      <c r="I503" s="2" t="s">
        <v>1854</v>
      </c>
      <c r="J503" s="2" t="s">
        <v>88</v>
      </c>
      <c r="K503" s="2" t="s">
        <v>2058</v>
      </c>
      <c r="L503" s="2" t="s">
        <v>88</v>
      </c>
      <c r="M503" s="2" t="s">
        <v>39</v>
      </c>
      <c r="N503" s="2" t="s">
        <v>2343</v>
      </c>
      <c r="O503" s="2" t="s">
        <v>40</v>
      </c>
      <c r="P503" s="2"/>
      <c r="Q503" s="2"/>
      <c r="R503" s="2"/>
      <c r="S503" s="2"/>
      <c r="T503" s="2" t="s">
        <v>2344</v>
      </c>
      <c r="U503" s="2" t="s">
        <v>2345</v>
      </c>
      <c r="V503" s="2"/>
      <c r="W503" s="3"/>
      <c r="X503" s="2"/>
      <c r="Y503" s="2"/>
      <c r="Z503" s="2"/>
      <c r="AA503" s="2"/>
      <c r="AB503" s="2"/>
      <c r="AC503" s="2"/>
      <c r="AD503" s="2"/>
      <c r="AE503" s="2"/>
    </row>
    <row r="504" spans="1:31" ht="63.6">
      <c r="A504" s="2" t="s">
        <v>2061</v>
      </c>
      <c r="B504" s="2" t="s">
        <v>2062</v>
      </c>
      <c r="C504" s="2" t="str">
        <f>sheet13[[#This Row],[Nombre]]&amp;sheet13[[#This Row],[Bp Id]]</f>
        <v>Componentes de infraestructuraITM0100</v>
      </c>
      <c r="D504" s="2" t="str">
        <f>VLOOKUP(sheet13[[#This Row],[Columna1]],Sheet2!C:S,4,FALSE)</f>
        <v>Retirado</v>
      </c>
      <c r="E504" s="2"/>
      <c r="F504" s="2" t="s">
        <v>47</v>
      </c>
      <c r="G504" s="2" t="s">
        <v>48</v>
      </c>
      <c r="H504" s="2" t="s">
        <v>34</v>
      </c>
      <c r="I504" s="2" t="s">
        <v>68</v>
      </c>
      <c r="J504" s="2" t="s">
        <v>69</v>
      </c>
      <c r="K504" s="2" t="s">
        <v>69</v>
      </c>
      <c r="L504" s="2" t="s">
        <v>2063</v>
      </c>
      <c r="M504" s="2"/>
      <c r="N504" s="2" t="s">
        <v>2345</v>
      </c>
      <c r="O504" s="2"/>
      <c r="P504" s="2"/>
      <c r="Q504" s="2"/>
      <c r="R504" s="2"/>
      <c r="S504" s="2"/>
      <c r="T504" s="2"/>
      <c r="U504" s="2"/>
      <c r="V504" s="2"/>
      <c r="W504" s="3"/>
      <c r="X504" s="2"/>
      <c r="Y504" s="2"/>
      <c r="Z504" s="2"/>
      <c r="AA504" s="2"/>
      <c r="AB504" s="2"/>
      <c r="AC504" s="2"/>
      <c r="AD504" s="2"/>
      <c r="AE504" s="2"/>
    </row>
    <row r="505" spans="1:31" ht="51">
      <c r="A505" s="2" t="s">
        <v>2064</v>
      </c>
      <c r="B505" s="2" t="s">
        <v>2065</v>
      </c>
      <c r="C505" s="2" t="str">
        <f>sheet13[[#This Row],[Nombre]]&amp;sheet13[[#This Row],[Bp Id]]</f>
        <v>BaccambiosSUP0024</v>
      </c>
      <c r="D505" s="2" t="str">
        <f>VLOOKUP(sheet13[[#This Row],[Columna1]],Sheet2!C:S,4,FALSE)</f>
        <v>No operativo</v>
      </c>
      <c r="E505" s="2"/>
      <c r="F505" s="2" t="s">
        <v>1788</v>
      </c>
      <c r="G505" s="2" t="s">
        <v>48</v>
      </c>
      <c r="H505" s="2" t="s">
        <v>34</v>
      </c>
      <c r="I505" s="2" t="s">
        <v>921</v>
      </c>
      <c r="J505" s="2" t="s">
        <v>240</v>
      </c>
      <c r="K505" s="2"/>
      <c r="L505" s="2"/>
      <c r="M505" s="2"/>
      <c r="N505" s="2" t="s">
        <v>2345</v>
      </c>
      <c r="O505" s="2"/>
      <c r="P505" s="2"/>
      <c r="Q505" s="2"/>
      <c r="R505" s="2"/>
      <c r="S505" s="2"/>
      <c r="T505" s="2"/>
      <c r="U505" s="2"/>
      <c r="V505" s="2"/>
      <c r="W505" s="3"/>
      <c r="X505" s="2"/>
      <c r="Y505" s="2"/>
      <c r="Z505" s="2"/>
      <c r="AA505" s="2"/>
      <c r="AB505" s="2"/>
      <c r="AC505" s="2"/>
      <c r="AD505" s="2"/>
      <c r="AE505" s="2"/>
    </row>
    <row r="506" spans="1:31" ht="63.6">
      <c r="A506" s="2" t="s">
        <v>2066</v>
      </c>
      <c r="B506" s="2" t="s">
        <v>2067</v>
      </c>
      <c r="C506" s="2" t="str">
        <f>sheet13[[#This Row],[Nombre]]&amp;sheet13[[#This Row],[Bp Id]]</f>
        <v>StratioDAT0013</v>
      </c>
      <c r="D506" s="2" t="str">
        <f>VLOOKUP(sheet13[[#This Row],[Columna1]],Sheet2!C:S,4,FALSE)</f>
        <v>Operativo</v>
      </c>
      <c r="E506" s="2"/>
      <c r="F506" s="2" t="s">
        <v>32</v>
      </c>
      <c r="G506" s="2" t="s">
        <v>123</v>
      </c>
      <c r="H506" s="2" t="s">
        <v>59</v>
      </c>
      <c r="I506" s="2" t="s">
        <v>328</v>
      </c>
      <c r="J506" s="2" t="s">
        <v>329</v>
      </c>
      <c r="K506" s="2" t="s">
        <v>575</v>
      </c>
      <c r="L506" s="2" t="s">
        <v>575</v>
      </c>
      <c r="M506" s="2" t="s">
        <v>2369</v>
      </c>
      <c r="N506" s="2" t="s">
        <v>2343</v>
      </c>
      <c r="O506" s="2" t="s">
        <v>40</v>
      </c>
      <c r="P506" s="2"/>
      <c r="Q506" s="2"/>
      <c r="R506" s="2"/>
      <c r="S506" s="2"/>
      <c r="T506" s="2" t="s">
        <v>2344</v>
      </c>
      <c r="U506" s="2" t="s">
        <v>2345</v>
      </c>
      <c r="V506" s="2"/>
      <c r="W506" s="3"/>
      <c r="X506" s="2"/>
      <c r="Y506" s="2"/>
      <c r="Z506" s="2"/>
      <c r="AA506" s="2"/>
      <c r="AB506" s="2"/>
      <c r="AC506" s="2"/>
      <c r="AD506" s="2"/>
      <c r="AE506" s="2"/>
    </row>
    <row r="507" spans="1:31" ht="51">
      <c r="A507" s="2" t="s">
        <v>2069</v>
      </c>
      <c r="B507" s="2" t="s">
        <v>2070</v>
      </c>
      <c r="C507" s="2" t="str">
        <f>sheet13[[#This Row],[Nombre]]&amp;sheet13[[#This Row],[Bp Id]]</f>
        <v>MAC-LogiflowPRD0059</v>
      </c>
      <c r="D507" s="2" t="str">
        <f>VLOOKUP(sheet13[[#This Row],[Columna1]],Sheet2!C:S,4,FALSE)</f>
        <v>Retirado</v>
      </c>
      <c r="E507" s="2"/>
      <c r="F507" s="2" t="s">
        <v>47</v>
      </c>
      <c r="G507" s="2" t="s">
        <v>48</v>
      </c>
      <c r="H507" s="2" t="s">
        <v>34</v>
      </c>
      <c r="I507" s="2" t="s">
        <v>553</v>
      </c>
      <c r="J507" s="2" t="s">
        <v>554</v>
      </c>
      <c r="K507" s="2"/>
      <c r="L507" s="2" t="s">
        <v>110</v>
      </c>
      <c r="M507" s="2"/>
      <c r="N507" s="2" t="s">
        <v>2345</v>
      </c>
      <c r="O507" s="2"/>
      <c r="P507" s="2"/>
      <c r="Q507" s="2"/>
      <c r="R507" s="2"/>
      <c r="S507" s="2"/>
      <c r="T507" s="2"/>
      <c r="U507" s="2"/>
      <c r="V507" s="2"/>
      <c r="W507" s="3"/>
      <c r="X507" s="2"/>
      <c r="Y507" s="2"/>
      <c r="Z507" s="2"/>
      <c r="AA507" s="2"/>
      <c r="AB507" s="2"/>
      <c r="AC507" s="2"/>
      <c r="AD507" s="2"/>
      <c r="AE507" s="2"/>
    </row>
    <row r="508" spans="1:31" ht="51">
      <c r="A508" s="2" t="s">
        <v>2071</v>
      </c>
      <c r="B508" s="2" t="s">
        <v>2072</v>
      </c>
      <c r="C508" s="2" t="str">
        <f>sheet13[[#This Row],[Nombre]]&amp;sheet13[[#This Row],[Bp Id]]</f>
        <v>EDCManagerCHL0016</v>
      </c>
      <c r="D508" s="2" t="str">
        <f>VLOOKUP(sheet13[[#This Row],[Columna1]],Sheet2!C:S,4,FALSE)</f>
        <v>Retirado</v>
      </c>
      <c r="E508" s="2"/>
      <c r="F508" s="2" t="s">
        <v>47</v>
      </c>
      <c r="G508" s="2" t="s">
        <v>76</v>
      </c>
      <c r="H508" s="2" t="s">
        <v>34</v>
      </c>
      <c r="I508" s="2" t="s">
        <v>35</v>
      </c>
      <c r="J508" s="2" t="s">
        <v>349</v>
      </c>
      <c r="K508" s="2"/>
      <c r="L508" s="2"/>
      <c r="M508" s="2"/>
      <c r="N508" s="2" t="s">
        <v>2345</v>
      </c>
      <c r="O508" s="2"/>
      <c r="P508" s="2"/>
      <c r="Q508" s="2"/>
      <c r="R508" s="2"/>
      <c r="S508" s="2"/>
      <c r="T508" s="2"/>
      <c r="U508" s="2"/>
      <c r="V508" s="2"/>
      <c r="W508" s="3"/>
      <c r="X508" s="2"/>
      <c r="Y508" s="2"/>
      <c r="Z508" s="2"/>
      <c r="AA508" s="2"/>
      <c r="AB508" s="2"/>
      <c r="AC508" s="2"/>
      <c r="AD508" s="2"/>
      <c r="AE508" s="2"/>
    </row>
    <row r="509" spans="1:31" ht="51">
      <c r="A509" s="2" t="s">
        <v>2073</v>
      </c>
      <c r="B509" s="2" t="s">
        <v>2074</v>
      </c>
      <c r="C509" s="2" t="str">
        <f>sheet13[[#This Row],[Nombre]]&amp;sheet13[[#This Row],[Bp Id]]</f>
        <v>SteadybitITM0117</v>
      </c>
      <c r="D509" s="2" t="str">
        <f>VLOOKUP(sheet13[[#This Row],[Columna1]],Sheet2!C:S,4,FALSE)</f>
        <v>Operativo</v>
      </c>
      <c r="E509" s="2"/>
      <c r="F509" s="2" t="s">
        <v>32</v>
      </c>
      <c r="G509" s="2" t="s">
        <v>48</v>
      </c>
      <c r="H509" s="2" t="s">
        <v>59</v>
      </c>
      <c r="I509" s="2" t="s">
        <v>449</v>
      </c>
      <c r="J509" s="2" t="s">
        <v>450</v>
      </c>
      <c r="K509" s="2" t="s">
        <v>1910</v>
      </c>
      <c r="L509" s="2" t="s">
        <v>1910</v>
      </c>
      <c r="M509" s="2"/>
      <c r="N509" s="2" t="s">
        <v>2343</v>
      </c>
      <c r="O509" s="2" t="s">
        <v>40</v>
      </c>
      <c r="P509" s="2"/>
      <c r="Q509" s="2"/>
      <c r="R509" s="2"/>
      <c r="S509" s="2"/>
      <c r="T509" s="2" t="s">
        <v>2344</v>
      </c>
      <c r="U509" s="2" t="s">
        <v>2345</v>
      </c>
      <c r="V509" s="2"/>
      <c r="W509" s="3"/>
      <c r="X509" s="2"/>
      <c r="Y509" s="2"/>
      <c r="Z509" s="2"/>
      <c r="AA509" s="2"/>
      <c r="AB509" s="2"/>
      <c r="AC509" s="2"/>
      <c r="AD509" s="2"/>
      <c r="AE509" s="2"/>
    </row>
    <row r="510" spans="1:31" ht="63.6">
      <c r="A510" s="2" t="s">
        <v>2075</v>
      </c>
      <c r="B510" s="2" t="s">
        <v>2076</v>
      </c>
      <c r="C510" s="2" t="str">
        <f>sheet13[[#This Row],[Nombre]]&amp;sheet13[[#This Row],[Bp Id]]</f>
        <v>SAS Customer AnalyticsDAT0009</v>
      </c>
      <c r="D510" s="2" t="str">
        <f>VLOOKUP(sheet13[[#This Row],[Columna1]],Sheet2!C:S,4,FALSE)</f>
        <v>Retirado</v>
      </c>
      <c r="E510" s="2"/>
      <c r="F510" s="2" t="s">
        <v>47</v>
      </c>
      <c r="G510" s="2" t="s">
        <v>58</v>
      </c>
      <c r="H510" s="2" t="s">
        <v>34</v>
      </c>
      <c r="I510" s="2" t="s">
        <v>328</v>
      </c>
      <c r="J510" s="2" t="s">
        <v>329</v>
      </c>
      <c r="K510" s="2"/>
      <c r="L510" s="2" t="s">
        <v>647</v>
      </c>
      <c r="M510" s="2"/>
      <c r="N510" s="2" t="s">
        <v>2345</v>
      </c>
      <c r="O510" s="2"/>
      <c r="P510" s="2"/>
      <c r="Q510" s="2"/>
      <c r="R510" s="2"/>
      <c r="S510" s="2"/>
      <c r="T510" s="2"/>
      <c r="U510" s="2"/>
      <c r="V510" s="2"/>
      <c r="W510" s="3"/>
      <c r="X510" s="2"/>
      <c r="Y510" s="2"/>
      <c r="Z510" s="2"/>
      <c r="AA510" s="2"/>
      <c r="AB510" s="2"/>
      <c r="AC510" s="2"/>
      <c r="AD510" s="2"/>
      <c r="AE510" s="2"/>
    </row>
    <row r="511" spans="1:31" ht="51">
      <c r="A511" s="2" t="s">
        <v>2077</v>
      </c>
      <c r="B511" s="2" t="s">
        <v>2078</v>
      </c>
      <c r="C511" s="2" t="str">
        <f>sheet13[[#This Row],[Nombre]]&amp;sheet13[[#This Row],[Bp Id]]</f>
        <v>SHORISUP0070</v>
      </c>
      <c r="D511" s="2" t="str">
        <f>VLOOKUP(sheet13[[#This Row],[Columna1]],Sheet2!C:S,4,FALSE)</f>
        <v>Operativo</v>
      </c>
      <c r="E511" s="2"/>
      <c r="F511" s="2" t="s">
        <v>32</v>
      </c>
      <c r="G511" s="2" t="s">
        <v>48</v>
      </c>
      <c r="H511" s="2" t="s">
        <v>59</v>
      </c>
      <c r="I511" s="2" t="s">
        <v>225</v>
      </c>
      <c r="J511" s="2" t="s">
        <v>226</v>
      </c>
      <c r="K511" s="2" t="s">
        <v>1779</v>
      </c>
      <c r="L511" s="2" t="s">
        <v>228</v>
      </c>
      <c r="M511" s="2"/>
      <c r="N511" s="2" t="s">
        <v>2343</v>
      </c>
      <c r="O511" s="2" t="s">
        <v>40</v>
      </c>
      <c r="P511" s="2"/>
      <c r="Q511" s="2"/>
      <c r="R511" s="2"/>
      <c r="S511" s="2"/>
      <c r="T511" s="2" t="s">
        <v>2344</v>
      </c>
      <c r="U511" s="2" t="s">
        <v>2345</v>
      </c>
      <c r="V511" s="2"/>
      <c r="W511" s="3"/>
      <c r="X511" s="2"/>
      <c r="Y511" s="2"/>
      <c r="Z511" s="2"/>
      <c r="AA511" s="2"/>
      <c r="AB511" s="2"/>
      <c r="AC511" s="2"/>
      <c r="AD511" s="2"/>
      <c r="AE511" s="2"/>
    </row>
    <row r="512" spans="1:31" ht="63.6">
      <c r="A512" s="2" t="s">
        <v>2079</v>
      </c>
      <c r="B512" s="2" t="s">
        <v>2080</v>
      </c>
      <c r="C512" s="2" t="str">
        <f>sheet13[[#This Row],[Nombre]]&amp;sheet13[[#This Row],[Bp Id]]</f>
        <v>Componentes CloudITM0097</v>
      </c>
      <c r="D512" s="2" t="str">
        <f>VLOOKUP(sheet13[[#This Row],[Columna1]],Sheet2!C:S,4,FALSE)</f>
        <v>Operativo</v>
      </c>
      <c r="E512" s="2"/>
      <c r="F512" s="2" t="s">
        <v>32</v>
      </c>
      <c r="G512" s="2" t="s">
        <v>48</v>
      </c>
      <c r="H512" s="2" t="s">
        <v>59</v>
      </c>
      <c r="I512" s="2" t="s">
        <v>68</v>
      </c>
      <c r="J512" s="2" t="s">
        <v>69</v>
      </c>
      <c r="K512" s="2" t="s">
        <v>521</v>
      </c>
      <c r="L512" s="2" t="s">
        <v>522</v>
      </c>
      <c r="M512" s="2" t="s">
        <v>2368</v>
      </c>
      <c r="N512" s="2" t="s">
        <v>2343</v>
      </c>
      <c r="O512" s="2" t="s">
        <v>40</v>
      </c>
      <c r="P512" s="2"/>
      <c r="Q512" s="2"/>
      <c r="R512" s="2"/>
      <c r="S512" s="2"/>
      <c r="T512" s="2" t="s">
        <v>2344</v>
      </c>
      <c r="U512" s="2" t="s">
        <v>2345</v>
      </c>
      <c r="V512" s="2"/>
      <c r="W512" s="3"/>
      <c r="X512" s="2"/>
      <c r="Y512" s="2"/>
      <c r="Z512" s="2"/>
      <c r="AA512" s="2"/>
      <c r="AB512" s="2"/>
      <c r="AC512" s="2"/>
      <c r="AD512" s="2"/>
      <c r="AE512" s="2"/>
    </row>
    <row r="513" spans="1:31" ht="51">
      <c r="A513" s="2" t="s">
        <v>2081</v>
      </c>
      <c r="B513" s="2" t="s">
        <v>2082</v>
      </c>
      <c r="C513" s="2" t="str">
        <f>sheet13[[#This Row],[Nombre]]&amp;sheet13[[#This Row],[Bp Id]]</f>
        <v>Sistema de Evaluación CrediticiaPRD0057</v>
      </c>
      <c r="D513" s="2" t="str">
        <f>VLOOKUP(sheet13[[#This Row],[Columna1]],Sheet2!C:S,4,FALSE)</f>
        <v>No operativo</v>
      </c>
      <c r="E513" s="2"/>
      <c r="F513" s="2" t="s">
        <v>1788</v>
      </c>
      <c r="G513" s="2" t="s">
        <v>48</v>
      </c>
      <c r="H513" s="2" t="s">
        <v>34</v>
      </c>
      <c r="I513" s="2" t="s">
        <v>309</v>
      </c>
      <c r="J513" s="2" t="s">
        <v>310</v>
      </c>
      <c r="K513" s="2"/>
      <c r="L513" s="2"/>
      <c r="M513" s="2"/>
      <c r="N513" s="2" t="s">
        <v>2345</v>
      </c>
      <c r="O513" s="2"/>
      <c r="P513" s="2"/>
      <c r="Q513" s="2"/>
      <c r="R513" s="2"/>
      <c r="S513" s="2"/>
      <c r="T513" s="2"/>
      <c r="U513" s="2"/>
      <c r="V513" s="2"/>
      <c r="W513" s="3"/>
      <c r="X513" s="2"/>
      <c r="Y513" s="2"/>
      <c r="Z513" s="2"/>
      <c r="AA513" s="2"/>
      <c r="AB513" s="2"/>
      <c r="AC513" s="2"/>
      <c r="AD513" s="2"/>
      <c r="AE513" s="2"/>
    </row>
    <row r="514" spans="1:31" ht="63.6">
      <c r="A514" s="2" t="s">
        <v>2083</v>
      </c>
      <c r="B514" s="2" t="s">
        <v>2084</v>
      </c>
      <c r="C514" s="2" t="str">
        <f>sheet13[[#This Row],[Nombre]]&amp;sheet13[[#This Row],[Bp Id]]</f>
        <v>Guia de visitasPRD0019</v>
      </c>
      <c r="D514" s="2" t="str">
        <f>VLOOKUP(sheet13[[#This Row],[Columna1]],Sheet2!C:S,4,FALSE)</f>
        <v>Retirado</v>
      </c>
      <c r="E514" s="2"/>
      <c r="F514" s="2" t="s">
        <v>47</v>
      </c>
      <c r="G514" s="2" t="s">
        <v>48</v>
      </c>
      <c r="H514" s="2" t="s">
        <v>59</v>
      </c>
      <c r="I514" s="2" t="s">
        <v>553</v>
      </c>
      <c r="J514" s="2" t="s">
        <v>554</v>
      </c>
      <c r="K514" s="2"/>
      <c r="L514" s="2" t="s">
        <v>88</v>
      </c>
      <c r="M514" s="2"/>
      <c r="N514" s="2" t="s">
        <v>2345</v>
      </c>
      <c r="O514" s="2"/>
      <c r="P514" s="2"/>
      <c r="Q514" s="2"/>
      <c r="R514" s="2"/>
      <c r="S514" s="2"/>
      <c r="T514" s="2"/>
      <c r="U514" s="2"/>
      <c r="V514" s="2"/>
      <c r="W514" s="3"/>
      <c r="X514" s="2"/>
      <c r="Y514" s="2"/>
      <c r="Z514" s="2"/>
      <c r="AA514" s="2"/>
      <c r="AB514" s="2"/>
      <c r="AC514" s="2"/>
      <c r="AD514" s="2"/>
      <c r="AE514" s="2"/>
    </row>
    <row r="515" spans="1:31" ht="51">
      <c r="A515" s="2" t="s">
        <v>2085</v>
      </c>
      <c r="B515" s="2" t="s">
        <v>2086</v>
      </c>
      <c r="C515" s="2" t="str">
        <f>sheet13[[#This Row],[Nombre]]&amp;sheet13[[#This Row],[Bp Id]]</f>
        <v>Archivo DigitalTIE0001</v>
      </c>
      <c r="D515" s="2" t="str">
        <f>VLOOKUP(sheet13[[#This Row],[Columna1]],Sheet2!C:S,4,FALSE)</f>
        <v>Retirado</v>
      </c>
      <c r="E515" s="2"/>
      <c r="F515" s="2" t="s">
        <v>47</v>
      </c>
      <c r="G515" s="2" t="s">
        <v>48</v>
      </c>
      <c r="H515" s="2" t="s">
        <v>34</v>
      </c>
      <c r="I515" s="2" t="s">
        <v>487</v>
      </c>
      <c r="J515" s="2" t="s">
        <v>488</v>
      </c>
      <c r="K515" s="2"/>
      <c r="L515" s="2" t="s">
        <v>110</v>
      </c>
      <c r="M515" s="2"/>
      <c r="N515" s="2" t="s">
        <v>2345</v>
      </c>
      <c r="O515" s="2"/>
      <c r="P515" s="2"/>
      <c r="Q515" s="2"/>
      <c r="R515" s="2"/>
      <c r="S515" s="2"/>
      <c r="T515" s="2"/>
      <c r="U515" s="2"/>
      <c r="V515" s="2"/>
      <c r="W515" s="3"/>
      <c r="X515" s="2"/>
      <c r="Y515" s="2"/>
      <c r="Z515" s="2"/>
      <c r="AA515" s="2"/>
      <c r="AB515" s="2"/>
      <c r="AC515" s="2"/>
      <c r="AD515" s="2"/>
      <c r="AE515" s="2"/>
    </row>
    <row r="516" spans="1:31" ht="63.6">
      <c r="A516" s="2" t="s">
        <v>2087</v>
      </c>
      <c r="B516" s="2" t="s">
        <v>2088</v>
      </c>
      <c r="C516" s="2" t="str">
        <f>sheet13[[#This Row],[Nombre]]&amp;sheet13[[#This Row],[Bp Id]]</f>
        <v>Nutanix File AnalyticsITM0085</v>
      </c>
      <c r="D516" s="2" t="str">
        <f>VLOOKUP(sheet13[[#This Row],[Columna1]],Sheet2!C:S,4,FALSE)</f>
        <v>Operativo</v>
      </c>
      <c r="E516" s="2"/>
      <c r="F516" s="2" t="s">
        <v>32</v>
      </c>
      <c r="G516" s="2" t="s">
        <v>48</v>
      </c>
      <c r="H516" s="2" t="s">
        <v>34</v>
      </c>
      <c r="I516" s="2" t="s">
        <v>68</v>
      </c>
      <c r="J516" s="2" t="s">
        <v>69</v>
      </c>
      <c r="K516" s="2" t="s">
        <v>82</v>
      </c>
      <c r="L516" s="2" t="s">
        <v>1147</v>
      </c>
      <c r="M516" s="2" t="s">
        <v>52</v>
      </c>
      <c r="N516" s="2" t="s">
        <v>2343</v>
      </c>
      <c r="O516" s="2" t="s">
        <v>40</v>
      </c>
      <c r="P516" s="2"/>
      <c r="Q516" s="2"/>
      <c r="R516" s="2"/>
      <c r="S516" s="2"/>
      <c r="T516" s="2" t="s">
        <v>2344</v>
      </c>
      <c r="U516" s="2" t="s">
        <v>2345</v>
      </c>
      <c r="V516" s="2"/>
      <c r="W516" s="3"/>
      <c r="X516" s="2"/>
      <c r="Y516" s="2"/>
      <c r="Z516" s="2"/>
      <c r="AA516" s="2"/>
      <c r="AB516" s="2"/>
      <c r="AC516" s="2"/>
      <c r="AD516" s="2"/>
      <c r="AE516" s="2"/>
    </row>
    <row r="517" spans="1:31" ht="75.95">
      <c r="A517" s="2" t="s">
        <v>2089</v>
      </c>
      <c r="B517" s="2" t="s">
        <v>2090</v>
      </c>
      <c r="C517" s="2" t="str">
        <f>sheet13[[#This Row],[Nombre]]&amp;sheet13[[#This Row],[Bp Id]]</f>
        <v>Nuevo Crédito DistribuidorPRD0025</v>
      </c>
      <c r="D517" s="2" t="str">
        <f>VLOOKUP(sheet13[[#This Row],[Columna1]],Sheet2!C:S,4,FALSE)</f>
        <v>Retirado</v>
      </c>
      <c r="E517" s="2"/>
      <c r="F517" s="2" t="s">
        <v>47</v>
      </c>
      <c r="G517" s="2" t="s">
        <v>48</v>
      </c>
      <c r="H517" s="2" t="s">
        <v>59</v>
      </c>
      <c r="I517" s="2" t="s">
        <v>553</v>
      </c>
      <c r="J517" s="2" t="s">
        <v>554</v>
      </c>
      <c r="K517" s="2" t="s">
        <v>2091</v>
      </c>
      <c r="L517" s="2"/>
      <c r="M517" s="2"/>
      <c r="N517" s="2" t="s">
        <v>2345</v>
      </c>
      <c r="O517" s="2"/>
      <c r="P517" s="2"/>
      <c r="Q517" s="2"/>
      <c r="R517" s="2"/>
      <c r="S517" s="2"/>
      <c r="T517" s="2"/>
      <c r="U517" s="2"/>
      <c r="V517" s="2"/>
      <c r="W517" s="3"/>
      <c r="X517" s="2"/>
      <c r="Y517" s="2"/>
      <c r="Z517" s="2"/>
      <c r="AA517" s="2"/>
      <c r="AB517" s="2"/>
      <c r="AC517" s="2"/>
      <c r="AD517" s="2"/>
      <c r="AE517" s="2"/>
    </row>
    <row r="518" spans="1:31" ht="63.6">
      <c r="A518" s="2" t="s">
        <v>1878</v>
      </c>
      <c r="B518" s="2" t="s">
        <v>1879</v>
      </c>
      <c r="C518" s="2" t="str">
        <f>sheet13[[#This Row],[Nombre]]&amp;sheet13[[#This Row],[Bp Id]]</f>
        <v>Nutanix File ServerITM0107</v>
      </c>
      <c r="D518" s="2" t="str">
        <f>VLOOKUP(sheet13[[#This Row],[Columna1]],Sheet2!C:S,4,FALSE)</f>
        <v>Operativo</v>
      </c>
      <c r="E518" s="2"/>
      <c r="F518" s="2" t="s">
        <v>32</v>
      </c>
      <c r="G518" s="2" t="s">
        <v>48</v>
      </c>
      <c r="H518" s="2" t="s">
        <v>34</v>
      </c>
      <c r="I518" s="2" t="s">
        <v>68</v>
      </c>
      <c r="J518" s="2" t="s">
        <v>69</v>
      </c>
      <c r="K518" s="2" t="s">
        <v>82</v>
      </c>
      <c r="L518" s="2" t="s">
        <v>1147</v>
      </c>
      <c r="M518" s="2" t="s">
        <v>52</v>
      </c>
      <c r="N518" s="2" t="s">
        <v>2343</v>
      </c>
      <c r="O518" s="2" t="s">
        <v>40</v>
      </c>
      <c r="P518" s="2"/>
      <c r="Q518" s="2"/>
      <c r="R518" s="2"/>
      <c r="S518" s="2"/>
      <c r="T518" s="2" t="s">
        <v>2344</v>
      </c>
      <c r="U518" s="2" t="s">
        <v>2345</v>
      </c>
      <c r="V518" s="2"/>
      <c r="W518" s="3"/>
      <c r="X518" s="2"/>
      <c r="Y518" s="2"/>
      <c r="Z518" s="2"/>
      <c r="AA518" s="2"/>
      <c r="AB518" s="2"/>
      <c r="AC518" s="2"/>
      <c r="AD518" s="2"/>
      <c r="AE518" s="2"/>
    </row>
    <row r="519" spans="1:31" ht="63.6">
      <c r="A519" s="2" t="s">
        <v>2092</v>
      </c>
      <c r="B519" s="2" t="s">
        <v>2093</v>
      </c>
      <c r="C519" s="2" t="str">
        <f>sheet13[[#This Row],[Nombre]]&amp;sheet13[[#This Row],[Bp Id]]</f>
        <v>UanatacaITM0121</v>
      </c>
      <c r="D519" s="2" t="str">
        <f>VLOOKUP(sheet13[[#This Row],[Columna1]],Sheet2!C:S,4,FALSE)</f>
        <v>Operativo</v>
      </c>
      <c r="E519" s="2"/>
      <c r="F519" s="2" t="s">
        <v>32</v>
      </c>
      <c r="G519" s="2" t="s">
        <v>48</v>
      </c>
      <c r="H519" s="2" t="s">
        <v>59</v>
      </c>
      <c r="I519" s="2" t="s">
        <v>487</v>
      </c>
      <c r="J519" s="2" t="s">
        <v>666</v>
      </c>
      <c r="K519" s="2" t="s">
        <v>488</v>
      </c>
      <c r="L519" s="2" t="s">
        <v>490</v>
      </c>
      <c r="M519" s="2"/>
      <c r="N519" s="2" t="s">
        <v>2343</v>
      </c>
      <c r="O519" s="2" t="s">
        <v>40</v>
      </c>
      <c r="P519" s="2"/>
      <c r="Q519" s="2"/>
      <c r="R519" s="2"/>
      <c r="S519" s="2"/>
      <c r="T519" s="2" t="s">
        <v>2344</v>
      </c>
      <c r="U519" s="2" t="s">
        <v>2345</v>
      </c>
      <c r="V519" s="2"/>
      <c r="W519" s="3"/>
      <c r="X519" s="2"/>
      <c r="Y519" s="2"/>
      <c r="Z519" s="2"/>
      <c r="AA519" s="2"/>
      <c r="AB519" s="2"/>
      <c r="AC519" s="2"/>
      <c r="AD519" s="2"/>
      <c r="AE519" s="2"/>
    </row>
    <row r="520" spans="1:31" ht="51">
      <c r="A520" s="2" t="s">
        <v>2094</v>
      </c>
      <c r="B520" s="2" t="s">
        <v>2095</v>
      </c>
      <c r="C520" s="2" t="str">
        <f>sheet13[[#This Row],[Nombre]]&amp;sheet13[[#This Row],[Bp Id]]</f>
        <v>Azure Container RegistryITM0137</v>
      </c>
      <c r="D520" s="2" t="str">
        <f>VLOOKUP(sheet13[[#This Row],[Columna1]],Sheet2!C:S,4,FALSE)</f>
        <v>Operativo</v>
      </c>
      <c r="E520" s="2"/>
      <c r="F520" s="2" t="s">
        <v>32</v>
      </c>
      <c r="G520" s="2" t="s">
        <v>48</v>
      </c>
      <c r="H520" s="2" t="s">
        <v>59</v>
      </c>
      <c r="I520" s="2" t="s">
        <v>198</v>
      </c>
      <c r="J520" s="2" t="s">
        <v>199</v>
      </c>
      <c r="K520" s="2" t="s">
        <v>521</v>
      </c>
      <c r="L520" s="2" t="s">
        <v>242</v>
      </c>
      <c r="M520" s="2" t="s">
        <v>52</v>
      </c>
      <c r="N520" s="2" t="s">
        <v>2343</v>
      </c>
      <c r="O520" s="2" t="s">
        <v>40</v>
      </c>
      <c r="P520" s="2"/>
      <c r="Q520" s="2"/>
      <c r="R520" s="2"/>
      <c r="S520" s="2"/>
      <c r="T520" s="2" t="s">
        <v>2344</v>
      </c>
      <c r="U520" s="2" t="s">
        <v>2345</v>
      </c>
      <c r="V520" s="2"/>
      <c r="W520" s="3"/>
      <c r="X520" s="2"/>
      <c r="Y520" s="2"/>
      <c r="Z520" s="2"/>
      <c r="AA520" s="2"/>
      <c r="AB520" s="2"/>
      <c r="AC520" s="2"/>
      <c r="AD520" s="2"/>
      <c r="AE520" s="2"/>
    </row>
    <row r="521" spans="1:31" ht="75.95">
      <c r="A521" s="2" t="s">
        <v>2096</v>
      </c>
      <c r="B521" s="2" t="s">
        <v>2097</v>
      </c>
      <c r="C521" s="2" t="str">
        <f>sheet13[[#This Row],[Nombre]]&amp;sheet13[[#This Row],[Bp Id]]</f>
        <v>Tabla de Amortización DiferidosPRD0050</v>
      </c>
      <c r="D521" s="2" t="str">
        <f>VLOOKUP(sheet13[[#This Row],[Columna1]],Sheet2!C:S,4,FALSE)</f>
        <v>Retirado</v>
      </c>
      <c r="E521" s="2"/>
      <c r="F521" s="2" t="s">
        <v>47</v>
      </c>
      <c r="G521" s="2" t="s">
        <v>48</v>
      </c>
      <c r="H521" s="2" t="s">
        <v>34</v>
      </c>
      <c r="I521" s="2" t="s">
        <v>1086</v>
      </c>
      <c r="J521" s="2" t="s">
        <v>96</v>
      </c>
      <c r="K521" s="2"/>
      <c r="L521" s="2" t="s">
        <v>98</v>
      </c>
      <c r="M521" s="2"/>
      <c r="N521" s="2" t="s">
        <v>2345</v>
      </c>
      <c r="O521" s="2"/>
      <c r="P521" s="2"/>
      <c r="Q521" s="2"/>
      <c r="R521" s="2"/>
      <c r="S521" s="2"/>
      <c r="T521" s="2"/>
      <c r="U521" s="2"/>
      <c r="V521" s="2"/>
      <c r="W521" s="3"/>
      <c r="X521" s="2"/>
      <c r="Y521" s="2"/>
      <c r="Z521" s="2"/>
      <c r="AA521" s="2"/>
      <c r="AB521" s="2"/>
      <c r="AC521" s="2"/>
      <c r="AD521" s="2"/>
      <c r="AE521" s="2"/>
    </row>
    <row r="522" spans="1:31" ht="75.95">
      <c r="A522" s="2" t="s">
        <v>2100</v>
      </c>
      <c r="B522" s="2" t="s">
        <v>2101</v>
      </c>
      <c r="C522" s="2" t="str">
        <f>sheet13[[#This Row],[Nombre]]&amp;sheet13[[#This Row],[Bp Id]]</f>
        <v>Sistema de Cuadres y Conciliaciones (SCC)SUP0037</v>
      </c>
      <c r="D522" s="2" t="str">
        <f>VLOOKUP(sheet13[[#This Row],[Columna1]],Sheet2!C:S,4,FALSE)</f>
        <v>Operativo</v>
      </c>
      <c r="E522" s="2"/>
      <c r="F522" s="2" t="s">
        <v>32</v>
      </c>
      <c r="G522" s="2" t="s">
        <v>76</v>
      </c>
      <c r="H522" s="2" t="s">
        <v>34</v>
      </c>
      <c r="I522" s="2" t="s">
        <v>225</v>
      </c>
      <c r="J522" s="2" t="s">
        <v>226</v>
      </c>
      <c r="K522" s="2" t="s">
        <v>2102</v>
      </c>
      <c r="L522" s="2" t="s">
        <v>2017</v>
      </c>
      <c r="M522" s="2" t="s">
        <v>39</v>
      </c>
      <c r="N522" s="2" t="s">
        <v>2343</v>
      </c>
      <c r="O522" s="2" t="s">
        <v>40</v>
      </c>
      <c r="P522" s="2"/>
      <c r="Q522" s="2"/>
      <c r="R522" s="2"/>
      <c r="S522" s="2"/>
      <c r="T522" s="2" t="s">
        <v>2344</v>
      </c>
      <c r="U522" s="2" t="s">
        <v>2345</v>
      </c>
      <c r="V522" s="2"/>
      <c r="W522" s="3"/>
      <c r="X522" s="2"/>
      <c r="Y522" s="2"/>
      <c r="Z522" s="2"/>
      <c r="AA522" s="2"/>
      <c r="AB522" s="2"/>
      <c r="AC522" s="2"/>
      <c r="AD522" s="2"/>
      <c r="AE522" s="2"/>
    </row>
    <row r="523" spans="1:31" ht="51">
      <c r="A523" s="2" t="s">
        <v>621</v>
      </c>
      <c r="B523" s="2" t="s">
        <v>2098</v>
      </c>
      <c r="C523" s="2" t="str">
        <f>sheet13[[#This Row],[Nombre]]&amp;sheet13[[#This Row],[Bp Id]]</f>
        <v>Switch TransaccionalINT0018</v>
      </c>
      <c r="D523" s="2" t="str">
        <f>VLOOKUP(sheet13[[#This Row],[Columna1]],Sheet2!C:S,4,FALSE)</f>
        <v>Operativo</v>
      </c>
      <c r="E523" s="2"/>
      <c r="F523" s="2" t="s">
        <v>32</v>
      </c>
      <c r="G523" s="2" t="s">
        <v>123</v>
      </c>
      <c r="H523" s="2" t="s">
        <v>59</v>
      </c>
      <c r="I523" s="2" t="s">
        <v>49</v>
      </c>
      <c r="J523" s="2" t="s">
        <v>50</v>
      </c>
      <c r="K523" s="2" t="s">
        <v>340</v>
      </c>
      <c r="L523" s="2" t="s">
        <v>2099</v>
      </c>
      <c r="M523" s="2" t="s">
        <v>621</v>
      </c>
      <c r="N523" s="2" t="s">
        <v>2343</v>
      </c>
      <c r="O523" s="2" t="s">
        <v>40</v>
      </c>
      <c r="P523" s="2"/>
      <c r="Q523" s="2"/>
      <c r="R523" s="2"/>
      <c r="S523" s="2"/>
      <c r="T523" s="2" t="s">
        <v>2370</v>
      </c>
      <c r="U523" s="2" t="s">
        <v>2345</v>
      </c>
      <c r="V523" s="2"/>
      <c r="W523" s="3"/>
      <c r="X523" s="2"/>
      <c r="Y523" s="2"/>
      <c r="Z523" s="2"/>
      <c r="AA523" s="2"/>
      <c r="AB523" s="2"/>
      <c r="AC523" s="2"/>
      <c r="AD523" s="2"/>
      <c r="AE523" s="2"/>
    </row>
    <row r="524" spans="1:31" ht="63.6">
      <c r="A524" s="2" t="s">
        <v>2103</v>
      </c>
      <c r="B524" s="2" t="s">
        <v>2104</v>
      </c>
      <c r="C524" s="2" t="str">
        <f>sheet13[[#This Row],[Nombre]]&amp;sheet13[[#This Row],[Bp Id]]</f>
        <v>TDMDAT0016</v>
      </c>
      <c r="D524" s="2" t="str">
        <f>VLOOKUP(sheet13[[#This Row],[Columna1]],Sheet2!C:S,4,FALSE)</f>
        <v>Retirado</v>
      </c>
      <c r="E524" s="2"/>
      <c r="F524" s="2" t="s">
        <v>47</v>
      </c>
      <c r="G524" s="2" t="s">
        <v>48</v>
      </c>
      <c r="H524" s="2" t="s">
        <v>59</v>
      </c>
      <c r="I524" s="2" t="s">
        <v>328</v>
      </c>
      <c r="J524" s="2" t="s">
        <v>329</v>
      </c>
      <c r="K524" s="2" t="s">
        <v>2068</v>
      </c>
      <c r="L524" s="2" t="s">
        <v>90</v>
      </c>
      <c r="M524" s="2"/>
      <c r="N524" s="2" t="s">
        <v>2345</v>
      </c>
      <c r="O524" s="2"/>
      <c r="P524" s="2"/>
      <c r="Q524" s="2"/>
      <c r="R524" s="2"/>
      <c r="S524" s="2"/>
      <c r="T524" s="2"/>
      <c r="U524" s="2"/>
      <c r="V524" s="2"/>
      <c r="W524" s="3"/>
      <c r="X524" s="2"/>
      <c r="Y524" s="2"/>
      <c r="Z524" s="2"/>
      <c r="AA524" s="2"/>
      <c r="AB524" s="2"/>
      <c r="AC524" s="2"/>
      <c r="AD524" s="2"/>
      <c r="AE524" s="2"/>
    </row>
    <row r="525" spans="1:31" ht="75.95">
      <c r="A525" s="2" t="s">
        <v>2105</v>
      </c>
      <c r="B525" s="2" t="s">
        <v>2106</v>
      </c>
      <c r="C525" s="2" t="str">
        <f>sheet13[[#This Row],[Nombre]]&amp;sheet13[[#This Row],[Bp Id]]</f>
        <v>Financiamiento EmpresasPRD0072</v>
      </c>
      <c r="D525" s="2" t="str">
        <f>VLOOKUP(sheet13[[#This Row],[Columna1]],Sheet2!C:S,4,FALSE)</f>
        <v>Operativo</v>
      </c>
      <c r="E525" s="2"/>
      <c r="F525" s="2" t="s">
        <v>32</v>
      </c>
      <c r="G525" s="2" t="s">
        <v>48</v>
      </c>
      <c r="H525" s="2" t="s">
        <v>59</v>
      </c>
      <c r="I525" s="2" t="s">
        <v>95</v>
      </c>
      <c r="J525" s="2" t="s">
        <v>96</v>
      </c>
      <c r="K525" s="2" t="s">
        <v>1726</v>
      </c>
      <c r="L525" s="2" t="s">
        <v>98</v>
      </c>
      <c r="M525" s="2"/>
      <c r="N525" s="2" t="s">
        <v>2343</v>
      </c>
      <c r="O525" s="2" t="s">
        <v>40</v>
      </c>
      <c r="P525" s="2"/>
      <c r="Q525" s="2"/>
      <c r="R525" s="2"/>
      <c r="S525" s="2"/>
      <c r="T525" s="2" t="s">
        <v>2344</v>
      </c>
      <c r="U525" s="2" t="s">
        <v>2345</v>
      </c>
      <c r="V525" s="2"/>
      <c r="W525" s="3"/>
      <c r="X525" s="2"/>
      <c r="Y525" s="2"/>
      <c r="Z525" s="2"/>
      <c r="AA525" s="2"/>
      <c r="AB525" s="2"/>
      <c r="AC525" s="2"/>
      <c r="AD525" s="2"/>
      <c r="AE525" s="2"/>
    </row>
    <row r="526" spans="1:31" ht="51">
      <c r="A526" s="2" t="s">
        <v>2107</v>
      </c>
      <c r="B526" s="2" t="s">
        <v>2108</v>
      </c>
      <c r="C526" s="2" t="str">
        <f>sheet13[[#This Row],[Nombre]]&amp;sheet13[[#This Row],[Bp Id]]</f>
        <v>CUADRE RECAUDACIONSUP0026</v>
      </c>
      <c r="D526" s="2" t="str">
        <f>VLOOKUP(sheet13[[#This Row],[Columna1]],Sheet2!C:S,4,FALSE)</f>
        <v>Retirado</v>
      </c>
      <c r="E526" s="2"/>
      <c r="F526" s="2" t="s">
        <v>47</v>
      </c>
      <c r="G526" s="2" t="s">
        <v>48</v>
      </c>
      <c r="H526" s="2" t="s">
        <v>34</v>
      </c>
      <c r="I526" s="2" t="s">
        <v>225</v>
      </c>
      <c r="J526" s="2" t="s">
        <v>226</v>
      </c>
      <c r="K526" s="2"/>
      <c r="L526" s="2" t="s">
        <v>2017</v>
      </c>
      <c r="M526" s="2"/>
      <c r="N526" s="2" t="s">
        <v>2345</v>
      </c>
      <c r="O526" s="2"/>
      <c r="P526" s="2"/>
      <c r="Q526" s="2"/>
      <c r="R526" s="2"/>
      <c r="S526" s="2"/>
      <c r="T526" s="2"/>
      <c r="U526" s="2"/>
      <c r="V526" s="2"/>
      <c r="W526" s="3"/>
      <c r="X526" s="2"/>
      <c r="Y526" s="2"/>
      <c r="Z526" s="2"/>
      <c r="AA526" s="2"/>
      <c r="AB526" s="2"/>
      <c r="AC526" s="2"/>
      <c r="AD526" s="2"/>
      <c r="AE526" s="2"/>
    </row>
    <row r="527" spans="1:31" ht="51">
      <c r="A527" s="2" t="s">
        <v>2109</v>
      </c>
      <c r="B527" s="2" t="s">
        <v>2110</v>
      </c>
      <c r="C527" s="2" t="str">
        <f>sheet13[[#This Row],[Nombre]]&amp;sheet13[[#This Row],[Bp Id]]</f>
        <v>CICCHL0011</v>
      </c>
      <c r="D527" s="2" t="str">
        <f>VLOOKUP(sheet13[[#This Row],[Columna1]],Sheet2!C:S,4,FALSE)</f>
        <v>Retirado</v>
      </c>
      <c r="E527" s="2"/>
      <c r="F527" s="2" t="s">
        <v>47</v>
      </c>
      <c r="G527" s="2" t="s">
        <v>123</v>
      </c>
      <c r="H527" s="2" t="s">
        <v>34</v>
      </c>
      <c r="I527" s="2" t="s">
        <v>35</v>
      </c>
      <c r="J527" s="2" t="s">
        <v>349</v>
      </c>
      <c r="K527" s="2" t="s">
        <v>2111</v>
      </c>
      <c r="L527" s="2" t="s">
        <v>517</v>
      </c>
      <c r="M527" s="2"/>
      <c r="N527" s="2" t="s">
        <v>2345</v>
      </c>
      <c r="O527" s="2"/>
      <c r="P527" s="2"/>
      <c r="Q527" s="2"/>
      <c r="R527" s="2"/>
      <c r="S527" s="2"/>
      <c r="T527" s="2"/>
      <c r="U527" s="2"/>
      <c r="V527" s="2"/>
      <c r="W527" s="3"/>
      <c r="X527" s="2"/>
      <c r="Y527" s="2"/>
      <c r="Z527" s="2"/>
      <c r="AA527" s="2"/>
      <c r="AB527" s="2"/>
      <c r="AC527" s="2"/>
      <c r="AD527" s="2"/>
      <c r="AE527" s="2"/>
    </row>
    <row r="528" spans="1:31" ht="75.95">
      <c r="A528" s="2" t="s">
        <v>2112</v>
      </c>
      <c r="B528" s="2" t="s">
        <v>2113</v>
      </c>
      <c r="C528" s="2" t="str">
        <f>sheet13[[#This Row],[Nombre]]&amp;sheet13[[#This Row],[Bp Id]]</f>
        <v>Hub SegurosPRD0067</v>
      </c>
      <c r="D528" s="2" t="str">
        <f>VLOOKUP(sheet13[[#This Row],[Columna1]],Sheet2!C:S,4,FALSE)</f>
        <v>Operativo</v>
      </c>
      <c r="E528" s="2"/>
      <c r="F528" s="2" t="s">
        <v>32</v>
      </c>
      <c r="G528" s="2" t="s">
        <v>48</v>
      </c>
      <c r="H528" s="2" t="s">
        <v>59</v>
      </c>
      <c r="I528" s="2" t="s">
        <v>167</v>
      </c>
      <c r="J528" s="2" t="s">
        <v>96</v>
      </c>
      <c r="K528" s="2" t="s">
        <v>2114</v>
      </c>
      <c r="L528" s="2" t="s">
        <v>508</v>
      </c>
      <c r="M528" s="2"/>
      <c r="N528" s="2" t="s">
        <v>2343</v>
      </c>
      <c r="O528" s="2" t="s">
        <v>40</v>
      </c>
      <c r="P528" s="2"/>
      <c r="Q528" s="2"/>
      <c r="R528" s="2"/>
      <c r="S528" s="2"/>
      <c r="T528" s="2" t="s">
        <v>2344</v>
      </c>
      <c r="U528" s="2" t="s">
        <v>2345</v>
      </c>
      <c r="V528" s="2"/>
      <c r="W528" s="3"/>
      <c r="X528" s="2"/>
      <c r="Y528" s="2"/>
      <c r="Z528" s="2"/>
      <c r="AA528" s="2"/>
      <c r="AB528" s="2"/>
      <c r="AC528" s="2"/>
      <c r="AD528" s="2"/>
      <c r="AE528" s="2"/>
    </row>
    <row r="529" spans="1:31" ht="51">
      <c r="A529" s="2" t="s">
        <v>2115</v>
      </c>
      <c r="B529" s="2" t="s">
        <v>2116</v>
      </c>
      <c r="C529" s="2" t="str">
        <f>sheet13[[#This Row],[Nombre]]&amp;sheet13[[#This Row],[Bp Id]]</f>
        <v>IrusRiskITM0147</v>
      </c>
      <c r="D529" s="2" t="str">
        <f>VLOOKUP(sheet13[[#This Row],[Columna1]],Sheet2!C:S,4,FALSE)</f>
        <v>Operativo</v>
      </c>
      <c r="E529" s="2"/>
      <c r="F529" s="2" t="s">
        <v>32</v>
      </c>
      <c r="G529" s="2" t="s">
        <v>48</v>
      </c>
      <c r="H529" s="2" t="s">
        <v>59</v>
      </c>
      <c r="I529" s="2" t="s">
        <v>2346</v>
      </c>
      <c r="J529" s="2" t="s">
        <v>1974</v>
      </c>
      <c r="K529" s="2" t="s">
        <v>2117</v>
      </c>
      <c r="L529" s="2" t="s">
        <v>1435</v>
      </c>
      <c r="M529" s="2"/>
      <c r="N529" s="2" t="s">
        <v>2343</v>
      </c>
      <c r="O529" s="2" t="s">
        <v>40</v>
      </c>
      <c r="P529" s="2"/>
      <c r="Q529" s="2"/>
      <c r="R529" s="2"/>
      <c r="S529" s="2"/>
      <c r="T529" s="2" t="s">
        <v>2344</v>
      </c>
      <c r="U529" s="2" t="s">
        <v>2345</v>
      </c>
      <c r="V529" s="2"/>
      <c r="W529" s="3"/>
      <c r="X529" s="2"/>
      <c r="Y529" s="2"/>
      <c r="Z529" s="2"/>
      <c r="AA529" s="2"/>
      <c r="AB529" s="2"/>
      <c r="AC529" s="2"/>
      <c r="AD529" s="2"/>
      <c r="AE529" s="2"/>
    </row>
    <row r="530" spans="1:31" ht="51">
      <c r="A530" s="2" t="s">
        <v>2118</v>
      </c>
      <c r="B530" s="2" t="s">
        <v>2119</v>
      </c>
      <c r="C530" s="2" t="str">
        <f>sheet13[[#This Row],[Nombre]]&amp;sheet13[[#This Row],[Bp Id]]</f>
        <v>WARiesgosRIS0014</v>
      </c>
      <c r="D530" s="2" t="str">
        <f>VLOOKUP(sheet13[[#This Row],[Columna1]],Sheet2!C:S,4,FALSE)</f>
        <v>Retirado</v>
      </c>
      <c r="E530" s="2"/>
      <c r="F530" s="2" t="s">
        <v>47</v>
      </c>
      <c r="G530" s="2" t="s">
        <v>48</v>
      </c>
      <c r="H530" s="2" t="s">
        <v>34</v>
      </c>
      <c r="I530" s="2" t="s">
        <v>320</v>
      </c>
      <c r="J530" s="2" t="s">
        <v>321</v>
      </c>
      <c r="K530" s="2" t="s">
        <v>322</v>
      </c>
      <c r="L530" s="2" t="s">
        <v>595</v>
      </c>
      <c r="M530" s="2"/>
      <c r="N530" s="2" t="s">
        <v>2345</v>
      </c>
      <c r="O530" s="2"/>
      <c r="P530" s="2"/>
      <c r="Q530" s="2"/>
      <c r="R530" s="2"/>
      <c r="S530" s="2"/>
      <c r="T530" s="2"/>
      <c r="U530" s="2"/>
      <c r="V530" s="2"/>
      <c r="W530" s="3"/>
      <c r="X530" s="2"/>
      <c r="Y530" s="2"/>
      <c r="Z530" s="2"/>
      <c r="AA530" s="2"/>
      <c r="AB530" s="2"/>
      <c r="AC530" s="2"/>
      <c r="AD530" s="2"/>
      <c r="AE530" s="2"/>
    </row>
    <row r="531" spans="1:31" ht="63.6">
      <c r="A531" s="2" t="s">
        <v>2120</v>
      </c>
      <c r="B531" s="2" t="s">
        <v>2121</v>
      </c>
      <c r="C531" s="2" t="str">
        <f>sheet13[[#This Row],[Nombre]]&amp;sheet13[[#This Row],[Bp Id]]</f>
        <v>Educación FinancieraCUS0022</v>
      </c>
      <c r="D531" s="2" t="str">
        <f>VLOOKUP(sheet13[[#This Row],[Columna1]],Sheet2!C:S,4,FALSE)</f>
        <v>Operativo</v>
      </c>
      <c r="E531" s="2"/>
      <c r="F531" s="2" t="s">
        <v>32</v>
      </c>
      <c r="G531" s="2" t="s">
        <v>48</v>
      </c>
      <c r="H531" s="2" t="s">
        <v>59</v>
      </c>
      <c r="I531" s="2" t="s">
        <v>87</v>
      </c>
      <c r="J531" s="2" t="s">
        <v>88</v>
      </c>
      <c r="K531" s="2" t="s">
        <v>2122</v>
      </c>
      <c r="L531" s="2" t="s">
        <v>88</v>
      </c>
      <c r="M531" s="2"/>
      <c r="N531" s="2" t="s">
        <v>2343</v>
      </c>
      <c r="O531" s="2" t="s">
        <v>40</v>
      </c>
      <c r="P531" s="2"/>
      <c r="Q531" s="2"/>
      <c r="R531" s="2"/>
      <c r="S531" s="2"/>
      <c r="T531" s="2" t="s">
        <v>2344</v>
      </c>
      <c r="U531" s="2" t="s">
        <v>2345</v>
      </c>
      <c r="V531" s="2"/>
      <c r="W531" s="3"/>
      <c r="X531" s="2"/>
      <c r="Y531" s="2"/>
      <c r="Z531" s="2"/>
      <c r="AA531" s="2"/>
      <c r="AB531" s="2"/>
      <c r="AC531" s="2"/>
      <c r="AD531" s="2"/>
      <c r="AE531" s="2"/>
    </row>
    <row r="532" spans="1:31" ht="63.6">
      <c r="A532" s="2" t="s">
        <v>2123</v>
      </c>
      <c r="B532" s="2" t="s">
        <v>2124</v>
      </c>
      <c r="C532" s="2" t="str">
        <f>sheet13[[#This Row],[Nombre]]&amp;sheet13[[#This Row],[Bp Id]]</f>
        <v>CloudGuard WAFSEC0084</v>
      </c>
      <c r="D532" s="2" t="str">
        <f>VLOOKUP(sheet13[[#This Row],[Columna1]],Sheet2!C:S,4,FALSE)</f>
        <v>Retirado</v>
      </c>
      <c r="E532" s="2"/>
      <c r="F532" s="2" t="s">
        <v>47</v>
      </c>
      <c r="G532" s="2" t="s">
        <v>48</v>
      </c>
      <c r="H532" s="2" t="s">
        <v>59</v>
      </c>
      <c r="I532" s="2" t="s">
        <v>2346</v>
      </c>
      <c r="J532" s="2" t="s">
        <v>176</v>
      </c>
      <c r="K532" s="2" t="s">
        <v>219</v>
      </c>
      <c r="L532" s="2" t="s">
        <v>219</v>
      </c>
      <c r="M532" s="2"/>
      <c r="N532" s="2" t="s">
        <v>2345</v>
      </c>
      <c r="O532" s="2"/>
      <c r="P532" s="2"/>
      <c r="Q532" s="2"/>
      <c r="R532" s="2"/>
      <c r="S532" s="2"/>
      <c r="T532" s="2"/>
      <c r="U532" s="2"/>
      <c r="V532" s="2"/>
      <c r="W532" s="3"/>
      <c r="X532" s="2"/>
      <c r="Y532" s="2"/>
      <c r="Z532" s="2"/>
      <c r="AA532" s="2"/>
      <c r="AB532" s="2"/>
      <c r="AC532" s="2"/>
      <c r="AD532" s="2"/>
      <c r="AE532" s="2"/>
    </row>
    <row r="533" spans="1:31" ht="51">
      <c r="A533" s="2" t="s">
        <v>2125</v>
      </c>
      <c r="B533" s="2" t="s">
        <v>2126</v>
      </c>
      <c r="C533" s="2" t="str">
        <f>sheet13[[#This Row],[Nombre]]&amp;sheet13[[#This Row],[Bp Id]]</f>
        <v>TurboSwiftPRD0044</v>
      </c>
      <c r="D533" s="2" t="str">
        <f>VLOOKUP(sheet13[[#This Row],[Columna1]],Sheet2!C:S,4,FALSE)</f>
        <v>Retirado</v>
      </c>
      <c r="E533" s="2"/>
      <c r="F533" s="2" t="s">
        <v>47</v>
      </c>
      <c r="G533" s="2" t="s">
        <v>48</v>
      </c>
      <c r="H533" s="2" t="s">
        <v>34</v>
      </c>
      <c r="I533" s="2" t="s">
        <v>921</v>
      </c>
      <c r="J533" s="2" t="s">
        <v>240</v>
      </c>
      <c r="K533" s="2"/>
      <c r="L533" s="2" t="s">
        <v>634</v>
      </c>
      <c r="M533" s="2"/>
      <c r="N533" s="2" t="s">
        <v>2345</v>
      </c>
      <c r="O533" s="2"/>
      <c r="P533" s="2"/>
      <c r="Q533" s="2"/>
      <c r="R533" s="2"/>
      <c r="S533" s="2"/>
      <c r="T533" s="2"/>
      <c r="U533" s="2"/>
      <c r="V533" s="2"/>
      <c r="W533" s="3"/>
      <c r="X533" s="2"/>
      <c r="Y533" s="2"/>
      <c r="Z533" s="2"/>
      <c r="AA533" s="2"/>
      <c r="AB533" s="2"/>
      <c r="AC533" s="2"/>
      <c r="AD533" s="2"/>
      <c r="AE533" s="2"/>
    </row>
    <row r="534" spans="1:31" ht="51">
      <c r="A534" s="2" t="s">
        <v>2127</v>
      </c>
      <c r="B534" s="2" t="s">
        <v>2128</v>
      </c>
      <c r="C534" s="2" t="str">
        <f>sheet13[[#This Row],[Nombre]]&amp;sheet13[[#This Row],[Bp Id]]</f>
        <v>Crédito empleadoSUP0005</v>
      </c>
      <c r="D534" s="2" t="str">
        <f>VLOOKUP(sheet13[[#This Row],[Columna1]],Sheet2!C:S,4,FALSE)</f>
        <v>Retirado</v>
      </c>
      <c r="E534" s="2"/>
      <c r="F534" s="2" t="s">
        <v>47</v>
      </c>
      <c r="G534" s="2" t="s">
        <v>48</v>
      </c>
      <c r="H534" s="2" t="s">
        <v>34</v>
      </c>
      <c r="I534" s="2" t="s">
        <v>225</v>
      </c>
      <c r="J534" s="2" t="s">
        <v>226</v>
      </c>
      <c r="K534" s="2" t="s">
        <v>300</v>
      </c>
      <c r="L534" s="2" t="s">
        <v>169</v>
      </c>
      <c r="M534" s="2"/>
      <c r="N534" s="2" t="s">
        <v>2345</v>
      </c>
      <c r="O534" s="2"/>
      <c r="P534" s="2"/>
      <c r="Q534" s="2"/>
      <c r="R534" s="2"/>
      <c r="S534" s="2"/>
      <c r="T534" s="2"/>
      <c r="U534" s="2"/>
      <c r="V534" s="2"/>
      <c r="W534" s="3"/>
      <c r="X534" s="2"/>
      <c r="Y534" s="2"/>
      <c r="Z534" s="2"/>
      <c r="AA534" s="2"/>
      <c r="AB534" s="2"/>
      <c r="AC534" s="2"/>
      <c r="AD534" s="2"/>
      <c r="AE534" s="2"/>
    </row>
    <row r="535" spans="1:31" ht="51">
      <c r="A535" s="2" t="s">
        <v>2129</v>
      </c>
      <c r="B535" s="2" t="s">
        <v>2130</v>
      </c>
      <c r="C535" s="2" t="str">
        <f>sheet13[[#This Row],[Nombre]]&amp;sheet13[[#This Row],[Bp Id]]</f>
        <v>IBM DatacapTIE0007</v>
      </c>
      <c r="D535" s="2" t="str">
        <f>VLOOKUP(sheet13[[#This Row],[Columna1]],Sheet2!C:S,4,FALSE)</f>
        <v>Retirado</v>
      </c>
      <c r="E535" s="2"/>
      <c r="F535" s="2" t="s">
        <v>47</v>
      </c>
      <c r="G535" s="2" t="s">
        <v>48</v>
      </c>
      <c r="H535" s="2" t="s">
        <v>34</v>
      </c>
      <c r="I535" s="2" t="s">
        <v>487</v>
      </c>
      <c r="J535" s="2" t="s">
        <v>488</v>
      </c>
      <c r="K535" s="2"/>
      <c r="L535" s="2" t="s">
        <v>110</v>
      </c>
      <c r="M535" s="2"/>
      <c r="N535" s="2" t="s">
        <v>2345</v>
      </c>
      <c r="O535" s="2"/>
      <c r="P535" s="2"/>
      <c r="Q535" s="2"/>
      <c r="R535" s="2"/>
      <c r="S535" s="2"/>
      <c r="T535" s="2"/>
      <c r="U535" s="2"/>
      <c r="V535" s="2"/>
      <c r="W535" s="3"/>
      <c r="X535" s="2"/>
      <c r="Y535" s="2"/>
      <c r="Z535" s="2"/>
      <c r="AA535" s="2"/>
      <c r="AB535" s="2"/>
      <c r="AC535" s="2"/>
      <c r="AD535" s="2"/>
      <c r="AE535" s="2"/>
    </row>
    <row r="536" spans="1:31" ht="51">
      <c r="A536" s="2" t="s">
        <v>2131</v>
      </c>
      <c r="B536" s="2" t="s">
        <v>2132</v>
      </c>
      <c r="C536" s="2" t="str">
        <f>sheet13[[#This Row],[Nombre]]&amp;sheet13[[#This Row],[Bp Id]]</f>
        <v>SophosSEC0037</v>
      </c>
      <c r="D536" s="2" t="str">
        <f>VLOOKUP(sheet13[[#This Row],[Columna1]],Sheet2!C:S,4,FALSE)</f>
        <v>Retirado</v>
      </c>
      <c r="E536" s="2"/>
      <c r="F536" s="2" t="s">
        <v>47</v>
      </c>
      <c r="G536" s="2" t="s">
        <v>48</v>
      </c>
      <c r="H536" s="2" t="s">
        <v>34</v>
      </c>
      <c r="I536" s="2" t="s">
        <v>2346</v>
      </c>
      <c r="J536" s="2" t="s">
        <v>272</v>
      </c>
      <c r="K536" s="2" t="s">
        <v>176</v>
      </c>
      <c r="L536" s="2" t="s">
        <v>185</v>
      </c>
      <c r="M536" s="2"/>
      <c r="N536" s="2" t="s">
        <v>2345</v>
      </c>
      <c r="O536" s="2"/>
      <c r="P536" s="2"/>
      <c r="Q536" s="2"/>
      <c r="R536" s="2"/>
      <c r="S536" s="2"/>
      <c r="T536" s="2"/>
      <c r="U536" s="2"/>
      <c r="V536" s="2"/>
      <c r="W536" s="3"/>
      <c r="X536" s="2"/>
      <c r="Y536" s="2"/>
      <c r="Z536" s="2"/>
      <c r="AA536" s="2"/>
      <c r="AB536" s="2"/>
      <c r="AC536" s="2"/>
      <c r="AD536" s="2"/>
      <c r="AE536" s="2"/>
    </row>
    <row r="537" spans="1:31" ht="51">
      <c r="A537" s="2" t="s">
        <v>2133</v>
      </c>
      <c r="B537" s="2" t="s">
        <v>2134</v>
      </c>
      <c r="C537" s="2" t="str">
        <f>sheet13[[#This Row],[Nombre]]&amp;sheet13[[#This Row],[Bp Id]]</f>
        <v>Componentes de AutomatizaciónSEC0082</v>
      </c>
      <c r="D537" s="2" t="str">
        <f>VLOOKUP(sheet13[[#This Row],[Columna1]],Sheet2!C:S,4,FALSE)</f>
        <v>Operativo</v>
      </c>
      <c r="E537" s="2"/>
      <c r="F537" s="2" t="s">
        <v>32</v>
      </c>
      <c r="G537" s="2" t="s">
        <v>48</v>
      </c>
      <c r="H537" s="2" t="s">
        <v>34</v>
      </c>
      <c r="I537" s="2" t="s">
        <v>258</v>
      </c>
      <c r="J537" s="2" t="s">
        <v>260</v>
      </c>
      <c r="K537" s="2" t="s">
        <v>260</v>
      </c>
      <c r="L537" s="2" t="s">
        <v>1435</v>
      </c>
      <c r="M537" s="2"/>
      <c r="N537" s="2" t="s">
        <v>2343</v>
      </c>
      <c r="O537" s="2" t="s">
        <v>40</v>
      </c>
      <c r="P537" s="2"/>
      <c r="Q537" s="2"/>
      <c r="R537" s="2"/>
      <c r="S537" s="2"/>
      <c r="T537" s="2" t="s">
        <v>2344</v>
      </c>
      <c r="U537" s="2" t="s">
        <v>2345</v>
      </c>
      <c r="V537" s="2"/>
      <c r="W537" s="3"/>
      <c r="X537" s="2"/>
      <c r="Y537" s="2"/>
      <c r="Z537" s="2"/>
      <c r="AA537" s="2"/>
      <c r="AB537" s="2"/>
      <c r="AC537" s="2"/>
      <c r="AD537" s="2"/>
      <c r="AE537" s="2"/>
    </row>
    <row r="538" spans="1:31" ht="51">
      <c r="A538" s="2" t="s">
        <v>2135</v>
      </c>
      <c r="B538" s="2" t="s">
        <v>2136</v>
      </c>
      <c r="C538" s="2" t="str">
        <f>sheet13[[#This Row],[Nombre]]&amp;sheet13[[#This Row],[Bp Id]]</f>
        <v>OBRITM0043</v>
      </c>
      <c r="D538" s="2" t="str">
        <f>VLOOKUP(sheet13[[#This Row],[Columna1]],Sheet2!C:S,4,FALSE)</f>
        <v>Retirado</v>
      </c>
      <c r="E538" s="2"/>
      <c r="F538" s="2" t="s">
        <v>47</v>
      </c>
      <c r="G538" s="2" t="s">
        <v>48</v>
      </c>
      <c r="H538" s="2" t="s">
        <v>34</v>
      </c>
      <c r="I538" s="2" t="s">
        <v>449</v>
      </c>
      <c r="J538" s="2" t="s">
        <v>450</v>
      </c>
      <c r="K538" s="2" t="s">
        <v>450</v>
      </c>
      <c r="L538" s="2" t="s">
        <v>884</v>
      </c>
      <c r="M538" s="2"/>
      <c r="N538" s="2" t="s">
        <v>2345</v>
      </c>
      <c r="O538" s="2"/>
      <c r="P538" s="2"/>
      <c r="Q538" s="2"/>
      <c r="R538" s="2"/>
      <c r="S538" s="2"/>
      <c r="T538" s="2"/>
      <c r="U538" s="2"/>
      <c r="V538" s="2"/>
      <c r="W538" s="3"/>
      <c r="X538" s="2"/>
      <c r="Y538" s="2"/>
      <c r="Z538" s="2"/>
      <c r="AA538" s="2"/>
      <c r="AB538" s="2"/>
      <c r="AC538" s="2"/>
      <c r="AD538" s="2"/>
      <c r="AE538" s="2"/>
    </row>
    <row r="539" spans="1:31" ht="113.45">
      <c r="A539" s="2" t="s">
        <v>2137</v>
      </c>
      <c r="B539" s="2" t="s">
        <v>2138</v>
      </c>
      <c r="C539" s="2" t="str">
        <f>sheet13[[#This Row],[Nombre]]&amp;sheet13[[#This Row],[Bp Id]]</f>
        <v>Software de Gestión de Vulnerabilidades basado en el riesgoSEC0089</v>
      </c>
      <c r="D539" s="2" t="str">
        <f>VLOOKUP(sheet13[[#This Row],[Columna1]],Sheet2!C:S,4,FALSE)</f>
        <v>Retirado</v>
      </c>
      <c r="E539" s="2"/>
      <c r="F539" s="2" t="s">
        <v>47</v>
      </c>
      <c r="G539" s="2" t="s">
        <v>48</v>
      </c>
      <c r="H539" s="2" t="s">
        <v>59</v>
      </c>
      <c r="I539" s="2" t="s">
        <v>2346</v>
      </c>
      <c r="J539" s="2" t="s">
        <v>176</v>
      </c>
      <c r="K539" s="2" t="s">
        <v>2139</v>
      </c>
      <c r="L539" s="2" t="s">
        <v>110</v>
      </c>
      <c r="M539" s="2"/>
      <c r="N539" s="2" t="s">
        <v>2345</v>
      </c>
      <c r="O539" s="2"/>
      <c r="P539" s="2"/>
      <c r="Q539" s="2"/>
      <c r="R539" s="2"/>
      <c r="S539" s="2"/>
      <c r="T539" s="2"/>
      <c r="U539" s="2"/>
      <c r="V539" s="2"/>
      <c r="W539" s="3"/>
      <c r="X539" s="2"/>
      <c r="Y539" s="2"/>
      <c r="Z539" s="2"/>
      <c r="AA539" s="2"/>
      <c r="AB539" s="2"/>
      <c r="AC539" s="2"/>
      <c r="AD539" s="2"/>
      <c r="AE539" s="2"/>
    </row>
    <row r="540" spans="1:31" ht="63.6">
      <c r="A540" s="2" t="s">
        <v>2140</v>
      </c>
      <c r="B540" s="2" t="s">
        <v>2141</v>
      </c>
      <c r="C540" s="2" t="str">
        <f>sheet13[[#This Row],[Nombre]]&amp;sheet13[[#This Row],[Bp Id]]</f>
        <v>HP InfosightITM0083</v>
      </c>
      <c r="D540" s="2" t="str">
        <f>VLOOKUP(sheet13[[#This Row],[Columna1]],Sheet2!C:S,4,FALSE)</f>
        <v>Retirado</v>
      </c>
      <c r="E540" s="2"/>
      <c r="F540" s="2" t="s">
        <v>47</v>
      </c>
      <c r="G540" s="2" t="s">
        <v>48</v>
      </c>
      <c r="H540" s="2" t="s">
        <v>34</v>
      </c>
      <c r="I540" s="2" t="s">
        <v>68</v>
      </c>
      <c r="J540" s="2" t="s">
        <v>236</v>
      </c>
      <c r="K540" s="2" t="s">
        <v>82</v>
      </c>
      <c r="L540" s="2" t="s">
        <v>335</v>
      </c>
      <c r="M540" s="2"/>
      <c r="N540" s="2" t="s">
        <v>2345</v>
      </c>
      <c r="O540" s="2"/>
      <c r="P540" s="2"/>
      <c r="Q540" s="2"/>
      <c r="R540" s="2"/>
      <c r="S540" s="2"/>
      <c r="T540" s="2"/>
      <c r="U540" s="2"/>
      <c r="V540" s="2"/>
      <c r="W540" s="3"/>
      <c r="X540" s="2"/>
      <c r="Y540" s="2"/>
      <c r="Z540" s="2"/>
      <c r="AA540" s="2"/>
      <c r="AB540" s="2"/>
      <c r="AC540" s="2"/>
      <c r="AD540" s="2"/>
      <c r="AE540" s="2"/>
    </row>
    <row r="541" spans="1:31" ht="51">
      <c r="A541" s="2" t="s">
        <v>2147</v>
      </c>
      <c r="B541" s="2" t="s">
        <v>2148</v>
      </c>
      <c r="C541" s="2" t="str">
        <f>sheet13[[#This Row],[Nombre]]&amp;sheet13[[#This Row],[Bp Id]]</f>
        <v>RPA Blue PrismTIE0012</v>
      </c>
      <c r="D541" s="2" t="str">
        <f>VLOOKUP(sheet13[[#This Row],[Columna1]],Sheet2!C:S,4,FALSE)</f>
        <v>Retirado</v>
      </c>
      <c r="E541" s="2"/>
      <c r="F541" s="2" t="s">
        <v>47</v>
      </c>
      <c r="G541" s="2" t="s">
        <v>48</v>
      </c>
      <c r="H541" s="2" t="s">
        <v>34</v>
      </c>
      <c r="I541" s="2" t="s">
        <v>487</v>
      </c>
      <c r="J541" s="2" t="s">
        <v>488</v>
      </c>
      <c r="K541" s="2" t="s">
        <v>228</v>
      </c>
      <c r="L541" s="2" t="s">
        <v>2149</v>
      </c>
      <c r="M541" s="2"/>
      <c r="N541" s="2" t="s">
        <v>2345</v>
      </c>
      <c r="O541" s="2"/>
      <c r="P541" s="2"/>
      <c r="Q541" s="2"/>
      <c r="R541" s="2"/>
      <c r="S541" s="2"/>
      <c r="T541" s="2"/>
      <c r="U541" s="2"/>
      <c r="V541" s="2"/>
      <c r="W541" s="3"/>
      <c r="X541" s="2"/>
      <c r="Y541" s="2"/>
      <c r="Z541" s="2"/>
      <c r="AA541" s="2"/>
      <c r="AB541" s="2"/>
      <c r="AC541" s="2"/>
      <c r="AD541" s="2"/>
      <c r="AE541" s="2"/>
    </row>
    <row r="542" spans="1:31" ht="51">
      <c r="A542" s="2" t="s">
        <v>2150</v>
      </c>
      <c r="B542" s="2" t="s">
        <v>2151</v>
      </c>
      <c r="C542" s="2" t="str">
        <f>sheet13[[#This Row],[Nombre]]&amp;sheet13[[#This Row],[Bp Id]]</f>
        <v>Google CloudITM0022</v>
      </c>
      <c r="D542" s="2" t="str">
        <f>VLOOKUP(sheet13[[#This Row],[Columna1]],Sheet2!C:S,4,FALSE)</f>
        <v>No operativo</v>
      </c>
      <c r="E542" s="2"/>
      <c r="F542" s="2" t="s">
        <v>1788</v>
      </c>
      <c r="G542" s="2" t="s">
        <v>123</v>
      </c>
      <c r="H542" s="2" t="s">
        <v>59</v>
      </c>
      <c r="I542" s="2" t="s">
        <v>68</v>
      </c>
      <c r="J542" s="2" t="s">
        <v>236</v>
      </c>
      <c r="K542" s="2"/>
      <c r="L542" s="2" t="s">
        <v>2152</v>
      </c>
      <c r="M542" s="2"/>
      <c r="N542" s="2" t="s">
        <v>2345</v>
      </c>
      <c r="O542" s="2"/>
      <c r="P542" s="2"/>
      <c r="Q542" s="2"/>
      <c r="R542" s="2"/>
      <c r="S542" s="2"/>
      <c r="T542" s="2"/>
      <c r="U542" s="2"/>
      <c r="V542" s="2"/>
      <c r="W542" s="3"/>
      <c r="X542" s="2"/>
      <c r="Y542" s="2"/>
      <c r="Z542" s="2"/>
      <c r="AA542" s="2"/>
      <c r="AB542" s="2"/>
      <c r="AC542" s="2"/>
      <c r="AD542" s="2"/>
      <c r="AE542" s="2"/>
    </row>
    <row r="543" spans="1:31" ht="75.95">
      <c r="A543" s="2" t="s">
        <v>2153</v>
      </c>
      <c r="B543" s="2" t="s">
        <v>2154</v>
      </c>
      <c r="C543" s="2" t="str">
        <f>sheet13[[#This Row],[Nombre]]&amp;sheet13[[#This Row],[Bp Id]]</f>
        <v>CanjePAY0001</v>
      </c>
      <c r="D543" s="2" t="str">
        <f>VLOOKUP(sheet13[[#This Row],[Columna1]],Sheet2!C:S,4,FALSE)</f>
        <v>Retirado</v>
      </c>
      <c r="E543" s="2"/>
      <c r="F543" s="2" t="s">
        <v>47</v>
      </c>
      <c r="G543" s="2" t="s">
        <v>58</v>
      </c>
      <c r="H543" s="2" t="s">
        <v>34</v>
      </c>
      <c r="I543" s="2" t="s">
        <v>1086</v>
      </c>
      <c r="J543" s="2" t="s">
        <v>96</v>
      </c>
      <c r="K543" s="2" t="s">
        <v>564</v>
      </c>
      <c r="L543" s="2" t="s">
        <v>595</v>
      </c>
      <c r="M543" s="2"/>
      <c r="N543" s="2" t="s">
        <v>2345</v>
      </c>
      <c r="O543" s="2"/>
      <c r="P543" s="2"/>
      <c r="Q543" s="2"/>
      <c r="R543" s="2"/>
      <c r="S543" s="2"/>
      <c r="T543" s="2"/>
      <c r="U543" s="2"/>
      <c r="V543" s="2"/>
      <c r="W543" s="3"/>
      <c r="X543" s="2"/>
      <c r="Y543" s="2"/>
      <c r="Z543" s="2"/>
      <c r="AA543" s="2"/>
      <c r="AB543" s="2"/>
      <c r="AC543" s="2"/>
      <c r="AD543" s="2"/>
      <c r="AE543" s="2"/>
    </row>
    <row r="544" spans="1:31" ht="63.6">
      <c r="A544" s="2" t="s">
        <v>2155</v>
      </c>
      <c r="B544" s="2" t="s">
        <v>2156</v>
      </c>
      <c r="C544" s="2" t="str">
        <f>sheet13[[#This Row],[Nombre]]&amp;sheet13[[#This Row],[Bp Id]]</f>
        <v>Amazon Web ServicesITM0113</v>
      </c>
      <c r="D544" s="2" t="str">
        <f>VLOOKUP(sheet13[[#This Row],[Columna1]],Sheet2!C:S,4,FALSE)</f>
        <v>Operativo</v>
      </c>
      <c r="E544" s="2"/>
      <c r="F544" s="2" t="s">
        <v>32</v>
      </c>
      <c r="G544" s="2" t="s">
        <v>123</v>
      </c>
      <c r="H544" s="2" t="s">
        <v>59</v>
      </c>
      <c r="I544" s="2" t="s">
        <v>68</v>
      </c>
      <c r="J544" s="2" t="s">
        <v>69</v>
      </c>
      <c r="K544" s="2" t="s">
        <v>521</v>
      </c>
      <c r="L544" s="2" t="s">
        <v>1971</v>
      </c>
      <c r="M544" s="2"/>
      <c r="N544" s="2" t="s">
        <v>2343</v>
      </c>
      <c r="O544" s="2" t="s">
        <v>40</v>
      </c>
      <c r="P544" s="2"/>
      <c r="Q544" s="2"/>
      <c r="R544" s="2"/>
      <c r="S544" s="2"/>
      <c r="T544" s="2" t="s">
        <v>2344</v>
      </c>
      <c r="U544" s="2" t="s">
        <v>2345</v>
      </c>
      <c r="V544" s="2"/>
      <c r="W544" s="3"/>
      <c r="X544" s="2"/>
      <c r="Y544" s="2"/>
      <c r="Z544" s="2"/>
      <c r="AA544" s="2"/>
      <c r="AB544" s="2"/>
      <c r="AC544" s="2"/>
      <c r="AD544" s="2"/>
      <c r="AE544" s="2"/>
    </row>
    <row r="545" spans="1:31" ht="63.6">
      <c r="A545" s="2" t="s">
        <v>2157</v>
      </c>
      <c r="B545" s="2" t="s">
        <v>2158</v>
      </c>
      <c r="C545" s="2" t="str">
        <f>sheet13[[#This Row],[Nombre]]&amp;sheet13[[#This Row],[Bp Id]]</f>
        <v>PIA Agente VirtualDAT0018</v>
      </c>
      <c r="D545" s="2" t="str">
        <f>VLOOKUP(sheet13[[#This Row],[Columna1]],Sheet2!C:S,4,FALSE)</f>
        <v>Operativo</v>
      </c>
      <c r="E545" s="2"/>
      <c r="F545" s="2" t="s">
        <v>32</v>
      </c>
      <c r="G545" s="2" t="s">
        <v>48</v>
      </c>
      <c r="H545" s="2" t="s">
        <v>59</v>
      </c>
      <c r="I545" s="2" t="s">
        <v>328</v>
      </c>
      <c r="J545" s="2" t="s">
        <v>329</v>
      </c>
      <c r="K545" s="2" t="s">
        <v>2160</v>
      </c>
      <c r="L545" s="2" t="s">
        <v>1452</v>
      </c>
      <c r="M545" s="2"/>
      <c r="N545" s="2" t="s">
        <v>2343</v>
      </c>
      <c r="O545" s="2" t="s">
        <v>40</v>
      </c>
      <c r="P545" s="2"/>
      <c r="Q545" s="2"/>
      <c r="R545" s="2"/>
      <c r="S545" s="2"/>
      <c r="T545" s="2" t="s">
        <v>2344</v>
      </c>
      <c r="U545" s="2" t="s">
        <v>2345</v>
      </c>
      <c r="V545" s="2"/>
      <c r="W545" s="3"/>
      <c r="X545" s="2"/>
      <c r="Y545" s="2"/>
      <c r="Z545" s="2"/>
      <c r="AA545" s="2"/>
      <c r="AB545" s="2"/>
      <c r="AC545" s="2"/>
      <c r="AD545" s="2"/>
      <c r="AE545" s="2"/>
    </row>
    <row r="546" spans="1:31" ht="51">
      <c r="A546" s="2" t="s">
        <v>2167</v>
      </c>
      <c r="B546" s="2"/>
      <c r="C546" s="2" t="str">
        <f>sheet13[[#This Row],[Nombre]]&amp;sheet13[[#This Row],[Bp Id]]</f>
        <v>WebMTS</v>
      </c>
      <c r="D546" s="2" t="str">
        <f>VLOOKUP(sheet13[[#This Row],[Columna1]],Sheet2!C:S,4,FALSE)</f>
        <v>Retirado</v>
      </c>
      <c r="E546" s="2"/>
      <c r="F546" s="2" t="s">
        <v>47</v>
      </c>
      <c r="G546" s="2" t="s">
        <v>48</v>
      </c>
      <c r="H546" s="2" t="s">
        <v>34</v>
      </c>
      <c r="I546" s="2" t="s">
        <v>225</v>
      </c>
      <c r="J546" s="2" t="s">
        <v>226</v>
      </c>
      <c r="K546" s="2"/>
      <c r="L546" s="2" t="s">
        <v>1763</v>
      </c>
      <c r="M546" s="2"/>
      <c r="N546" s="2" t="s">
        <v>2345</v>
      </c>
      <c r="O546" s="2"/>
      <c r="P546" s="2"/>
      <c r="Q546" s="2"/>
      <c r="R546" s="2"/>
      <c r="S546" s="2"/>
      <c r="T546" s="2"/>
      <c r="U546" s="2"/>
      <c r="V546" s="2"/>
      <c r="W546" s="3"/>
      <c r="X546" s="2"/>
      <c r="Y546" s="2"/>
      <c r="Z546" s="2"/>
      <c r="AA546" s="2"/>
      <c r="AB546" s="2"/>
      <c r="AC546" s="2"/>
      <c r="AD546" s="2"/>
      <c r="AE546" s="2"/>
    </row>
    <row r="547" spans="1:31" ht="51">
      <c r="A547" s="2" t="s">
        <v>2168</v>
      </c>
      <c r="B547" s="2"/>
      <c r="C547" s="2" t="str">
        <f>sheet13[[#This Row],[Nombre]]&amp;sheet13[[#This Row],[Bp Id]]</f>
        <v>Pipeline</v>
      </c>
      <c r="D547" s="2" t="str">
        <f>VLOOKUP(sheet13[[#This Row],[Columna1]],Sheet2!C:S,4,FALSE)</f>
        <v>No operativo</v>
      </c>
      <c r="E547" s="2"/>
      <c r="F547" s="2" t="s">
        <v>1788</v>
      </c>
      <c r="G547" s="2" t="s">
        <v>48</v>
      </c>
      <c r="H547" s="2" t="s">
        <v>34</v>
      </c>
      <c r="I547" s="2" t="s">
        <v>553</v>
      </c>
      <c r="J547" s="2" t="s">
        <v>554</v>
      </c>
      <c r="K547" s="2"/>
      <c r="L547" s="2"/>
      <c r="M547" s="2"/>
      <c r="N547" s="2" t="s">
        <v>2345</v>
      </c>
      <c r="O547" s="2"/>
      <c r="P547" s="2"/>
      <c r="Q547" s="2"/>
      <c r="R547" s="2"/>
      <c r="S547" s="2"/>
      <c r="T547" s="2"/>
      <c r="U547" s="2"/>
      <c r="V547" s="2"/>
      <c r="W547" s="3"/>
      <c r="X547" s="2"/>
      <c r="Y547" s="2"/>
      <c r="Z547" s="2"/>
      <c r="AA547" s="2"/>
      <c r="AB547" s="2"/>
      <c r="AC547" s="2"/>
      <c r="AD547" s="2"/>
      <c r="AE547" s="2"/>
    </row>
    <row r="548" spans="1:31" ht="51">
      <c r="A548" s="2" t="s">
        <v>2169</v>
      </c>
      <c r="B548" s="2"/>
      <c r="C548" s="2" t="str">
        <f>sheet13[[#This Row],[Nombre]]&amp;sheet13[[#This Row],[Bp Id]]</f>
        <v>Rol de Pagos</v>
      </c>
      <c r="D548" s="2" t="str">
        <f>VLOOKUP(sheet13[[#This Row],[Columna1]],Sheet2!C:S,4,FALSE)</f>
        <v>Retirado</v>
      </c>
      <c r="E548" s="2"/>
      <c r="F548" s="2" t="s">
        <v>47</v>
      </c>
      <c r="G548" s="2" t="s">
        <v>48</v>
      </c>
      <c r="H548" s="2" t="s">
        <v>34</v>
      </c>
      <c r="I548" s="2" t="s">
        <v>225</v>
      </c>
      <c r="J548" s="2" t="s">
        <v>226</v>
      </c>
      <c r="K548" s="2"/>
      <c r="L548" s="2" t="s">
        <v>169</v>
      </c>
      <c r="M548" s="2"/>
      <c r="N548" s="2" t="s">
        <v>2345</v>
      </c>
      <c r="O548" s="2"/>
      <c r="P548" s="2"/>
      <c r="Q548" s="2"/>
      <c r="R548" s="2"/>
      <c r="S548" s="2"/>
      <c r="T548" s="2"/>
      <c r="U548" s="2"/>
      <c r="V548" s="2"/>
      <c r="W548" s="3"/>
      <c r="X548" s="2"/>
      <c r="Y548" s="2"/>
      <c r="Z548" s="2"/>
      <c r="AA548" s="2"/>
      <c r="AB548" s="2"/>
      <c r="AC548" s="2"/>
      <c r="AD548" s="2"/>
      <c r="AE548" s="2"/>
    </row>
    <row r="549" spans="1:31" ht="51">
      <c r="A549" s="2" t="s">
        <v>2164</v>
      </c>
      <c r="B549" s="2"/>
      <c r="C549" s="2" t="str">
        <f>sheet13[[#This Row],[Nombre]]&amp;sheet13[[#This Row],[Bp Id]]</f>
        <v>Switch Interbancarios</v>
      </c>
      <c r="D549" s="2" t="str">
        <f>VLOOKUP(sheet13[[#This Row],[Columna1]],Sheet2!C:S,4,FALSE)</f>
        <v>No operativo</v>
      </c>
      <c r="E549" s="2"/>
      <c r="F549" s="2" t="s">
        <v>1788</v>
      </c>
      <c r="G549" s="2" t="s">
        <v>48</v>
      </c>
      <c r="H549" s="2" t="s">
        <v>34</v>
      </c>
      <c r="I549" s="2" t="s">
        <v>921</v>
      </c>
      <c r="J549" s="2" t="s">
        <v>240</v>
      </c>
      <c r="K549" s="2"/>
      <c r="L549" s="2"/>
      <c r="M549" s="2"/>
      <c r="N549" s="2" t="s">
        <v>2345</v>
      </c>
      <c r="O549" s="2"/>
      <c r="P549" s="2"/>
      <c r="Q549" s="2"/>
      <c r="R549" s="2"/>
      <c r="S549" s="2"/>
      <c r="T549" s="2"/>
      <c r="U549" s="2"/>
      <c r="V549" s="2"/>
      <c r="W549" s="3"/>
      <c r="X549" s="2"/>
      <c r="Y549" s="2"/>
      <c r="Z549" s="2"/>
      <c r="AA549" s="2"/>
      <c r="AB549" s="2"/>
      <c r="AC549" s="2"/>
      <c r="AD549" s="2"/>
      <c r="AE549" s="2"/>
    </row>
    <row r="550" spans="1:31" ht="51">
      <c r="A550" s="2" t="s">
        <v>2166</v>
      </c>
      <c r="B550" s="2"/>
      <c r="C550" s="2" t="str">
        <f>sheet13[[#This Row],[Nombre]]&amp;sheet13[[#This Row],[Bp Id]]</f>
        <v>Desarrollo de Competencias</v>
      </c>
      <c r="D550" s="2" t="str">
        <f>VLOOKUP(sheet13[[#This Row],[Columna1]],Sheet2!C:S,4,FALSE)</f>
        <v>Retirado</v>
      </c>
      <c r="E550" s="2"/>
      <c r="F550" s="2" t="s">
        <v>47</v>
      </c>
      <c r="G550" s="2" t="s">
        <v>48</v>
      </c>
      <c r="H550" s="2" t="s">
        <v>34</v>
      </c>
      <c r="I550" s="2" t="s">
        <v>225</v>
      </c>
      <c r="J550" s="2" t="s">
        <v>226</v>
      </c>
      <c r="K550" s="2"/>
      <c r="L550" s="2" t="s">
        <v>169</v>
      </c>
      <c r="M550" s="2"/>
      <c r="N550" s="2" t="s">
        <v>2345</v>
      </c>
      <c r="O550" s="2"/>
      <c r="P550" s="2"/>
      <c r="Q550" s="2"/>
      <c r="R550" s="2"/>
      <c r="S550" s="2"/>
      <c r="T550" s="2"/>
      <c r="U550" s="2"/>
      <c r="V550" s="2"/>
      <c r="W550" s="3"/>
      <c r="X550" s="2"/>
      <c r="Y550" s="2"/>
      <c r="Z550" s="2"/>
      <c r="AA550" s="2"/>
      <c r="AB550" s="2"/>
      <c r="AC550" s="2"/>
      <c r="AD550" s="2"/>
      <c r="AE550" s="2"/>
    </row>
    <row r="551" spans="1:31" ht="51">
      <c r="A551" s="2" t="s">
        <v>2170</v>
      </c>
      <c r="B551" s="2"/>
      <c r="C551" s="2" t="str">
        <f>sheet13[[#This Row],[Nombre]]&amp;sheet13[[#This Row],[Bp Id]]</f>
        <v>Encuestas - RRHH</v>
      </c>
      <c r="D551" s="2" t="str">
        <f>VLOOKUP(sheet13[[#This Row],[Columna1]],Sheet2!C:S,4,FALSE)</f>
        <v>Retirado</v>
      </c>
      <c r="E551" s="2"/>
      <c r="F551" s="2" t="s">
        <v>47</v>
      </c>
      <c r="G551" s="2" t="s">
        <v>48</v>
      </c>
      <c r="H551" s="2" t="s">
        <v>34</v>
      </c>
      <c r="I551" s="2" t="s">
        <v>225</v>
      </c>
      <c r="J551" s="2" t="s">
        <v>226</v>
      </c>
      <c r="K551" s="2"/>
      <c r="L551" s="2" t="s">
        <v>169</v>
      </c>
      <c r="M551" s="2"/>
      <c r="N551" s="2" t="s">
        <v>2345</v>
      </c>
      <c r="O551" s="2"/>
      <c r="P551" s="2"/>
      <c r="Q551" s="2"/>
      <c r="R551" s="2"/>
      <c r="S551" s="2"/>
      <c r="T551" s="2"/>
      <c r="U551" s="2"/>
      <c r="V551" s="2"/>
      <c r="W551" s="3"/>
      <c r="X551" s="2"/>
      <c r="Y551" s="2"/>
      <c r="Z551" s="2"/>
      <c r="AA551" s="2"/>
      <c r="AB551" s="2"/>
      <c r="AC551" s="2"/>
      <c r="AD551" s="2"/>
      <c r="AE551" s="2"/>
    </row>
    <row r="552" spans="1:31" ht="51">
      <c r="A552" s="2" t="s">
        <v>2162</v>
      </c>
      <c r="B552" s="2"/>
      <c r="C552" s="2" t="str">
        <f>sheet13[[#This Row],[Nombre]]&amp;sheet13[[#This Row],[Bp Id]]</f>
        <v>MaaS</v>
      </c>
      <c r="D552" s="2" t="str">
        <f>VLOOKUP(sheet13[[#This Row],[Columna1]],Sheet2!C:S,4,FALSE)</f>
        <v>Retirado</v>
      </c>
      <c r="E552" s="2"/>
      <c r="F552" s="2" t="s">
        <v>47</v>
      </c>
      <c r="G552" s="2" t="s">
        <v>48</v>
      </c>
      <c r="H552" s="2" t="s">
        <v>59</v>
      </c>
      <c r="I552" s="2" t="s">
        <v>2346</v>
      </c>
      <c r="J552" s="2" t="s">
        <v>176</v>
      </c>
      <c r="K552" s="2" t="s">
        <v>176</v>
      </c>
      <c r="L552" s="2"/>
      <c r="M552" s="2"/>
      <c r="N552" s="2" t="s">
        <v>2345</v>
      </c>
      <c r="O552" s="2"/>
      <c r="P552" s="2"/>
      <c r="Q552" s="2"/>
      <c r="R552" s="2"/>
      <c r="S552" s="2"/>
      <c r="T552" s="2"/>
      <c r="U552" s="2"/>
      <c r="V552" s="2"/>
      <c r="W552" s="3"/>
      <c r="X552" s="2"/>
      <c r="Y552" s="2"/>
      <c r="Z552" s="2"/>
      <c r="AA552" s="2"/>
      <c r="AB552" s="2"/>
      <c r="AC552" s="2"/>
      <c r="AD552" s="2"/>
      <c r="AE552" s="2"/>
    </row>
    <row r="553" spans="1:31" ht="51">
      <c r="A553" s="2" t="s">
        <v>2171</v>
      </c>
      <c r="B553" s="2"/>
      <c r="C553" s="2" t="str">
        <f>sheet13[[#This Row],[Nombre]]&amp;sheet13[[#This Row],[Bp Id]]</f>
        <v>Descripción de Funciones</v>
      </c>
      <c r="D553" s="2" t="str">
        <f>VLOOKUP(sheet13[[#This Row],[Columna1]],Sheet2!C:S,4,FALSE)</f>
        <v>Retirado</v>
      </c>
      <c r="E553" s="2"/>
      <c r="F553" s="2" t="s">
        <v>47</v>
      </c>
      <c r="G553" s="2" t="s">
        <v>48</v>
      </c>
      <c r="H553" s="2" t="s">
        <v>34</v>
      </c>
      <c r="I553" s="2" t="s">
        <v>225</v>
      </c>
      <c r="J553" s="2" t="s">
        <v>226</v>
      </c>
      <c r="K553" s="2"/>
      <c r="L553" s="2" t="s">
        <v>169</v>
      </c>
      <c r="M553" s="2"/>
      <c r="N553" s="2" t="s">
        <v>2345</v>
      </c>
      <c r="O553" s="2"/>
      <c r="P553" s="2"/>
      <c r="Q553" s="2"/>
      <c r="R553" s="2"/>
      <c r="S553" s="2"/>
      <c r="T553" s="2"/>
      <c r="U553" s="2"/>
      <c r="V553" s="2"/>
      <c r="W553" s="3"/>
      <c r="X553" s="2"/>
      <c r="Y553" s="2"/>
      <c r="Z553" s="2"/>
      <c r="AA553" s="2"/>
      <c r="AB553" s="2"/>
      <c r="AC553" s="2"/>
      <c r="AD553" s="2"/>
      <c r="AE553" s="2"/>
    </row>
    <row r="554" spans="1:31" ht="51">
      <c r="A554" s="2" t="s">
        <v>2163</v>
      </c>
      <c r="B554" s="2"/>
      <c r="C554" s="2" t="str">
        <f>sheet13[[#This Row],[Nombre]]&amp;sheet13[[#This Row],[Bp Id]]</f>
        <v>PGP</v>
      </c>
      <c r="D554" s="2" t="str">
        <f>VLOOKUP(sheet13[[#This Row],[Columna1]],Sheet2!C:S,4,FALSE)</f>
        <v>Retirado</v>
      </c>
      <c r="E554" s="2"/>
      <c r="F554" s="2" t="s">
        <v>47</v>
      </c>
      <c r="G554" s="2" t="s">
        <v>48</v>
      </c>
      <c r="H554" s="2" t="s">
        <v>34</v>
      </c>
      <c r="I554" s="2" t="s">
        <v>2346</v>
      </c>
      <c r="J554" s="2" t="s">
        <v>176</v>
      </c>
      <c r="K554" s="2"/>
      <c r="L554" s="2"/>
      <c r="M554" s="2"/>
      <c r="N554" s="2" t="s">
        <v>2345</v>
      </c>
      <c r="O554" s="2"/>
      <c r="P554" s="2"/>
      <c r="Q554" s="2"/>
      <c r="R554" s="2"/>
      <c r="S554" s="2"/>
      <c r="T554" s="2"/>
      <c r="U554" s="2"/>
      <c r="V554" s="2"/>
      <c r="W554" s="3"/>
      <c r="X554" s="2"/>
      <c r="Y554" s="2"/>
      <c r="Z554" s="2"/>
      <c r="AA554" s="2"/>
      <c r="AB554" s="2"/>
      <c r="AC554" s="2"/>
      <c r="AD554" s="2"/>
      <c r="AE554" s="2"/>
    </row>
    <row r="555" spans="1:31" ht="38.450000000000003">
      <c r="A555" s="2" t="s">
        <v>2161</v>
      </c>
      <c r="B555" s="2"/>
      <c r="C555" s="2" t="str">
        <f>sheet13[[#This Row],[Nombre]]&amp;sheet13[[#This Row],[Bp Id]]</f>
        <v>BITBUCKET</v>
      </c>
      <c r="D555" s="2" t="str">
        <f>VLOOKUP(sheet13[[#This Row],[Columna1]],Sheet2!C:S,4,FALSE)</f>
        <v>No operativo</v>
      </c>
      <c r="E555" s="2"/>
      <c r="F555" s="2" t="s">
        <v>1788</v>
      </c>
      <c r="G555" s="2" t="s">
        <v>48</v>
      </c>
      <c r="H555" s="2" t="s">
        <v>34</v>
      </c>
      <c r="I555" s="2" t="s">
        <v>68</v>
      </c>
      <c r="J555" s="2" t="s">
        <v>236</v>
      </c>
      <c r="K555" s="2"/>
      <c r="L555" s="2"/>
      <c r="M555" s="2"/>
      <c r="N555" s="2" t="s">
        <v>2345</v>
      </c>
      <c r="O555" s="2"/>
      <c r="P555" s="2"/>
      <c r="Q555" s="2"/>
      <c r="R555" s="2"/>
      <c r="S555" s="2"/>
      <c r="T555" s="2"/>
      <c r="U555" s="2"/>
      <c r="V555" s="2"/>
      <c r="W555" s="3"/>
      <c r="X555" s="2"/>
      <c r="Y555" s="2"/>
      <c r="Z555" s="2"/>
      <c r="AA555" s="2"/>
      <c r="AB555" s="2"/>
      <c r="AC555" s="2"/>
      <c r="AD555" s="2"/>
      <c r="AE555" s="2"/>
    </row>
    <row r="556" spans="1:31" ht="51">
      <c r="A556" s="2" t="s">
        <v>2165</v>
      </c>
      <c r="B556" s="2"/>
      <c r="C556" s="2" t="str">
        <f>sheet13[[#This Row],[Nombre]]&amp;sheet13[[#This Row],[Bp Id]]</f>
        <v>CXP Manager</v>
      </c>
      <c r="D556" s="2" t="str">
        <f>VLOOKUP(sheet13[[#This Row],[Columna1]],Sheet2!C:S,4,FALSE)</f>
        <v>No operativo</v>
      </c>
      <c r="E556" s="2"/>
      <c r="F556" s="2" t="s">
        <v>1788</v>
      </c>
      <c r="G556" s="2" t="s">
        <v>48</v>
      </c>
      <c r="H556" s="2" t="s">
        <v>34</v>
      </c>
      <c r="I556" s="2" t="s">
        <v>35</v>
      </c>
      <c r="J556" s="2" t="s">
        <v>349</v>
      </c>
      <c r="K556" s="2"/>
      <c r="L556" s="2"/>
      <c r="M556" s="2"/>
      <c r="N556" s="2" t="s">
        <v>2345</v>
      </c>
      <c r="O556" s="2"/>
      <c r="P556" s="2"/>
      <c r="Q556" s="2"/>
      <c r="R556" s="2"/>
      <c r="S556" s="2"/>
      <c r="T556" s="2"/>
      <c r="U556" s="2"/>
      <c r="V556" s="2"/>
      <c r="W556" s="3"/>
      <c r="X556" s="2"/>
      <c r="Y556" s="2"/>
      <c r="Z556" s="2"/>
      <c r="AA556" s="2"/>
      <c r="AB556" s="2"/>
      <c r="AC556" s="2"/>
      <c r="AD556" s="2"/>
      <c r="AE556" s="2"/>
    </row>
    <row r="557" spans="1:31" ht="38.450000000000003">
      <c r="A557" s="2" t="s">
        <v>2173</v>
      </c>
      <c r="B557" s="2"/>
      <c r="C557" s="2" t="str">
        <f>sheet13[[#This Row],[Nombre]]&amp;sheet13[[#This Row],[Bp Id]]</f>
        <v>Mesa de Servicios</v>
      </c>
      <c r="D557" s="2" t="str">
        <f>VLOOKUP(sheet13[[#This Row],[Columna1]],Sheet2!C:S,4,FALSE)</f>
        <v>No operativo</v>
      </c>
      <c r="E557" s="2"/>
      <c r="F557" s="2" t="s">
        <v>1788</v>
      </c>
      <c r="G557" s="2" t="s">
        <v>48</v>
      </c>
      <c r="H557" s="2" t="s">
        <v>34</v>
      </c>
      <c r="I557" s="2" t="s">
        <v>68</v>
      </c>
      <c r="J557" s="2" t="s">
        <v>236</v>
      </c>
      <c r="K557" s="2"/>
      <c r="L557" s="2"/>
      <c r="M557" s="2"/>
      <c r="N557" s="2" t="s">
        <v>2345</v>
      </c>
      <c r="O557" s="2"/>
      <c r="P557" s="2"/>
      <c r="Q557" s="2"/>
      <c r="R557" s="2"/>
      <c r="S557" s="2"/>
      <c r="T557" s="2"/>
      <c r="U557" s="2"/>
      <c r="V557" s="2"/>
      <c r="W557" s="3"/>
      <c r="X557" s="2"/>
      <c r="Y557" s="2"/>
      <c r="Z557" s="2"/>
      <c r="AA557" s="2"/>
      <c r="AB557" s="2"/>
      <c r="AC557" s="2"/>
      <c r="AD557" s="2"/>
      <c r="AE557" s="2"/>
    </row>
    <row r="558" spans="1:31" ht="51">
      <c r="A558" s="2" t="s">
        <v>2172</v>
      </c>
      <c r="B558" s="2"/>
      <c r="C558" s="2" t="str">
        <f>sheet13[[#This Row],[Nombre]]&amp;sheet13[[#This Row],[Bp Id]]</f>
        <v>AYUDA VENTAS</v>
      </c>
      <c r="D558" s="2" t="str">
        <f>VLOOKUP(sheet13[[#This Row],[Columna1]],Sheet2!C:S,4,FALSE)</f>
        <v>Retirado</v>
      </c>
      <c r="E558" s="2"/>
      <c r="F558" s="2" t="s">
        <v>47</v>
      </c>
      <c r="G558" s="2" t="s">
        <v>48</v>
      </c>
      <c r="H558" s="2" t="s">
        <v>34</v>
      </c>
      <c r="I558" s="2" t="s">
        <v>35</v>
      </c>
      <c r="J558" s="2" t="s">
        <v>349</v>
      </c>
      <c r="K558" s="2"/>
      <c r="L558" s="2"/>
      <c r="M558" s="2"/>
      <c r="N558" s="2" t="s">
        <v>2345</v>
      </c>
      <c r="O558" s="2"/>
      <c r="P558" s="2"/>
      <c r="Q558" s="2"/>
      <c r="R558" s="2"/>
      <c r="S558" s="2"/>
      <c r="T558" s="2"/>
      <c r="U558" s="2"/>
      <c r="V558" s="2"/>
      <c r="W558" s="3"/>
      <c r="X558" s="2"/>
      <c r="Y558" s="2"/>
      <c r="Z558" s="2"/>
      <c r="AA558" s="2"/>
      <c r="AB558" s="2"/>
      <c r="AC558" s="2"/>
      <c r="AD558" s="2"/>
      <c r="AE558" s="2"/>
    </row>
    <row r="559" spans="1:31" ht="63.6">
      <c r="A559" s="2" t="s">
        <v>2174</v>
      </c>
      <c r="B559" s="2"/>
      <c r="C559" s="2" t="str">
        <f>sheet13[[#This Row],[Nombre]]&amp;sheet13[[#This Row],[Bp Id]]</f>
        <v>Pentaho Data Integration</v>
      </c>
      <c r="D559" s="2" t="str">
        <f>VLOOKUP(sheet13[[#This Row],[Columna1]],Sheet2!C:S,4,FALSE)</f>
        <v>Retirado</v>
      </c>
      <c r="E559" s="2"/>
      <c r="F559" s="2" t="s">
        <v>47</v>
      </c>
      <c r="G559" s="2" t="s">
        <v>48</v>
      </c>
      <c r="H559" s="2" t="s">
        <v>34</v>
      </c>
      <c r="I559" s="2" t="s">
        <v>328</v>
      </c>
      <c r="J559" s="2" t="s">
        <v>329</v>
      </c>
      <c r="K559" s="2"/>
      <c r="L559" s="2" t="s">
        <v>331</v>
      </c>
      <c r="M559" s="2"/>
      <c r="N559" s="2" t="s">
        <v>2345</v>
      </c>
      <c r="O559" s="2"/>
      <c r="P559" s="2"/>
      <c r="Q559" s="2"/>
      <c r="R559" s="2"/>
      <c r="S559" s="2"/>
      <c r="T559" s="2"/>
      <c r="U559" s="2"/>
      <c r="V559" s="2"/>
      <c r="W559" s="3"/>
      <c r="X559" s="2"/>
      <c r="Y559" s="2"/>
      <c r="Z559" s="2"/>
      <c r="AA559" s="2"/>
      <c r="AB559" s="2"/>
      <c r="AC559" s="2"/>
      <c r="AD559" s="2"/>
      <c r="AE559" s="2"/>
    </row>
    <row r="560" spans="1:31" ht="75.95">
      <c r="A560" s="2" t="s">
        <v>2175</v>
      </c>
      <c r="B560" s="2"/>
      <c r="C560" s="2" t="str">
        <f>sheet13[[#This Row],[Nombre]]&amp;sheet13[[#This Row],[Bp Id]]</f>
        <v>AMERAFIN</v>
      </c>
      <c r="D560" s="2" t="str">
        <f>VLOOKUP(sheet13[[#This Row],[Columna1]],Sheet2!C:S,4,FALSE)</f>
        <v>Operativo</v>
      </c>
      <c r="E560" s="2"/>
      <c r="F560" s="2" t="s">
        <v>32</v>
      </c>
      <c r="G560" s="2" t="s">
        <v>48</v>
      </c>
      <c r="H560" s="2" t="s">
        <v>34</v>
      </c>
      <c r="I560" s="2" t="s">
        <v>553</v>
      </c>
      <c r="J560" s="2" t="s">
        <v>96</v>
      </c>
      <c r="K560" s="2" t="s">
        <v>1703</v>
      </c>
      <c r="L560" s="2" t="s">
        <v>556</v>
      </c>
      <c r="M560" s="2"/>
      <c r="N560" s="2" t="s">
        <v>2343</v>
      </c>
      <c r="O560" s="2" t="s">
        <v>40</v>
      </c>
      <c r="P560" s="2"/>
      <c r="Q560" s="2"/>
      <c r="R560" s="2"/>
      <c r="S560" s="2"/>
      <c r="T560" s="2" t="s">
        <v>2344</v>
      </c>
      <c r="U560" s="2" t="s">
        <v>2345</v>
      </c>
      <c r="V560" s="2"/>
      <c r="W560" s="3"/>
      <c r="X560" s="2"/>
      <c r="Y560" s="2"/>
      <c r="Z560" s="2"/>
      <c r="AA560" s="2"/>
      <c r="AB560" s="2"/>
      <c r="AC560" s="2"/>
      <c r="AD560" s="2"/>
      <c r="AE560" s="2"/>
    </row>
    <row r="561" spans="1:31" ht="63.6">
      <c r="A561" s="2" t="s">
        <v>2181</v>
      </c>
      <c r="B561" s="2"/>
      <c r="C561" s="2" t="str">
        <f>sheet13[[#This Row],[Nombre]]&amp;sheet13[[#This Row],[Bp Id]]</f>
        <v>LatamPass</v>
      </c>
      <c r="D561" s="2" t="str">
        <f>VLOOKUP(sheet13[[#This Row],[Columna1]],Sheet2!C:S,4,FALSE)</f>
        <v>Retirado</v>
      </c>
      <c r="E561" s="2"/>
      <c r="F561" s="2" t="s">
        <v>47</v>
      </c>
      <c r="G561" s="2" t="s">
        <v>48</v>
      </c>
      <c r="H561" s="2" t="s">
        <v>140</v>
      </c>
      <c r="I561" s="2" t="s">
        <v>134</v>
      </c>
      <c r="J561" s="2" t="s">
        <v>88</v>
      </c>
      <c r="K561" s="2"/>
      <c r="L561" s="2"/>
      <c r="M561" s="2"/>
      <c r="N561" s="2" t="s">
        <v>2345</v>
      </c>
      <c r="O561" s="2"/>
      <c r="P561" s="2"/>
      <c r="Q561" s="2"/>
      <c r="R561" s="2"/>
      <c r="S561" s="2"/>
      <c r="T561" s="2"/>
      <c r="U561" s="2"/>
      <c r="V561" s="2"/>
      <c r="W561" s="3"/>
      <c r="X561" s="2"/>
      <c r="Y561" s="2"/>
      <c r="Z561" s="2"/>
      <c r="AA561" s="2"/>
      <c r="AB561" s="2"/>
      <c r="AC561" s="2"/>
      <c r="AD561" s="2"/>
      <c r="AE561" s="2"/>
    </row>
    <row r="562" spans="1:31" ht="38.450000000000003">
      <c r="A562" s="2" t="s">
        <v>2182</v>
      </c>
      <c r="B562" s="2"/>
      <c r="C562" s="2" t="str">
        <f>sheet13[[#This Row],[Nombre]]&amp;sheet13[[#This Row],[Bp Id]]</f>
        <v>Microsoft Skype for Business</v>
      </c>
      <c r="D562" s="2" t="str">
        <f>VLOOKUP(sheet13[[#This Row],[Columna1]],Sheet2!C:S,4,FALSE)</f>
        <v>No operativo</v>
      </c>
      <c r="E562" s="2"/>
      <c r="F562" s="2" t="s">
        <v>1788</v>
      </c>
      <c r="G562" s="2" t="s">
        <v>48</v>
      </c>
      <c r="H562" s="2" t="s">
        <v>34</v>
      </c>
      <c r="I562" s="2" t="s">
        <v>68</v>
      </c>
      <c r="J562" s="2" t="s">
        <v>236</v>
      </c>
      <c r="K562" s="2"/>
      <c r="L562" s="2"/>
      <c r="M562" s="2"/>
      <c r="N562" s="2" t="s">
        <v>2345</v>
      </c>
      <c r="O562" s="2"/>
      <c r="P562" s="2"/>
      <c r="Q562" s="2"/>
      <c r="R562" s="2"/>
      <c r="S562" s="2"/>
      <c r="T562" s="2"/>
      <c r="U562" s="2"/>
      <c r="V562" s="2"/>
      <c r="W562" s="3"/>
      <c r="X562" s="2"/>
      <c r="Y562" s="2"/>
      <c r="Z562" s="2"/>
      <c r="AA562" s="2"/>
      <c r="AB562" s="2"/>
      <c r="AC562" s="2"/>
      <c r="AD562" s="2"/>
      <c r="AE562" s="2"/>
    </row>
    <row r="563" spans="1:31" ht="51">
      <c r="A563" s="2" t="s">
        <v>2183</v>
      </c>
      <c r="B563" s="2"/>
      <c r="C563" s="2" t="str">
        <f>sheet13[[#This Row],[Nombre]]&amp;sheet13[[#This Row],[Bp Id]]</f>
        <v>Pichincha Celular</v>
      </c>
      <c r="D563" s="2" t="str">
        <f>VLOOKUP(sheet13[[#This Row],[Columna1]],Sheet2!C:S,4,FALSE)</f>
        <v>No operativo</v>
      </c>
      <c r="E563" s="2"/>
      <c r="F563" s="2" t="s">
        <v>1788</v>
      </c>
      <c r="G563" s="2" t="s">
        <v>48</v>
      </c>
      <c r="H563" s="2" t="s">
        <v>34</v>
      </c>
      <c r="I563" s="2" t="s">
        <v>35</v>
      </c>
      <c r="J563" s="2" t="s">
        <v>349</v>
      </c>
      <c r="K563" s="2"/>
      <c r="L563" s="2"/>
      <c r="M563" s="2"/>
      <c r="N563" s="2" t="s">
        <v>2345</v>
      </c>
      <c r="O563" s="2"/>
      <c r="P563" s="2"/>
      <c r="Q563" s="2"/>
      <c r="R563" s="2"/>
      <c r="S563" s="2"/>
      <c r="T563" s="2"/>
      <c r="U563" s="2"/>
      <c r="V563" s="2"/>
      <c r="W563" s="3"/>
      <c r="X563" s="2"/>
      <c r="Y563" s="2"/>
      <c r="Z563" s="2"/>
      <c r="AA563" s="2"/>
      <c r="AB563" s="2"/>
      <c r="AC563" s="2"/>
      <c r="AD563" s="2"/>
      <c r="AE563" s="2"/>
    </row>
    <row r="564" spans="1:31" ht="63.6">
      <c r="A564" s="2" t="s">
        <v>2184</v>
      </c>
      <c r="B564" s="2"/>
      <c r="C564" s="2" t="str">
        <f>sheet13[[#This Row],[Nombre]]&amp;sheet13[[#This Row],[Bp Id]]</f>
        <v>Marketing Digital</v>
      </c>
      <c r="D564" s="2" t="str">
        <f>VLOOKUP(sheet13[[#This Row],[Columna1]],Sheet2!C:S,4,FALSE)</f>
        <v>Retirado</v>
      </c>
      <c r="E564" s="2"/>
      <c r="F564" s="2" t="s">
        <v>47</v>
      </c>
      <c r="G564" s="2" t="s">
        <v>48</v>
      </c>
      <c r="H564" s="2" t="s">
        <v>34</v>
      </c>
      <c r="I564" s="2" t="s">
        <v>134</v>
      </c>
      <c r="J564" s="2" t="s">
        <v>88</v>
      </c>
      <c r="K564" s="2"/>
      <c r="L564" s="2"/>
      <c r="M564" s="2"/>
      <c r="N564" s="2" t="s">
        <v>2345</v>
      </c>
      <c r="O564" s="2"/>
      <c r="P564" s="2"/>
      <c r="Q564" s="2"/>
      <c r="R564" s="2"/>
      <c r="S564" s="2"/>
      <c r="T564" s="2"/>
      <c r="U564" s="2"/>
      <c r="V564" s="2"/>
      <c r="W564" s="3"/>
      <c r="X564" s="2"/>
      <c r="Y564" s="2"/>
      <c r="Z564" s="2"/>
      <c r="AA564" s="2"/>
      <c r="AB564" s="2"/>
      <c r="AC564" s="2"/>
      <c r="AD564" s="2"/>
      <c r="AE564" s="2"/>
    </row>
    <row r="565" spans="1:31" ht="63.6">
      <c r="A565" s="2" t="s">
        <v>2187</v>
      </c>
      <c r="B565" s="2" t="s">
        <v>2188</v>
      </c>
      <c r="C565" s="2" t="str">
        <f>sheet13[[#This Row],[Nombre]]&amp;sheet13[[#This Row],[Bp Id]]</f>
        <v>WindsurfITM0134</v>
      </c>
      <c r="D565" s="2" t="str">
        <f>VLOOKUP(sheet13[[#This Row],[Columna1]],Sheet2!C:S,4,FALSE)</f>
        <v>Operativo</v>
      </c>
      <c r="E565" s="2"/>
      <c r="F565" s="2" t="s">
        <v>32</v>
      </c>
      <c r="G565" s="2" t="s">
        <v>48</v>
      </c>
      <c r="H565" s="2" t="s">
        <v>59</v>
      </c>
      <c r="I565" s="2" t="s">
        <v>198</v>
      </c>
      <c r="J565" s="2" t="s">
        <v>240</v>
      </c>
      <c r="K565" s="2" t="s">
        <v>433</v>
      </c>
      <c r="L565" s="2" t="s">
        <v>901</v>
      </c>
      <c r="M565" s="2"/>
      <c r="N565" s="2" t="s">
        <v>2343</v>
      </c>
      <c r="O565" s="2" t="s">
        <v>40</v>
      </c>
      <c r="P565" s="2"/>
      <c r="Q565" s="2"/>
      <c r="R565" s="2"/>
      <c r="S565" s="2"/>
      <c r="T565" s="2" t="s">
        <v>2344</v>
      </c>
      <c r="U565" s="2" t="s">
        <v>2345</v>
      </c>
      <c r="V565" s="2"/>
      <c r="W565" s="3"/>
      <c r="X565" s="2"/>
      <c r="Y565" s="2"/>
      <c r="Z565" s="2"/>
      <c r="AA565" s="2"/>
      <c r="AB565" s="2"/>
      <c r="AC565" s="2"/>
      <c r="AD565" s="2"/>
      <c r="AE565" s="2"/>
    </row>
    <row r="566" spans="1:31" ht="63.6">
      <c r="A566" s="2" t="s">
        <v>2189</v>
      </c>
      <c r="B566" s="2" t="s">
        <v>2190</v>
      </c>
      <c r="C566" s="2" t="str">
        <f>sheet13[[#This Row],[Nombre]]&amp;sheet13[[#This Row],[Bp Id]]</f>
        <v>HyperionSUP0028</v>
      </c>
      <c r="D566" s="2" t="str">
        <f>VLOOKUP(sheet13[[#This Row],[Columna1]],Sheet2!C:S,4,FALSE)</f>
        <v>Retirado</v>
      </c>
      <c r="E566" s="2"/>
      <c r="F566" s="2" t="s">
        <v>47</v>
      </c>
      <c r="G566" s="2" t="s">
        <v>123</v>
      </c>
      <c r="H566" s="2" t="s">
        <v>34</v>
      </c>
      <c r="I566" s="2" t="s">
        <v>225</v>
      </c>
      <c r="J566" s="2" t="s">
        <v>226</v>
      </c>
      <c r="K566" s="2" t="s">
        <v>277</v>
      </c>
      <c r="L566" s="2" t="s">
        <v>1763</v>
      </c>
      <c r="M566" s="2"/>
      <c r="N566" s="2" t="s">
        <v>2345</v>
      </c>
      <c r="O566" s="2"/>
      <c r="P566" s="2"/>
      <c r="Q566" s="2"/>
      <c r="R566" s="2"/>
      <c r="S566" s="2"/>
      <c r="T566" s="2"/>
      <c r="U566" s="2"/>
      <c r="V566" s="2"/>
      <c r="W566" s="3"/>
      <c r="X566" s="2"/>
      <c r="Y566" s="2"/>
      <c r="Z566" s="2"/>
      <c r="AA566" s="2"/>
      <c r="AB566" s="2"/>
      <c r="AC566" s="2"/>
      <c r="AD566" s="2"/>
      <c r="AE566" s="2"/>
    </row>
    <row r="567" spans="1:31" ht="51">
      <c r="A567" s="2" t="s">
        <v>2191</v>
      </c>
      <c r="B567" s="2" t="s">
        <v>2192</v>
      </c>
      <c r="C567" s="2" t="str">
        <f>sheet13[[#This Row],[Nombre]]&amp;sheet13[[#This Row],[Bp Id]]</f>
        <v>Elastic Container RegistryITM0136</v>
      </c>
      <c r="D567" s="2" t="str">
        <f>VLOOKUP(sheet13[[#This Row],[Columna1]],Sheet2!C:S,4,FALSE)</f>
        <v>Operativo</v>
      </c>
      <c r="E567" s="2"/>
      <c r="F567" s="2" t="s">
        <v>32</v>
      </c>
      <c r="G567" s="2" t="s">
        <v>48</v>
      </c>
      <c r="H567" s="2" t="s">
        <v>59</v>
      </c>
      <c r="I567" s="2" t="s">
        <v>198</v>
      </c>
      <c r="J567" s="2" t="s">
        <v>199</v>
      </c>
      <c r="K567" s="2" t="s">
        <v>521</v>
      </c>
      <c r="L567" s="2" t="s">
        <v>241</v>
      </c>
      <c r="M567" s="2"/>
      <c r="N567" s="2" t="s">
        <v>2343</v>
      </c>
      <c r="O567" s="2" t="s">
        <v>40</v>
      </c>
      <c r="P567" s="2"/>
      <c r="Q567" s="2"/>
      <c r="R567" s="2"/>
      <c r="S567" s="2"/>
      <c r="T567" s="2" t="s">
        <v>2344</v>
      </c>
      <c r="U567" s="2" t="s">
        <v>2345</v>
      </c>
      <c r="V567" s="2"/>
      <c r="W567" s="3"/>
      <c r="X567" s="2"/>
      <c r="Y567" s="2"/>
      <c r="Z567" s="2"/>
      <c r="AA567" s="2"/>
      <c r="AB567" s="2"/>
      <c r="AC567" s="2"/>
      <c r="AD567" s="2"/>
      <c r="AE567" s="2"/>
    </row>
    <row r="568" spans="1:31" ht="51">
      <c r="A568" s="2" t="s">
        <v>2195</v>
      </c>
      <c r="B568" s="2" t="s">
        <v>2196</v>
      </c>
      <c r="C568" s="2" t="str">
        <f>sheet13[[#This Row],[Nombre]]&amp;sheet13[[#This Row],[Bp Id]]</f>
        <v>BloombergITM0129</v>
      </c>
      <c r="D568" s="2" t="str">
        <f>VLOOKUP(sheet13[[#This Row],[Columna1]],Sheet2!C:S,4,FALSE)</f>
        <v>Operativo</v>
      </c>
      <c r="E568" s="2"/>
      <c r="F568" s="2" t="s">
        <v>32</v>
      </c>
      <c r="G568" s="2" t="s">
        <v>48</v>
      </c>
      <c r="H568" s="2" t="s">
        <v>140</v>
      </c>
      <c r="I568" s="2" t="s">
        <v>225</v>
      </c>
      <c r="J568" s="2" t="s">
        <v>226</v>
      </c>
      <c r="K568" s="2" t="s">
        <v>617</v>
      </c>
      <c r="L568" s="2" t="s">
        <v>2371</v>
      </c>
      <c r="M568" s="2"/>
      <c r="N568" s="2" t="s">
        <v>2343</v>
      </c>
      <c r="O568" s="2" t="s">
        <v>40</v>
      </c>
      <c r="P568" s="2"/>
      <c r="Q568" s="2"/>
      <c r="R568" s="2"/>
      <c r="S568" s="2"/>
      <c r="T568" s="2" t="s">
        <v>2344</v>
      </c>
      <c r="U568" s="2" t="s">
        <v>2345</v>
      </c>
      <c r="V568" s="2"/>
      <c r="W568" s="3"/>
      <c r="X568" s="2"/>
      <c r="Y568" s="2"/>
      <c r="Z568" s="2"/>
      <c r="AA568" s="2"/>
      <c r="AB568" s="2"/>
      <c r="AC568" s="2"/>
      <c r="AD568" s="2"/>
      <c r="AE568" s="2"/>
    </row>
    <row r="569" spans="1:31" ht="51">
      <c r="A569" s="2" t="s">
        <v>2193</v>
      </c>
      <c r="B569" s="2" t="s">
        <v>2194</v>
      </c>
      <c r="C569" s="2" t="str">
        <f>sheet13[[#This Row],[Nombre]]&amp;sheet13[[#This Row],[Bp Id]]</f>
        <v>Portal autogestión UACSUP0068</v>
      </c>
      <c r="D569" s="2" t="str">
        <f>VLOOKUP(sheet13[[#This Row],[Columna1]],Sheet2!C:S,4,FALSE)</f>
        <v>Operativo</v>
      </c>
      <c r="E569" s="2"/>
      <c r="F569" s="2" t="s">
        <v>32</v>
      </c>
      <c r="G569" s="2" t="s">
        <v>48</v>
      </c>
      <c r="H569" s="2" t="s">
        <v>34</v>
      </c>
      <c r="I569" s="2" t="s">
        <v>225</v>
      </c>
      <c r="J569" s="2" t="s">
        <v>226</v>
      </c>
      <c r="K569" s="2" t="s">
        <v>1779</v>
      </c>
      <c r="L569" s="2" t="s">
        <v>228</v>
      </c>
      <c r="M569" s="2"/>
      <c r="N569" s="2" t="s">
        <v>2343</v>
      </c>
      <c r="O569" s="2" t="s">
        <v>40</v>
      </c>
      <c r="P569" s="2"/>
      <c r="Q569" s="2"/>
      <c r="R569" s="2"/>
      <c r="S569" s="2"/>
      <c r="T569" s="2" t="s">
        <v>2344</v>
      </c>
      <c r="U569" s="2" t="s">
        <v>2345</v>
      </c>
      <c r="V569" s="2"/>
      <c r="W569" s="3"/>
      <c r="X569" s="2"/>
      <c r="Y569" s="2"/>
      <c r="Z569" s="2"/>
      <c r="AA569" s="2"/>
      <c r="AB569" s="2"/>
      <c r="AC569" s="2"/>
      <c r="AD569" s="2"/>
      <c r="AE569" s="2"/>
    </row>
    <row r="570" spans="1:31" ht="51">
      <c r="A570" s="2" t="s">
        <v>2197</v>
      </c>
      <c r="B570" s="2" t="s">
        <v>2198</v>
      </c>
      <c r="C570" s="2" t="str">
        <f>sheet13[[#This Row],[Nombre]]&amp;sheet13[[#This Row],[Bp Id]]</f>
        <v>Editor SwiftPRD0038</v>
      </c>
      <c r="D570" s="2" t="str">
        <f>VLOOKUP(sheet13[[#This Row],[Columna1]],Sheet2!C:S,4,FALSE)</f>
        <v>Retirado</v>
      </c>
      <c r="E570" s="2"/>
      <c r="F570" s="2" t="s">
        <v>47</v>
      </c>
      <c r="G570" s="2" t="s">
        <v>48</v>
      </c>
      <c r="H570" s="2" t="s">
        <v>34</v>
      </c>
      <c r="I570" s="2" t="s">
        <v>921</v>
      </c>
      <c r="J570" s="2" t="s">
        <v>240</v>
      </c>
      <c r="K570" s="2" t="s">
        <v>1346</v>
      </c>
      <c r="L570" s="2" t="s">
        <v>634</v>
      </c>
      <c r="M570" s="2"/>
      <c r="N570" s="2" t="s">
        <v>2345</v>
      </c>
      <c r="O570" s="2"/>
      <c r="P570" s="2"/>
      <c r="Q570" s="2"/>
      <c r="R570" s="2"/>
      <c r="S570" s="2"/>
      <c r="T570" s="2"/>
      <c r="U570" s="2"/>
      <c r="V570" s="2"/>
      <c r="W570" s="3"/>
      <c r="X570" s="2"/>
      <c r="Y570" s="2"/>
      <c r="Z570" s="2"/>
      <c r="AA570" s="2"/>
      <c r="AB570" s="2"/>
      <c r="AC570" s="2"/>
      <c r="AD570" s="2"/>
      <c r="AE570" s="2"/>
    </row>
    <row r="571" spans="1:31" ht="51">
      <c r="A571" s="2" t="s">
        <v>2199</v>
      </c>
      <c r="B571" s="2" t="s">
        <v>2200</v>
      </c>
      <c r="C571" s="2" t="str">
        <f>sheet13[[#This Row],[Nombre]]&amp;sheet13[[#This Row],[Bp Id]]</f>
        <v>Reportes BanktradePRD0027</v>
      </c>
      <c r="D571" s="2" t="str">
        <f>VLOOKUP(sheet13[[#This Row],[Columna1]],Sheet2!C:S,4,FALSE)</f>
        <v>Retirado</v>
      </c>
      <c r="E571" s="2"/>
      <c r="F571" s="2" t="s">
        <v>47</v>
      </c>
      <c r="G571" s="2" t="s">
        <v>76</v>
      </c>
      <c r="H571" s="2" t="s">
        <v>34</v>
      </c>
      <c r="I571" s="2" t="s">
        <v>553</v>
      </c>
      <c r="J571" s="2" t="s">
        <v>554</v>
      </c>
      <c r="K571" s="2"/>
      <c r="L571" s="2" t="s">
        <v>2201</v>
      </c>
      <c r="M571" s="2"/>
      <c r="N571" s="2" t="s">
        <v>2345</v>
      </c>
      <c r="O571" s="2"/>
      <c r="P571" s="2"/>
      <c r="Q571" s="2"/>
      <c r="R571" s="2"/>
      <c r="S571" s="2"/>
      <c r="T571" s="2"/>
      <c r="U571" s="2"/>
      <c r="V571" s="2"/>
      <c r="W571" s="3"/>
      <c r="X571" s="2"/>
      <c r="Y571" s="2"/>
      <c r="Z571" s="2"/>
      <c r="AA571" s="2"/>
      <c r="AB571" s="2"/>
      <c r="AC571" s="2"/>
      <c r="AD571" s="2"/>
      <c r="AE571" s="2"/>
    </row>
    <row r="572" spans="1:31" ht="63.6">
      <c r="A572" s="2" t="s">
        <v>2202</v>
      </c>
      <c r="B572" s="2" t="s">
        <v>2203</v>
      </c>
      <c r="C572" s="2" t="str">
        <f>sheet13[[#This Row],[Nombre]]&amp;sheet13[[#This Row],[Bp Id]]</f>
        <v>WebATMCHL0031</v>
      </c>
      <c r="D572" s="2" t="str">
        <f>VLOOKUP(sheet13[[#This Row],[Columna1]],Sheet2!C:S,4,FALSE)</f>
        <v>Retirado</v>
      </c>
      <c r="E572" s="2"/>
      <c r="F572" s="2" t="s">
        <v>47</v>
      </c>
      <c r="G572" s="2" t="s">
        <v>48</v>
      </c>
      <c r="H572" s="2" t="s">
        <v>34</v>
      </c>
      <c r="I572" s="2" t="s">
        <v>35</v>
      </c>
      <c r="J572" s="2" t="s">
        <v>349</v>
      </c>
      <c r="K572" s="2" t="s">
        <v>234</v>
      </c>
      <c r="L572" s="2" t="s">
        <v>1326</v>
      </c>
      <c r="M572" s="2"/>
      <c r="N572" s="2" t="s">
        <v>2345</v>
      </c>
      <c r="O572" s="2"/>
      <c r="P572" s="2"/>
      <c r="Q572" s="2"/>
      <c r="R572" s="2"/>
      <c r="S572" s="2"/>
      <c r="T572" s="2"/>
      <c r="U572" s="2"/>
      <c r="V572" s="2"/>
      <c r="W572" s="3"/>
      <c r="X572" s="2"/>
      <c r="Y572" s="2"/>
      <c r="Z572" s="2"/>
      <c r="AA572" s="2"/>
      <c r="AB572" s="2"/>
      <c r="AC572" s="2"/>
      <c r="AD572" s="2"/>
      <c r="AE572" s="2"/>
    </row>
    <row r="573" spans="1:31" ht="51">
      <c r="A573" s="2" t="s">
        <v>2204</v>
      </c>
      <c r="B573" s="2" t="s">
        <v>2205</v>
      </c>
      <c r="C573" s="2" t="str">
        <f>sheet13[[#This Row],[Nombre]]&amp;sheet13[[#This Row],[Bp Id]]</f>
        <v>NNMIITM0042</v>
      </c>
      <c r="D573" s="2" t="str">
        <f>VLOOKUP(sheet13[[#This Row],[Columna1]],Sheet2!C:S,4,FALSE)</f>
        <v>Retirado</v>
      </c>
      <c r="E573" s="2"/>
      <c r="F573" s="2" t="s">
        <v>47</v>
      </c>
      <c r="G573" s="2" t="s">
        <v>58</v>
      </c>
      <c r="H573" s="2" t="s">
        <v>34</v>
      </c>
      <c r="I573" s="2" t="s">
        <v>68</v>
      </c>
      <c r="J573" s="2" t="s">
        <v>236</v>
      </c>
      <c r="K573" s="2" t="s">
        <v>516</v>
      </c>
      <c r="L573" s="2" t="s">
        <v>2206</v>
      </c>
      <c r="M573" s="2"/>
      <c r="N573" s="2" t="s">
        <v>2345</v>
      </c>
      <c r="O573" s="2"/>
      <c r="P573" s="2"/>
      <c r="Q573" s="2"/>
      <c r="R573" s="2"/>
      <c r="S573" s="2"/>
      <c r="T573" s="2"/>
      <c r="U573" s="2"/>
      <c r="V573" s="2"/>
      <c r="W573" s="3"/>
      <c r="X573" s="2"/>
      <c r="Y573" s="2"/>
      <c r="Z573" s="2"/>
      <c r="AA573" s="2"/>
      <c r="AB573" s="2"/>
      <c r="AC573" s="2"/>
      <c r="AD573" s="2"/>
      <c r="AE573" s="2"/>
    </row>
    <row r="574" spans="1:31" ht="63.6">
      <c r="A574" s="2" t="s">
        <v>2207</v>
      </c>
      <c r="B574" s="2" t="s">
        <v>2208</v>
      </c>
      <c r="C574" s="2" t="str">
        <f>sheet13[[#This Row],[Nombre]]&amp;sheet13[[#This Row],[Bp Id]]</f>
        <v>Administración de Bienes y ServiciosSUP0002</v>
      </c>
      <c r="D574" s="2" t="str">
        <f>VLOOKUP(sheet13[[#This Row],[Columna1]],Sheet2!C:S,4,FALSE)</f>
        <v>Retirado</v>
      </c>
      <c r="E574" s="2"/>
      <c r="F574" s="2" t="s">
        <v>47</v>
      </c>
      <c r="G574" s="2" t="s">
        <v>48</v>
      </c>
      <c r="H574" s="2" t="s">
        <v>34</v>
      </c>
      <c r="I574" s="2" t="s">
        <v>225</v>
      </c>
      <c r="J574" s="2" t="s">
        <v>226</v>
      </c>
      <c r="K574" s="2"/>
      <c r="L574" s="2"/>
      <c r="M574" s="2"/>
      <c r="N574" s="2" t="s">
        <v>2345</v>
      </c>
      <c r="O574" s="2"/>
      <c r="P574" s="2"/>
      <c r="Q574" s="2"/>
      <c r="R574" s="2"/>
      <c r="S574" s="2"/>
      <c r="T574" s="2"/>
      <c r="U574" s="2"/>
      <c r="V574" s="2"/>
      <c r="W574" s="3"/>
      <c r="X574" s="2"/>
      <c r="Y574" s="2"/>
      <c r="Z574" s="2"/>
      <c r="AA574" s="2"/>
      <c r="AB574" s="2"/>
      <c r="AC574" s="2"/>
      <c r="AD574" s="2"/>
      <c r="AE574" s="2"/>
    </row>
    <row r="575" spans="1:31" ht="51">
      <c r="A575" s="2" t="s">
        <v>2209</v>
      </c>
      <c r="B575" s="2" t="s">
        <v>2210</v>
      </c>
      <c r="C575" s="2" t="str">
        <f>sheet13[[#This Row],[Nombre]]&amp;sheet13[[#This Row],[Bp Id]]</f>
        <v>Administración de CustodiaSUP0003</v>
      </c>
      <c r="D575" s="2" t="str">
        <f>VLOOKUP(sheet13[[#This Row],[Columna1]],Sheet2!C:S,4,FALSE)</f>
        <v>Retirado</v>
      </c>
      <c r="E575" s="2"/>
      <c r="F575" s="2" t="s">
        <v>47</v>
      </c>
      <c r="G575" s="2" t="s">
        <v>48</v>
      </c>
      <c r="H575" s="2" t="s">
        <v>34</v>
      </c>
      <c r="I575" s="2" t="s">
        <v>225</v>
      </c>
      <c r="J575" s="2" t="s">
        <v>226</v>
      </c>
      <c r="K575" s="2"/>
      <c r="L575" s="2" t="s">
        <v>1763</v>
      </c>
      <c r="M575" s="2"/>
      <c r="N575" s="2" t="s">
        <v>2345</v>
      </c>
      <c r="O575" s="2"/>
      <c r="P575" s="2"/>
      <c r="Q575" s="2"/>
      <c r="R575" s="2"/>
      <c r="S575" s="2"/>
      <c r="T575" s="2"/>
      <c r="U575" s="2"/>
      <c r="V575" s="2"/>
      <c r="W575" s="3"/>
      <c r="X575" s="2"/>
      <c r="Y575" s="2"/>
      <c r="Z575" s="2"/>
      <c r="AA575" s="2"/>
      <c r="AB575" s="2"/>
      <c r="AC575" s="2"/>
      <c r="AD575" s="2"/>
      <c r="AE575" s="2"/>
    </row>
    <row r="576" spans="1:31" ht="75.95">
      <c r="A576" s="2" t="s">
        <v>2211</v>
      </c>
      <c r="B576" s="2" t="s">
        <v>2212</v>
      </c>
      <c r="C576" s="2" t="str">
        <f>sheet13[[#This Row],[Nombre]]&amp;sheet13[[#This Row],[Bp Id]]</f>
        <v>Solución de Gestión de Certificados DigitalesSEC0097</v>
      </c>
      <c r="D576" s="2" t="str">
        <f>VLOOKUP(sheet13[[#This Row],[Columna1]],Sheet2!C:S,4,FALSE)</f>
        <v>Operativo</v>
      </c>
      <c r="E576" s="2"/>
      <c r="F576" s="2" t="s">
        <v>32</v>
      </c>
      <c r="G576" s="2" t="s">
        <v>48</v>
      </c>
      <c r="H576" s="2" t="s">
        <v>59</v>
      </c>
      <c r="I576" s="2" t="s">
        <v>2348</v>
      </c>
      <c r="J576" s="2" t="s">
        <v>185</v>
      </c>
      <c r="K576" s="2" t="s">
        <v>176</v>
      </c>
      <c r="L576" s="2" t="s">
        <v>214</v>
      </c>
      <c r="M576" s="2"/>
      <c r="N576" s="2" t="s">
        <v>2343</v>
      </c>
      <c r="O576" s="2" t="s">
        <v>40</v>
      </c>
      <c r="P576" s="2"/>
      <c r="Q576" s="2"/>
      <c r="R576" s="2"/>
      <c r="S576" s="2"/>
      <c r="T576" s="2" t="s">
        <v>2344</v>
      </c>
      <c r="U576" s="2" t="s">
        <v>2345</v>
      </c>
      <c r="V576" s="2"/>
      <c r="W576" s="3"/>
      <c r="X576" s="2"/>
      <c r="Y576" s="2"/>
      <c r="Z576" s="2"/>
      <c r="AA576" s="2"/>
      <c r="AB576" s="2"/>
      <c r="AC576" s="2"/>
      <c r="AD576" s="2"/>
      <c r="AE576" s="2"/>
    </row>
    <row r="577" spans="1:31" ht="75.95">
      <c r="A577" s="2" t="s">
        <v>2213</v>
      </c>
      <c r="B577" s="2" t="s">
        <v>2214</v>
      </c>
      <c r="C577" s="2" t="str">
        <f>sheet13[[#This Row],[Nombre]]&amp;sheet13[[#This Row],[Bp Id]]</f>
        <v>AutoGestionWebPRD0045</v>
      </c>
      <c r="D577" s="2" t="str">
        <f>VLOOKUP(sheet13[[#This Row],[Columna1]],Sheet2!C:S,4,FALSE)</f>
        <v>Retirado</v>
      </c>
      <c r="E577" s="2"/>
      <c r="F577" s="2" t="s">
        <v>47</v>
      </c>
      <c r="G577" s="2" t="s">
        <v>48</v>
      </c>
      <c r="H577" s="2" t="s">
        <v>34</v>
      </c>
      <c r="I577" s="2" t="s">
        <v>1086</v>
      </c>
      <c r="J577" s="2" t="s">
        <v>96</v>
      </c>
      <c r="K577" s="2"/>
      <c r="L577" s="2" t="s">
        <v>98</v>
      </c>
      <c r="M577" s="2"/>
      <c r="N577" s="2" t="s">
        <v>2345</v>
      </c>
      <c r="O577" s="2"/>
      <c r="P577" s="2"/>
      <c r="Q577" s="2"/>
      <c r="R577" s="2"/>
      <c r="S577" s="2"/>
      <c r="T577" s="2"/>
      <c r="U577" s="2"/>
      <c r="V577" s="2"/>
      <c r="W577" s="3"/>
      <c r="X577" s="2"/>
      <c r="Y577" s="2"/>
      <c r="Z577" s="2"/>
      <c r="AA577" s="2"/>
      <c r="AB577" s="2"/>
      <c r="AC577" s="2"/>
      <c r="AD577" s="2"/>
      <c r="AE577" s="2"/>
    </row>
    <row r="578" spans="1:31" ht="63.6">
      <c r="A578" s="2" t="s">
        <v>2215</v>
      </c>
      <c r="B578" s="2" t="s">
        <v>2216</v>
      </c>
      <c r="C578" s="2" t="str">
        <f>sheet13[[#This Row],[Nombre]]&amp;sheet13[[#This Row],[Bp Id]]</f>
        <v>Almacenamiento NetApp - TieBreakerITM0108</v>
      </c>
      <c r="D578" s="2" t="str">
        <f>VLOOKUP(sheet13[[#This Row],[Columna1]],Sheet2!C:S,4,FALSE)</f>
        <v>Operativo</v>
      </c>
      <c r="E578" s="2"/>
      <c r="F578" s="2" t="s">
        <v>32</v>
      </c>
      <c r="G578" s="2" t="s">
        <v>48</v>
      </c>
      <c r="H578" s="2" t="s">
        <v>34</v>
      </c>
      <c r="I578" s="2" t="s">
        <v>68</v>
      </c>
      <c r="J578" s="2" t="s">
        <v>69</v>
      </c>
      <c r="K578" s="2" t="s">
        <v>70</v>
      </c>
      <c r="L578" s="2" t="s">
        <v>1929</v>
      </c>
      <c r="M578" s="2"/>
      <c r="N578" s="2" t="s">
        <v>2343</v>
      </c>
      <c r="O578" s="2" t="s">
        <v>40</v>
      </c>
      <c r="P578" s="2"/>
      <c r="Q578" s="2"/>
      <c r="R578" s="2"/>
      <c r="S578" s="2"/>
      <c r="T578" s="2" t="s">
        <v>2344</v>
      </c>
      <c r="U578" s="2" t="s">
        <v>2345</v>
      </c>
      <c r="V578" s="2"/>
      <c r="W578" s="3"/>
      <c r="X578" s="2"/>
      <c r="Y578" s="2"/>
      <c r="Z578" s="2"/>
      <c r="AA578" s="2"/>
      <c r="AB578" s="2"/>
      <c r="AC578" s="2"/>
      <c r="AD578" s="2"/>
      <c r="AE578" s="2"/>
    </row>
    <row r="579" spans="1:31" ht="51">
      <c r="A579" s="2" t="s">
        <v>2217</v>
      </c>
      <c r="B579" s="2" t="s">
        <v>2218</v>
      </c>
      <c r="C579" s="2" t="str">
        <f>sheet13[[#This Row],[Nombre]]&amp;sheet13[[#This Row],[Bp Id]]</f>
        <v>FoglightITM0020</v>
      </c>
      <c r="D579" s="2" t="str">
        <f>VLOOKUP(sheet13[[#This Row],[Columna1]],Sheet2!C:S,4,FALSE)</f>
        <v>Retirado</v>
      </c>
      <c r="E579" s="2"/>
      <c r="F579" s="2" t="s">
        <v>47</v>
      </c>
      <c r="G579" s="2" t="s">
        <v>48</v>
      </c>
      <c r="H579" s="2" t="s">
        <v>34</v>
      </c>
      <c r="I579" s="2" t="s">
        <v>68</v>
      </c>
      <c r="J579" s="2" t="s">
        <v>236</v>
      </c>
      <c r="K579" s="2"/>
      <c r="L579" s="2" t="s">
        <v>2219</v>
      </c>
      <c r="M579" s="2"/>
      <c r="N579" s="2" t="s">
        <v>2345</v>
      </c>
      <c r="O579" s="2"/>
      <c r="P579" s="2"/>
      <c r="Q579" s="2"/>
      <c r="R579" s="2"/>
      <c r="S579" s="2"/>
      <c r="T579" s="2"/>
      <c r="U579" s="2"/>
      <c r="V579" s="2"/>
      <c r="W579" s="3"/>
      <c r="X579" s="2"/>
      <c r="Y579" s="2"/>
      <c r="Z579" s="2"/>
      <c r="AA579" s="2"/>
      <c r="AB579" s="2"/>
      <c r="AC579" s="2"/>
      <c r="AD579" s="2"/>
      <c r="AE579" s="2"/>
    </row>
    <row r="580" spans="1:31" ht="51">
      <c r="A580" s="2" t="s">
        <v>2220</v>
      </c>
      <c r="B580" s="2" t="s">
        <v>2221</v>
      </c>
      <c r="C580" s="2" t="str">
        <f>sheet13[[#This Row],[Nombre]]&amp;sheet13[[#This Row],[Bp Id]]</f>
        <v>IBM RTCITM0033</v>
      </c>
      <c r="D580" s="2" t="str">
        <f>VLOOKUP(sheet13[[#This Row],[Columna1]],Sheet2!C:S,4,FALSE)</f>
        <v>Retirado</v>
      </c>
      <c r="E580" s="2"/>
      <c r="F580" s="2" t="s">
        <v>47</v>
      </c>
      <c r="G580" s="2" t="s">
        <v>48</v>
      </c>
      <c r="H580" s="2" t="s">
        <v>34</v>
      </c>
      <c r="I580" s="2" t="s">
        <v>198</v>
      </c>
      <c r="J580" s="2" t="s">
        <v>199</v>
      </c>
      <c r="K580" s="2" t="s">
        <v>199</v>
      </c>
      <c r="L580" s="2" t="s">
        <v>199</v>
      </c>
      <c r="M580" s="2"/>
      <c r="N580" s="2" t="s">
        <v>2345</v>
      </c>
      <c r="O580" s="2"/>
      <c r="P580" s="2"/>
      <c r="Q580" s="2"/>
      <c r="R580" s="2"/>
      <c r="S580" s="2"/>
      <c r="T580" s="2"/>
      <c r="U580" s="2"/>
      <c r="V580" s="2"/>
      <c r="W580" s="3"/>
      <c r="X580" s="2"/>
      <c r="Y580" s="2"/>
      <c r="Z580" s="2"/>
      <c r="AA580" s="2"/>
      <c r="AB580" s="2"/>
      <c r="AC580" s="2"/>
      <c r="AD580" s="2"/>
      <c r="AE580" s="2"/>
    </row>
    <row r="581" spans="1:31" ht="51">
      <c r="A581" s="2" t="s">
        <v>2222</v>
      </c>
      <c r="B581" s="2" t="s">
        <v>2223</v>
      </c>
      <c r="C581" s="2" t="str">
        <f>sheet13[[#This Row],[Nombre]]&amp;sheet13[[#This Row],[Bp Id]]</f>
        <v>BanktradePRD0004</v>
      </c>
      <c r="D581" s="2" t="str">
        <f>VLOOKUP(sheet13[[#This Row],[Columna1]],Sheet2!C:S,4,FALSE)</f>
        <v>Retirado</v>
      </c>
      <c r="E581" s="2"/>
      <c r="F581" s="2" t="s">
        <v>47</v>
      </c>
      <c r="G581" s="2" t="s">
        <v>76</v>
      </c>
      <c r="H581" s="2" t="s">
        <v>34</v>
      </c>
      <c r="I581" s="2" t="s">
        <v>553</v>
      </c>
      <c r="J581" s="2" t="s">
        <v>554</v>
      </c>
      <c r="K581" s="2"/>
      <c r="L581" s="2" t="s">
        <v>2201</v>
      </c>
      <c r="M581" s="2"/>
      <c r="N581" s="2" t="s">
        <v>2345</v>
      </c>
      <c r="O581" s="2"/>
      <c r="P581" s="2"/>
      <c r="Q581" s="2"/>
      <c r="R581" s="2"/>
      <c r="S581" s="2"/>
      <c r="T581" s="2"/>
      <c r="U581" s="2"/>
      <c r="V581" s="2"/>
      <c r="W581" s="3"/>
      <c r="X581" s="2"/>
      <c r="Y581" s="2"/>
      <c r="Z581" s="2"/>
      <c r="AA581" s="2"/>
      <c r="AB581" s="2"/>
      <c r="AC581" s="2"/>
      <c r="AD581" s="2"/>
      <c r="AE581" s="2"/>
    </row>
    <row r="582" spans="1:31" ht="63.6">
      <c r="A582" s="2" t="s">
        <v>2224</v>
      </c>
      <c r="B582" s="2" t="s">
        <v>2225</v>
      </c>
      <c r="C582" s="2" t="str">
        <f>sheet13[[#This Row],[Nombre]]&amp;sheet13[[#This Row],[Bp Id]]</f>
        <v>Componentes IdentidadesSEC0095</v>
      </c>
      <c r="D582" s="2" t="str">
        <f>VLOOKUP(sheet13[[#This Row],[Columna1]],Sheet2!C:S,4,FALSE)</f>
        <v>Operativo</v>
      </c>
      <c r="E582" s="2"/>
      <c r="F582" s="2" t="s">
        <v>32</v>
      </c>
      <c r="G582" s="2" t="s">
        <v>48</v>
      </c>
      <c r="H582" s="2" t="s">
        <v>34</v>
      </c>
      <c r="I582" s="2" t="s">
        <v>2346</v>
      </c>
      <c r="J582" s="2" t="s">
        <v>2372</v>
      </c>
      <c r="K582" s="2" t="s">
        <v>916</v>
      </c>
      <c r="L582" s="2" t="s">
        <v>2226</v>
      </c>
      <c r="M582" s="2"/>
      <c r="N582" s="2" t="s">
        <v>2343</v>
      </c>
      <c r="O582" s="2" t="s">
        <v>40</v>
      </c>
      <c r="P582" s="2"/>
      <c r="Q582" s="2"/>
      <c r="R582" s="2"/>
      <c r="S582" s="2"/>
      <c r="T582" s="2" t="s">
        <v>2344</v>
      </c>
      <c r="U582" s="2" t="s">
        <v>2345</v>
      </c>
      <c r="V582" s="2"/>
      <c r="W582" s="3"/>
      <c r="X582" s="2"/>
      <c r="Y582" s="2"/>
      <c r="Z582" s="2"/>
      <c r="AA582" s="2"/>
      <c r="AB582" s="2"/>
      <c r="AC582" s="2"/>
      <c r="AD582" s="2"/>
      <c r="AE582" s="2"/>
    </row>
    <row r="583" spans="1:31" ht="63.6">
      <c r="A583" s="2" t="s">
        <v>2227</v>
      </c>
      <c r="B583" s="2" t="s">
        <v>2228</v>
      </c>
      <c r="C583" s="2" t="str">
        <f>sheet13[[#This Row],[Nombre]]&amp;sheet13[[#This Row],[Bp Id]]</f>
        <v>VMware Aria OperationsITM0082</v>
      </c>
      <c r="D583" s="2" t="str">
        <f>VLOOKUP(sheet13[[#This Row],[Columna1]],Sheet2!C:S,4,FALSE)</f>
        <v>Operativo</v>
      </c>
      <c r="E583" s="2"/>
      <c r="F583" s="2" t="s">
        <v>32</v>
      </c>
      <c r="G583" s="2" t="s">
        <v>48</v>
      </c>
      <c r="H583" s="2" t="s">
        <v>34</v>
      </c>
      <c r="I583" s="2" t="s">
        <v>68</v>
      </c>
      <c r="J583" s="2" t="s">
        <v>69</v>
      </c>
      <c r="K583" s="2" t="s">
        <v>82</v>
      </c>
      <c r="L583" s="2" t="s">
        <v>1715</v>
      </c>
      <c r="M583" s="2"/>
      <c r="N583" s="2" t="s">
        <v>2343</v>
      </c>
      <c r="O583" s="2" t="s">
        <v>40</v>
      </c>
      <c r="P583" s="2"/>
      <c r="Q583" s="2"/>
      <c r="R583" s="2"/>
      <c r="S583" s="2"/>
      <c r="T583" s="2" t="s">
        <v>2344</v>
      </c>
      <c r="U583" s="2" t="s">
        <v>2345</v>
      </c>
      <c r="V583" s="2"/>
      <c r="W583" s="3"/>
      <c r="X583" s="2"/>
      <c r="Y583" s="2"/>
      <c r="Z583" s="2"/>
      <c r="AA583" s="2"/>
      <c r="AB583" s="2"/>
      <c r="AC583" s="2"/>
      <c r="AD583" s="2"/>
      <c r="AE583" s="2"/>
    </row>
    <row r="584" spans="1:31" ht="63.6">
      <c r="A584" s="2" t="s">
        <v>2229</v>
      </c>
      <c r="B584" s="2" t="s">
        <v>2230</v>
      </c>
      <c r="C584" s="2" t="str">
        <f>sheet13[[#This Row],[Nombre]]&amp;sheet13[[#This Row],[Bp Id]]</f>
        <v>TwilioCUS0019</v>
      </c>
      <c r="D584" s="2" t="str">
        <f>VLOOKUP(sheet13[[#This Row],[Columna1]],Sheet2!C:S,4,FALSE)</f>
        <v>Operativo</v>
      </c>
      <c r="E584" s="2"/>
      <c r="F584" s="2" t="s">
        <v>32</v>
      </c>
      <c r="G584" s="2" t="s">
        <v>48</v>
      </c>
      <c r="H584" s="2" t="s">
        <v>59</v>
      </c>
      <c r="I584" s="2" t="s">
        <v>35</v>
      </c>
      <c r="J584" s="2" t="s">
        <v>36</v>
      </c>
      <c r="K584" s="2" t="s">
        <v>844</v>
      </c>
      <c r="L584" s="2" t="s">
        <v>36</v>
      </c>
      <c r="M584" s="2"/>
      <c r="N584" s="2" t="s">
        <v>2343</v>
      </c>
      <c r="O584" s="2" t="s">
        <v>40</v>
      </c>
      <c r="P584" s="2"/>
      <c r="Q584" s="2"/>
      <c r="R584" s="2"/>
      <c r="S584" s="2"/>
      <c r="T584" s="2" t="s">
        <v>2344</v>
      </c>
      <c r="U584" s="2" t="s">
        <v>2345</v>
      </c>
      <c r="V584" s="2"/>
      <c r="W584" s="3"/>
      <c r="X584" s="2"/>
      <c r="Y584" s="2"/>
      <c r="Z584" s="2"/>
      <c r="AA584" s="2"/>
      <c r="AB584" s="2"/>
      <c r="AC584" s="2"/>
      <c r="AD584" s="2"/>
      <c r="AE584" s="2"/>
    </row>
    <row r="585" spans="1:31" ht="63.6">
      <c r="A585" s="2" t="s">
        <v>2231</v>
      </c>
      <c r="B585" s="2" t="s">
        <v>2232</v>
      </c>
      <c r="C585" s="2" t="str">
        <f>sheet13[[#This Row],[Nombre]]&amp;sheet13[[#This Row],[Bp Id]]</f>
        <v>Componentes CiberdefensaSEC0091</v>
      </c>
      <c r="D585" s="2" t="str">
        <f>VLOOKUP(sheet13[[#This Row],[Columna1]],Sheet2!C:S,4,FALSE)</f>
        <v>Operativo</v>
      </c>
      <c r="E585" s="2"/>
      <c r="F585" s="2" t="s">
        <v>32</v>
      </c>
      <c r="G585" s="2" t="s">
        <v>48</v>
      </c>
      <c r="H585" s="2" t="s">
        <v>34</v>
      </c>
      <c r="I585" s="2" t="s">
        <v>2346</v>
      </c>
      <c r="J585" s="2" t="s">
        <v>1022</v>
      </c>
      <c r="K585" s="2" t="s">
        <v>803</v>
      </c>
      <c r="L585" s="2" t="s">
        <v>1022</v>
      </c>
      <c r="M585" s="2"/>
      <c r="N585" s="2" t="s">
        <v>2343</v>
      </c>
      <c r="O585" s="2" t="s">
        <v>40</v>
      </c>
      <c r="P585" s="2"/>
      <c r="Q585" s="2"/>
      <c r="R585" s="2"/>
      <c r="S585" s="2"/>
      <c r="T585" s="2" t="s">
        <v>2344</v>
      </c>
      <c r="U585" s="2" t="s">
        <v>2345</v>
      </c>
      <c r="V585" s="2"/>
      <c r="W585" s="3"/>
      <c r="X585" s="2"/>
      <c r="Y585" s="2"/>
      <c r="Z585" s="2"/>
      <c r="AA585" s="2"/>
      <c r="AB585" s="2"/>
      <c r="AC585" s="2"/>
      <c r="AD585" s="2"/>
      <c r="AE585" s="2"/>
    </row>
    <row r="586" spans="1:31" ht="63.6">
      <c r="A586" s="2" t="s">
        <v>2233</v>
      </c>
      <c r="B586" s="2" t="s">
        <v>2234</v>
      </c>
      <c r="C586" s="2" t="str">
        <f>sheet13[[#This Row],[Nombre]]&amp;sheet13[[#This Row],[Bp Id]]</f>
        <v>Engineering MetricsITM0132</v>
      </c>
      <c r="D586" s="2" t="str">
        <f>VLOOKUP(sheet13[[#This Row],[Columna1]],Sheet2!C:S,4,FALSE)</f>
        <v>Operativo</v>
      </c>
      <c r="E586" s="2"/>
      <c r="F586" s="2" t="s">
        <v>32</v>
      </c>
      <c r="G586" s="2" t="s">
        <v>48</v>
      </c>
      <c r="H586" s="2" t="s">
        <v>59</v>
      </c>
      <c r="I586" s="2" t="s">
        <v>198</v>
      </c>
      <c r="J586" s="2" t="s">
        <v>2235</v>
      </c>
      <c r="K586" s="2" t="s">
        <v>433</v>
      </c>
      <c r="L586" s="2" t="s">
        <v>2236</v>
      </c>
      <c r="M586" s="2"/>
      <c r="N586" s="2" t="s">
        <v>2343</v>
      </c>
      <c r="O586" s="2" t="s">
        <v>40</v>
      </c>
      <c r="P586" s="2"/>
      <c r="Q586" s="2"/>
      <c r="R586" s="2"/>
      <c r="S586" s="2"/>
      <c r="T586" s="2" t="s">
        <v>2344</v>
      </c>
      <c r="U586" s="2" t="s">
        <v>2345</v>
      </c>
      <c r="V586" s="2"/>
      <c r="W586" s="3"/>
      <c r="X586" s="2"/>
      <c r="Y586" s="2"/>
      <c r="Z586" s="2"/>
      <c r="AA586" s="2"/>
      <c r="AB586" s="2"/>
      <c r="AC586" s="2"/>
      <c r="AD586" s="2"/>
      <c r="AE586" s="2"/>
    </row>
    <row r="587" spans="1:31" ht="63.6">
      <c r="A587" s="2" t="s">
        <v>2237</v>
      </c>
      <c r="B587" s="2" t="s">
        <v>2234</v>
      </c>
      <c r="C587" s="2" t="str">
        <f>sheet13[[#This Row],[Nombre]]&amp;sheet13[[#This Row],[Bp Id]]</f>
        <v>CPMITM0132</v>
      </c>
      <c r="D587" s="2" t="str">
        <f>VLOOKUP(sheet13[[#This Row],[Columna1]],Sheet2!C:S,4,FALSE)</f>
        <v>Operativo</v>
      </c>
      <c r="E587" s="2"/>
      <c r="F587" s="2" t="s">
        <v>32</v>
      </c>
      <c r="G587" s="2" t="s">
        <v>48</v>
      </c>
      <c r="H587" s="2" t="s">
        <v>140</v>
      </c>
      <c r="I587" s="2" t="s">
        <v>487</v>
      </c>
      <c r="J587" s="2" t="s">
        <v>666</v>
      </c>
      <c r="K587" s="2" t="s">
        <v>2238</v>
      </c>
      <c r="L587" s="2" t="s">
        <v>509</v>
      </c>
      <c r="M587" s="2"/>
      <c r="N587" s="2" t="s">
        <v>2343</v>
      </c>
      <c r="O587" s="2" t="s">
        <v>40</v>
      </c>
      <c r="P587" s="2"/>
      <c r="Q587" s="2"/>
      <c r="R587" s="2"/>
      <c r="S587" s="2"/>
      <c r="T587" s="2" t="s">
        <v>2344</v>
      </c>
      <c r="U587" s="2" t="s">
        <v>2345</v>
      </c>
      <c r="V587" s="2"/>
      <c r="W587" s="3"/>
      <c r="X587" s="2"/>
      <c r="Y587" s="2"/>
      <c r="Z587" s="2"/>
      <c r="AA587" s="2"/>
      <c r="AB587" s="2"/>
      <c r="AC587" s="2"/>
      <c r="AD587" s="2"/>
      <c r="AE587" s="2"/>
    </row>
    <row r="588" spans="1:31" ht="63.6">
      <c r="A588" s="2" t="s">
        <v>2239</v>
      </c>
      <c r="B588" s="2" t="s">
        <v>2240</v>
      </c>
      <c r="C588" s="2" t="str">
        <f>sheet13[[#This Row],[Nombre]]&amp;sheet13[[#This Row],[Bp Id]]</f>
        <v>Banred Switch BASE24 EPSCHL0006</v>
      </c>
      <c r="D588" s="2" t="str">
        <f>VLOOKUP(sheet13[[#This Row],[Columna1]],Sheet2!C:S,4,FALSE)</f>
        <v>Retirado</v>
      </c>
      <c r="E588" s="2"/>
      <c r="F588" s="2" t="s">
        <v>47</v>
      </c>
      <c r="G588" s="2" t="s">
        <v>48</v>
      </c>
      <c r="H588" s="2" t="s">
        <v>140</v>
      </c>
      <c r="I588" s="2" t="s">
        <v>35</v>
      </c>
      <c r="J588" s="2" t="s">
        <v>349</v>
      </c>
      <c r="K588" s="2"/>
      <c r="L588" s="2" t="s">
        <v>2241</v>
      </c>
      <c r="M588" s="2"/>
      <c r="N588" s="2" t="s">
        <v>2345</v>
      </c>
      <c r="O588" s="2"/>
      <c r="P588" s="2"/>
      <c r="Q588" s="2"/>
      <c r="R588" s="2"/>
      <c r="S588" s="2"/>
      <c r="T588" s="2"/>
      <c r="U588" s="2"/>
      <c r="V588" s="2"/>
      <c r="W588" s="3"/>
      <c r="X588" s="2"/>
      <c r="Y588" s="2"/>
      <c r="Z588" s="2"/>
      <c r="AA588" s="2"/>
      <c r="AB588" s="2"/>
      <c r="AC588" s="2"/>
      <c r="AD588" s="2"/>
      <c r="AE588" s="2"/>
    </row>
    <row r="589" spans="1:31" ht="75.95">
      <c r="A589" s="2" t="s">
        <v>2242</v>
      </c>
      <c r="B589" s="2" t="s">
        <v>2243</v>
      </c>
      <c r="C589" s="2" t="str">
        <f>sheet13[[#This Row],[Nombre]]&amp;sheet13[[#This Row],[Bp Id]]</f>
        <v>On RutPRD0071</v>
      </c>
      <c r="D589" s="2" t="str">
        <f>VLOOKUP(sheet13[[#This Row],[Columna1]],Sheet2!C:S,4,FALSE)</f>
        <v>Operativo</v>
      </c>
      <c r="E589" s="2"/>
      <c r="F589" s="2" t="s">
        <v>32</v>
      </c>
      <c r="G589" s="2" t="s">
        <v>48</v>
      </c>
      <c r="H589" s="2" t="s">
        <v>59</v>
      </c>
      <c r="I589" s="2" t="s">
        <v>95</v>
      </c>
      <c r="J589" s="2" t="s">
        <v>96</v>
      </c>
      <c r="K589" s="2" t="s">
        <v>1703</v>
      </c>
      <c r="L589" s="2" t="s">
        <v>2244</v>
      </c>
      <c r="M589" s="2"/>
      <c r="N589" s="2" t="s">
        <v>2343</v>
      </c>
      <c r="O589" s="2" t="s">
        <v>40</v>
      </c>
      <c r="P589" s="2"/>
      <c r="Q589" s="2"/>
      <c r="R589" s="2"/>
      <c r="S589" s="2"/>
      <c r="T589" s="2" t="s">
        <v>2344</v>
      </c>
      <c r="U589" s="2" t="s">
        <v>2345</v>
      </c>
      <c r="V589" s="2"/>
      <c r="W589" s="3"/>
      <c r="X589" s="2"/>
      <c r="Y589" s="2"/>
      <c r="Z589" s="2"/>
      <c r="AA589" s="2"/>
      <c r="AB589" s="2"/>
      <c r="AC589" s="2"/>
      <c r="AD589" s="2"/>
      <c r="AE589" s="2"/>
    </row>
    <row r="590" spans="1:31" ht="75.95">
      <c r="A590" s="2" t="s">
        <v>2245</v>
      </c>
      <c r="B590" s="2" t="s">
        <v>2246</v>
      </c>
      <c r="C590" s="2" t="str">
        <f>sheet13[[#This Row],[Nombre]]&amp;sheet13[[#This Row],[Bp Id]]</f>
        <v>Componentes de infraestructura - UnixITM0088</v>
      </c>
      <c r="D590" s="2" t="str">
        <f>VLOOKUP(sheet13[[#This Row],[Columna1]],Sheet2!C:S,4,FALSE)</f>
        <v>Operativo</v>
      </c>
      <c r="E590" s="2"/>
      <c r="F590" s="2" t="s">
        <v>32</v>
      </c>
      <c r="G590" s="2" t="s">
        <v>48</v>
      </c>
      <c r="H590" s="2" t="s">
        <v>34</v>
      </c>
      <c r="I590" s="2" t="s">
        <v>68</v>
      </c>
      <c r="J590" s="2" t="s">
        <v>69</v>
      </c>
      <c r="K590" s="2" t="s">
        <v>82</v>
      </c>
      <c r="L590" s="2" t="s">
        <v>2247</v>
      </c>
      <c r="M590" s="2"/>
      <c r="N590" s="2" t="s">
        <v>2343</v>
      </c>
      <c r="O590" s="2" t="s">
        <v>40</v>
      </c>
      <c r="P590" s="2"/>
      <c r="Q590" s="2"/>
      <c r="R590" s="2"/>
      <c r="S590" s="2"/>
      <c r="T590" s="2" t="s">
        <v>2344</v>
      </c>
      <c r="U590" s="2" t="s">
        <v>2345</v>
      </c>
      <c r="V590" s="2"/>
      <c r="W590" s="3"/>
      <c r="X590" s="2"/>
      <c r="Y590" s="2"/>
      <c r="Z590" s="2"/>
      <c r="AA590" s="2"/>
      <c r="AB590" s="2"/>
      <c r="AC590" s="2"/>
      <c r="AD590" s="2"/>
      <c r="AE590" s="2"/>
    </row>
    <row r="591" spans="1:31" ht="63.6">
      <c r="A591" s="2" t="s">
        <v>2248</v>
      </c>
      <c r="B591" s="2" t="s">
        <v>2249</v>
      </c>
      <c r="C591" s="2" t="str">
        <f>sheet13[[#This Row],[Nombre]]&amp;sheet13[[#This Row],[Bp Id]]</f>
        <v>Microsoft Collector AssessmentITM0078</v>
      </c>
      <c r="D591" s="2" t="str">
        <f>VLOOKUP(sheet13[[#This Row],[Columna1]],Sheet2!C:S,4,FALSE)</f>
        <v>Operativo</v>
      </c>
      <c r="E591" s="2"/>
      <c r="F591" s="2" t="s">
        <v>32</v>
      </c>
      <c r="G591" s="2" t="s">
        <v>48</v>
      </c>
      <c r="H591" s="2" t="s">
        <v>34</v>
      </c>
      <c r="I591" s="2" t="s">
        <v>68</v>
      </c>
      <c r="J591" s="2" t="s">
        <v>69</v>
      </c>
      <c r="K591" s="2" t="s">
        <v>82</v>
      </c>
      <c r="L591" s="2" t="s">
        <v>335</v>
      </c>
      <c r="M591" s="2"/>
      <c r="N591" s="2" t="s">
        <v>2343</v>
      </c>
      <c r="O591" s="2" t="s">
        <v>40</v>
      </c>
      <c r="P591" s="2"/>
      <c r="Q591" s="2"/>
      <c r="R591" s="2"/>
      <c r="S591" s="2"/>
      <c r="T591" s="2" t="s">
        <v>2344</v>
      </c>
      <c r="U591" s="2" t="s">
        <v>2345</v>
      </c>
      <c r="V591" s="2"/>
      <c r="W591" s="3"/>
      <c r="X591" s="2"/>
      <c r="Y591" s="2"/>
      <c r="Z591" s="2"/>
      <c r="AA591" s="2"/>
      <c r="AB591" s="2"/>
      <c r="AC591" s="2"/>
      <c r="AD591" s="2"/>
      <c r="AE591" s="2"/>
    </row>
    <row r="592" spans="1:31" ht="51">
      <c r="A592" s="2" t="s">
        <v>2250</v>
      </c>
      <c r="B592" s="2" t="s">
        <v>2251</v>
      </c>
      <c r="C592" s="2" t="str">
        <f>sheet13[[#This Row],[Nombre]]&amp;sheet13[[#This Row],[Bp Id]]</f>
        <v>Google Kubernetes EngineITM0143</v>
      </c>
      <c r="D592" s="2" t="str">
        <f>VLOOKUP(sheet13[[#This Row],[Columna1]],Sheet2!C:S,4,FALSE)</f>
        <v>Operativo</v>
      </c>
      <c r="E592" s="2"/>
      <c r="F592" s="2" t="s">
        <v>32</v>
      </c>
      <c r="G592" s="2" t="s">
        <v>123</v>
      </c>
      <c r="H592" s="2" t="s">
        <v>59</v>
      </c>
      <c r="I592" s="2" t="s">
        <v>198</v>
      </c>
      <c r="J592" s="2" t="s">
        <v>199</v>
      </c>
      <c r="K592" s="2" t="s">
        <v>199</v>
      </c>
      <c r="L592" s="2" t="s">
        <v>242</v>
      </c>
      <c r="M592" s="2"/>
      <c r="N592" s="2" t="s">
        <v>2343</v>
      </c>
      <c r="O592" s="2" t="s">
        <v>40</v>
      </c>
      <c r="P592" s="2"/>
      <c r="Q592" s="2"/>
      <c r="R592" s="2"/>
      <c r="S592" s="2"/>
      <c r="T592" s="2" t="s">
        <v>2344</v>
      </c>
      <c r="U592" s="2" t="s">
        <v>2345</v>
      </c>
      <c r="V592" s="2"/>
      <c r="W592" s="3"/>
      <c r="X592" s="2"/>
      <c r="Y592" s="2"/>
      <c r="Z592" s="2"/>
      <c r="AA592" s="2"/>
      <c r="AB592" s="2"/>
      <c r="AC592" s="2"/>
      <c r="AD592" s="2"/>
      <c r="AE592" s="2"/>
    </row>
    <row r="593" spans="1:31" ht="75.95">
      <c r="A593" s="2" t="s">
        <v>2252</v>
      </c>
      <c r="B593" s="2" t="s">
        <v>2253</v>
      </c>
      <c r="C593" s="2" t="str">
        <f>sheet13[[#This Row],[Nombre]]&amp;sheet13[[#This Row],[Bp Id]]</f>
        <v>Refinanciamiento crédito en líneaPRD0049</v>
      </c>
      <c r="D593" s="2" t="str">
        <f>VLOOKUP(sheet13[[#This Row],[Columna1]],Sheet2!C:S,4,FALSE)</f>
        <v>Retirado</v>
      </c>
      <c r="E593" s="2"/>
      <c r="F593" s="2" t="s">
        <v>47</v>
      </c>
      <c r="G593" s="2" t="s">
        <v>48</v>
      </c>
      <c r="H593" s="2" t="s">
        <v>59</v>
      </c>
      <c r="I593" s="2" t="s">
        <v>1086</v>
      </c>
      <c r="J593" s="2" t="s">
        <v>96</v>
      </c>
      <c r="K593" s="2"/>
      <c r="L593" s="2" t="s">
        <v>98</v>
      </c>
      <c r="M593" s="2"/>
      <c r="N593" s="2" t="s">
        <v>2345</v>
      </c>
      <c r="O593" s="2"/>
      <c r="P593" s="2"/>
      <c r="Q593" s="2"/>
      <c r="R593" s="2"/>
      <c r="S593" s="2"/>
      <c r="T593" s="2"/>
      <c r="U593" s="2"/>
      <c r="V593" s="2"/>
      <c r="W593" s="3"/>
      <c r="X593" s="2"/>
      <c r="Y593" s="2"/>
      <c r="Z593" s="2"/>
      <c r="AA593" s="2"/>
      <c r="AB593" s="2"/>
      <c r="AC593" s="2"/>
      <c r="AD593" s="2"/>
      <c r="AE593" s="2"/>
    </row>
    <row r="594" spans="1:31" ht="51">
      <c r="A594" s="2" t="s">
        <v>2254</v>
      </c>
      <c r="B594" s="2" t="s">
        <v>2255</v>
      </c>
      <c r="C594" s="2" t="str">
        <f>sheet13[[#This Row],[Nombre]]&amp;sheet13[[#This Row],[Bp Id]]</f>
        <v>Switch-SwCellPRD0031</v>
      </c>
      <c r="D594" s="2" t="str">
        <f>VLOOKUP(sheet13[[#This Row],[Columna1]],Sheet2!C:S,4,FALSE)</f>
        <v>No operativo</v>
      </c>
      <c r="E594" s="2"/>
      <c r="F594" s="2" t="s">
        <v>1788</v>
      </c>
      <c r="G594" s="2" t="s">
        <v>48</v>
      </c>
      <c r="H594" s="2" t="s">
        <v>34</v>
      </c>
      <c r="I594" s="2" t="s">
        <v>553</v>
      </c>
      <c r="J594" s="2" t="s">
        <v>554</v>
      </c>
      <c r="K594" s="2"/>
      <c r="L594" s="2" t="s">
        <v>556</v>
      </c>
      <c r="M594" s="2"/>
      <c r="N594" s="2" t="s">
        <v>2345</v>
      </c>
      <c r="O594" s="2"/>
      <c r="P594" s="2"/>
      <c r="Q594" s="2"/>
      <c r="R594" s="2"/>
      <c r="S594" s="2"/>
      <c r="T594" s="2"/>
      <c r="U594" s="2"/>
      <c r="V594" s="2"/>
      <c r="W594" s="3"/>
      <c r="X594" s="2"/>
      <c r="Y594" s="2"/>
      <c r="Z594" s="2"/>
      <c r="AA594" s="2"/>
      <c r="AB594" s="2"/>
      <c r="AC594" s="2"/>
      <c r="AD594" s="2"/>
      <c r="AE594" s="2"/>
    </row>
    <row r="595" spans="1:31" ht="63.6">
      <c r="A595" s="2" t="s">
        <v>2256</v>
      </c>
      <c r="B595" s="2" t="s">
        <v>2257</v>
      </c>
      <c r="C595" s="2" t="str">
        <f>sheet13[[#This Row],[Nombre]]&amp;sheet13[[#This Row],[Bp Id]]</f>
        <v>IBM WatsonDAT0004</v>
      </c>
      <c r="D595" s="2" t="str">
        <f>VLOOKUP(sheet13[[#This Row],[Columna1]],Sheet2!C:S,4,FALSE)</f>
        <v>Retirado</v>
      </c>
      <c r="E595" s="2"/>
      <c r="F595" s="2" t="s">
        <v>47</v>
      </c>
      <c r="G595" s="2" t="s">
        <v>48</v>
      </c>
      <c r="H595" s="2" t="s">
        <v>59</v>
      </c>
      <c r="I595" s="2" t="s">
        <v>328</v>
      </c>
      <c r="J595" s="2" t="s">
        <v>329</v>
      </c>
      <c r="K595" s="2" t="s">
        <v>575</v>
      </c>
      <c r="L595" s="2" t="s">
        <v>2258</v>
      </c>
      <c r="M595" s="2"/>
      <c r="N595" s="2" t="s">
        <v>2345</v>
      </c>
      <c r="O595" s="2"/>
      <c r="P595" s="2"/>
      <c r="Q595" s="2"/>
      <c r="R595" s="2"/>
      <c r="S595" s="2"/>
      <c r="T595" s="2"/>
      <c r="U595" s="2"/>
      <c r="V595" s="2"/>
      <c r="W595" s="3"/>
      <c r="X595" s="2"/>
      <c r="Y595" s="2"/>
      <c r="Z595" s="2"/>
      <c r="AA595" s="2"/>
      <c r="AB595" s="2"/>
      <c r="AC595" s="2"/>
      <c r="AD595" s="2"/>
      <c r="AE595" s="2"/>
    </row>
    <row r="596" spans="1:31" ht="51">
      <c r="A596" s="2" t="s">
        <v>1893</v>
      </c>
      <c r="B596" s="2" t="s">
        <v>1894</v>
      </c>
      <c r="C596" s="2" t="str">
        <f>sheet13[[#This Row],[Nombre]]&amp;sheet13[[#This Row],[Bp Id]]</f>
        <v>Feature Flags TransversalITM0111</v>
      </c>
      <c r="D596" s="2" t="str">
        <f>VLOOKUP(sheet13[[#This Row],[Columna1]],Sheet2!C:S,4,FALSE)</f>
        <v>Operativo</v>
      </c>
      <c r="E596" s="2"/>
      <c r="F596" s="2" t="s">
        <v>32</v>
      </c>
      <c r="G596" s="2" t="s">
        <v>48</v>
      </c>
      <c r="H596" s="2" t="s">
        <v>59</v>
      </c>
      <c r="I596" s="2" t="s">
        <v>198</v>
      </c>
      <c r="J596" s="2" t="s">
        <v>240</v>
      </c>
      <c r="K596" s="2" t="s">
        <v>241</v>
      </c>
      <c r="L596" s="2" t="s">
        <v>242</v>
      </c>
      <c r="M596" s="2"/>
      <c r="N596" s="2" t="s">
        <v>2343</v>
      </c>
      <c r="O596" s="2" t="s">
        <v>40</v>
      </c>
      <c r="P596" s="2"/>
      <c r="Q596" s="2"/>
      <c r="R596" s="2"/>
      <c r="S596" s="2"/>
      <c r="T596" s="2" t="s">
        <v>2344</v>
      </c>
      <c r="U596" s="2" t="s">
        <v>2343</v>
      </c>
      <c r="V596" s="2"/>
      <c r="W596" s="3"/>
      <c r="X596" s="2"/>
      <c r="Y596" s="2"/>
      <c r="Z596" s="2"/>
      <c r="AA596" s="2"/>
      <c r="AB596" s="2"/>
      <c r="AC596" s="2"/>
      <c r="AD596" s="2"/>
      <c r="AE596" s="2"/>
    </row>
    <row r="597" spans="1:31" ht="63.6">
      <c r="A597" s="2" t="s">
        <v>2259</v>
      </c>
      <c r="B597" s="2" t="s">
        <v>2260</v>
      </c>
      <c r="C597" s="2" t="str">
        <f>sheet13[[#This Row],[Nombre]]&amp;sheet13[[#This Row],[Bp Id]]</f>
        <v>Active Directory CashSEC0045</v>
      </c>
      <c r="D597" s="2" t="str">
        <f>VLOOKUP(sheet13[[#This Row],[Columna1]],Sheet2!C:S,4,FALSE)</f>
        <v>Retirado</v>
      </c>
      <c r="E597" s="2"/>
      <c r="F597" s="2" t="s">
        <v>47</v>
      </c>
      <c r="G597" s="2" t="s">
        <v>123</v>
      </c>
      <c r="H597" s="2" t="s">
        <v>34</v>
      </c>
      <c r="I597" s="2" t="s">
        <v>553</v>
      </c>
      <c r="J597" s="2" t="s">
        <v>62</v>
      </c>
      <c r="K597" s="2" t="s">
        <v>721</v>
      </c>
      <c r="L597" s="2" t="s">
        <v>722</v>
      </c>
      <c r="M597" s="2"/>
      <c r="N597" s="2" t="s">
        <v>2345</v>
      </c>
      <c r="O597" s="2"/>
      <c r="P597" s="2"/>
      <c r="Q597" s="2"/>
      <c r="R597" s="2"/>
      <c r="S597" s="2"/>
      <c r="T597" s="2"/>
      <c r="U597" s="2"/>
      <c r="V597" s="2"/>
      <c r="W597" s="3"/>
      <c r="X597" s="2"/>
      <c r="Y597" s="2"/>
      <c r="Z597" s="2"/>
      <c r="AA597" s="2"/>
      <c r="AB597" s="2"/>
      <c r="AC597" s="2"/>
      <c r="AD597" s="2"/>
      <c r="AE597" s="2"/>
    </row>
    <row r="598" spans="1:31" ht="63.6">
      <c r="A598" s="2" t="s">
        <v>2261</v>
      </c>
      <c r="B598" s="2" t="s">
        <v>2262</v>
      </c>
      <c r="C598" s="2" t="str">
        <f>sheet13[[#This Row],[Nombre]]&amp;sheet13[[#This Row],[Bp Id]]</f>
        <v>EUC CloudITM0115</v>
      </c>
      <c r="D598" s="2" t="str">
        <f>VLOOKUP(sheet13[[#This Row],[Columna1]],Sheet2!C:S,4,FALSE)</f>
        <v>Operativo</v>
      </c>
      <c r="E598" s="2"/>
      <c r="F598" s="2" t="s">
        <v>32</v>
      </c>
      <c r="G598" s="2" t="s">
        <v>48</v>
      </c>
      <c r="H598" s="2" t="s">
        <v>59</v>
      </c>
      <c r="I598" s="2" t="s">
        <v>232</v>
      </c>
      <c r="J598" s="2" t="s">
        <v>234</v>
      </c>
      <c r="K598" s="2" t="s">
        <v>1163</v>
      </c>
      <c r="L598" s="2" t="s">
        <v>1163</v>
      </c>
      <c r="M598" s="2"/>
      <c r="N598" s="2" t="s">
        <v>2343</v>
      </c>
      <c r="O598" s="2" t="s">
        <v>40</v>
      </c>
      <c r="P598" s="2"/>
      <c r="Q598" s="2"/>
      <c r="R598" s="2"/>
      <c r="S598" s="2"/>
      <c r="T598" s="2" t="s">
        <v>2344</v>
      </c>
      <c r="U598" s="2" t="s">
        <v>2345</v>
      </c>
      <c r="V598" s="2"/>
      <c r="W598" s="3"/>
      <c r="X598" s="2"/>
      <c r="Y598" s="2"/>
      <c r="Z598" s="2"/>
      <c r="AA598" s="2"/>
      <c r="AB598" s="2"/>
      <c r="AC598" s="2"/>
      <c r="AD598" s="2"/>
      <c r="AE598" s="2"/>
    </row>
    <row r="599" spans="1:31" ht="63.6">
      <c r="A599" s="2" t="s">
        <v>2263</v>
      </c>
      <c r="B599" s="2" t="s">
        <v>2264</v>
      </c>
      <c r="C599" s="2" t="str">
        <f>sheet13[[#This Row],[Nombre]]&amp;sheet13[[#This Row],[Bp Id]]</f>
        <v>SingularCUS0025</v>
      </c>
      <c r="D599" s="2" t="str">
        <f>VLOOKUP(sheet13[[#This Row],[Columna1]],Sheet2!C:S,4,FALSE)</f>
        <v>Operativo</v>
      </c>
      <c r="E599" s="2"/>
      <c r="F599" s="2" t="s">
        <v>32</v>
      </c>
      <c r="G599" s="2" t="s">
        <v>48</v>
      </c>
      <c r="H599" s="2" t="s">
        <v>59</v>
      </c>
      <c r="I599" s="2" t="s">
        <v>87</v>
      </c>
      <c r="J599" s="2" t="s">
        <v>88</v>
      </c>
      <c r="K599" s="2" t="s">
        <v>1342</v>
      </c>
      <c r="L599" s="2" t="s">
        <v>88</v>
      </c>
      <c r="M599" s="2"/>
      <c r="N599" s="2" t="s">
        <v>2343</v>
      </c>
      <c r="O599" s="2" t="s">
        <v>40</v>
      </c>
      <c r="P599" s="2"/>
      <c r="Q599" s="2"/>
      <c r="R599" s="2"/>
      <c r="S599" s="2"/>
      <c r="T599" s="2" t="s">
        <v>2344</v>
      </c>
      <c r="U599" s="2" t="s">
        <v>2345</v>
      </c>
      <c r="V599" s="2"/>
      <c r="W599" s="3"/>
      <c r="X599" s="2"/>
      <c r="Y599" s="2"/>
      <c r="Z599" s="2"/>
      <c r="AA599" s="2"/>
      <c r="AB599" s="2"/>
      <c r="AC599" s="2"/>
      <c r="AD599" s="2"/>
      <c r="AE599" s="2"/>
    </row>
    <row r="600" spans="1:31" ht="63.6">
      <c r="A600" s="2" t="s">
        <v>2266</v>
      </c>
      <c r="B600" s="2" t="s">
        <v>2267</v>
      </c>
      <c r="C600" s="2" t="str">
        <f>sheet13[[#This Row],[Nombre]]&amp;sheet13[[#This Row],[Bp Id]]</f>
        <v>MonitorFilesTIE0009</v>
      </c>
      <c r="D600" s="2" t="str">
        <f>VLOOKUP(sheet13[[#This Row],[Columna1]],Sheet2!C:S,4,FALSE)</f>
        <v>Retirado</v>
      </c>
      <c r="E600" s="2"/>
      <c r="F600" s="2" t="s">
        <v>47</v>
      </c>
      <c r="G600" s="2" t="s">
        <v>48</v>
      </c>
      <c r="H600" s="2" t="s">
        <v>34</v>
      </c>
      <c r="I600" s="2" t="s">
        <v>487</v>
      </c>
      <c r="J600" s="2" t="s">
        <v>488</v>
      </c>
      <c r="K600" s="2"/>
      <c r="L600" s="2" t="s">
        <v>2268</v>
      </c>
      <c r="M600" s="2"/>
      <c r="N600" s="2" t="s">
        <v>2345</v>
      </c>
      <c r="O600" s="2"/>
      <c r="P600" s="2"/>
      <c r="Q600" s="2"/>
      <c r="R600" s="2"/>
      <c r="S600" s="2"/>
      <c r="T600" s="2"/>
      <c r="U600" s="2"/>
      <c r="V600" s="2"/>
      <c r="W600" s="3"/>
      <c r="X600" s="2"/>
      <c r="Y600" s="2"/>
      <c r="Z600" s="2"/>
      <c r="AA600" s="2"/>
      <c r="AB600" s="2"/>
      <c r="AC600" s="2"/>
      <c r="AD600" s="2"/>
      <c r="AE600" s="2"/>
    </row>
    <row r="601" spans="1:31" ht="75.95">
      <c r="A601" s="2" t="s">
        <v>2269</v>
      </c>
      <c r="B601" s="2" t="s">
        <v>2270</v>
      </c>
      <c r="C601" s="2" t="str">
        <f>sheet13[[#This Row],[Nombre]]&amp;sheet13[[#This Row],[Bp Id]]</f>
        <v>Oracle Far SyncITM0092</v>
      </c>
      <c r="D601" s="2" t="str">
        <f>VLOOKUP(sheet13[[#This Row],[Columna1]],Sheet2!C:S,4,FALSE)</f>
        <v>Operativo</v>
      </c>
      <c r="E601" s="2"/>
      <c r="F601" s="2" t="s">
        <v>32</v>
      </c>
      <c r="G601" s="2" t="s">
        <v>48</v>
      </c>
      <c r="H601" s="2" t="s">
        <v>34</v>
      </c>
      <c r="I601" s="2" t="s">
        <v>68</v>
      </c>
      <c r="J601" s="2" t="s">
        <v>69</v>
      </c>
      <c r="K601" s="2" t="s">
        <v>70</v>
      </c>
      <c r="L601" s="2" t="s">
        <v>71</v>
      </c>
      <c r="M601" s="2"/>
      <c r="N601" s="2" t="s">
        <v>2343</v>
      </c>
      <c r="O601" s="2" t="s">
        <v>40</v>
      </c>
      <c r="P601" s="2"/>
      <c r="Q601" s="2"/>
      <c r="R601" s="2"/>
      <c r="S601" s="2"/>
      <c r="T601" s="2" t="s">
        <v>2344</v>
      </c>
      <c r="U601" s="2" t="s">
        <v>2345</v>
      </c>
      <c r="V601" s="2"/>
      <c r="W601" s="3"/>
      <c r="X601" s="2"/>
      <c r="Y601" s="2"/>
      <c r="Z601" s="2"/>
      <c r="AA601" s="2"/>
      <c r="AB601" s="2"/>
      <c r="AC601" s="2"/>
      <c r="AD601" s="2"/>
      <c r="AE601" s="2"/>
    </row>
    <row r="602" spans="1:31" ht="51">
      <c r="A602" s="2" t="s">
        <v>2273</v>
      </c>
      <c r="B602" s="2" t="s">
        <v>2274</v>
      </c>
      <c r="C602" s="2" t="str">
        <f>sheet13[[#This Row],[Nombre]]&amp;sheet13[[#This Row],[Bp Id]]</f>
        <v>Cloudforms (Red Hat CloudForms)ITM0006</v>
      </c>
      <c r="D602" s="2" t="str">
        <f>VLOOKUP(sheet13[[#This Row],[Columna1]],Sheet2!C:S,4,FALSE)</f>
        <v>Retirado</v>
      </c>
      <c r="E602" s="2"/>
      <c r="F602" s="2" t="s">
        <v>47</v>
      </c>
      <c r="G602" s="2" t="s">
        <v>48</v>
      </c>
      <c r="H602" s="2" t="s">
        <v>59</v>
      </c>
      <c r="I602" s="2" t="s">
        <v>449</v>
      </c>
      <c r="J602" s="2" t="s">
        <v>450</v>
      </c>
      <c r="K602" s="2" t="s">
        <v>450</v>
      </c>
      <c r="L602" s="2" t="s">
        <v>450</v>
      </c>
      <c r="M602" s="2"/>
      <c r="N602" s="2" t="s">
        <v>2345</v>
      </c>
      <c r="O602" s="2"/>
      <c r="P602" s="2"/>
      <c r="Q602" s="2"/>
      <c r="R602" s="2"/>
      <c r="S602" s="2"/>
      <c r="T602" s="2"/>
      <c r="U602" s="2"/>
      <c r="V602" s="2"/>
      <c r="W602" s="3"/>
      <c r="X602" s="2"/>
      <c r="Y602" s="2"/>
      <c r="Z602" s="2"/>
      <c r="AA602" s="2"/>
      <c r="AB602" s="2"/>
      <c r="AC602" s="2"/>
      <c r="AD602" s="2"/>
      <c r="AE602" s="2"/>
    </row>
    <row r="603" spans="1:31" ht="51">
      <c r="A603" s="2" t="s">
        <v>2271</v>
      </c>
      <c r="B603" s="2" t="s">
        <v>2272</v>
      </c>
      <c r="C603" s="2" t="str">
        <f>sheet13[[#This Row],[Nombre]]&amp;sheet13[[#This Row],[Bp Id]]</f>
        <v>DLOSEC0016</v>
      </c>
      <c r="D603" s="2" t="str">
        <f>VLOOKUP(sheet13[[#This Row],[Columna1]],Sheet2!C:S,4,FALSE)</f>
        <v>Retirado</v>
      </c>
      <c r="E603" s="2"/>
      <c r="F603" s="2" t="s">
        <v>47</v>
      </c>
      <c r="G603" s="2" t="s">
        <v>48</v>
      </c>
      <c r="H603" s="2" t="s">
        <v>34</v>
      </c>
      <c r="I603" s="2" t="s">
        <v>2346</v>
      </c>
      <c r="J603" s="2" t="s">
        <v>272</v>
      </c>
      <c r="K603" s="2" t="s">
        <v>176</v>
      </c>
      <c r="L603" s="2" t="s">
        <v>175</v>
      </c>
      <c r="M603" s="2"/>
      <c r="N603" s="2" t="s">
        <v>2345</v>
      </c>
      <c r="O603" s="2"/>
      <c r="P603" s="2"/>
      <c r="Q603" s="2"/>
      <c r="R603" s="2"/>
      <c r="S603" s="2"/>
      <c r="T603" s="2"/>
      <c r="U603" s="2"/>
      <c r="V603" s="2"/>
      <c r="W603" s="3"/>
      <c r="X603" s="2"/>
      <c r="Y603" s="2"/>
      <c r="Z603" s="2"/>
      <c r="AA603" s="2"/>
      <c r="AB603" s="2"/>
      <c r="AC603" s="2"/>
      <c r="AD603" s="2"/>
      <c r="AE603" s="2"/>
    </row>
    <row r="604" spans="1:31" ht="75.95">
      <c r="A604" s="2" t="s">
        <v>2275</v>
      </c>
      <c r="B604" s="2" t="s">
        <v>2276</v>
      </c>
      <c r="C604" s="2" t="str">
        <f>sheet13[[#This Row],[Nombre]]&amp;sheet13[[#This Row],[Bp Id]]</f>
        <v>Cotización de CreditoPRD0064</v>
      </c>
      <c r="D604" s="2" t="str">
        <f>VLOOKUP(sheet13[[#This Row],[Columna1]],Sheet2!C:S,4,FALSE)</f>
        <v>Retirado</v>
      </c>
      <c r="E604" s="2"/>
      <c r="F604" s="2" t="s">
        <v>47</v>
      </c>
      <c r="G604" s="2" t="s">
        <v>48</v>
      </c>
      <c r="H604" s="2"/>
      <c r="I604" s="2" t="s">
        <v>1086</v>
      </c>
      <c r="J604" s="2" t="s">
        <v>96</v>
      </c>
      <c r="K604" s="2" t="s">
        <v>2277</v>
      </c>
      <c r="L604" s="2" t="s">
        <v>96</v>
      </c>
      <c r="M604" s="2"/>
      <c r="N604" s="2" t="s">
        <v>2345</v>
      </c>
      <c r="O604" s="2"/>
      <c r="P604" s="2"/>
      <c r="Q604" s="2"/>
      <c r="R604" s="2"/>
      <c r="S604" s="2"/>
      <c r="T604" s="2"/>
      <c r="U604" s="2"/>
      <c r="V604" s="2"/>
      <c r="W604" s="3"/>
      <c r="X604" s="2"/>
      <c r="Y604" s="2"/>
      <c r="Z604" s="2"/>
      <c r="AA604" s="2"/>
      <c r="AB604" s="2"/>
      <c r="AC604" s="2"/>
      <c r="AD604" s="2"/>
      <c r="AE604" s="2"/>
    </row>
    <row r="605" spans="1:31" ht="51">
      <c r="A605" s="2" t="s">
        <v>2278</v>
      </c>
      <c r="B605" s="2" t="s">
        <v>2279</v>
      </c>
      <c r="C605" s="2" t="str">
        <f>sheet13[[#This Row],[Nombre]]&amp;sheet13[[#This Row],[Bp Id]]</f>
        <v>VeeamITM0061</v>
      </c>
      <c r="D605" s="2" t="str">
        <f>VLOOKUP(sheet13[[#This Row],[Columna1]],Sheet2!C:S,4,FALSE)</f>
        <v>Retirado</v>
      </c>
      <c r="E605" s="2"/>
      <c r="F605" s="2" t="s">
        <v>47</v>
      </c>
      <c r="G605" s="2" t="s">
        <v>48</v>
      </c>
      <c r="H605" s="2" t="s">
        <v>34</v>
      </c>
      <c r="I605" s="2" t="s">
        <v>68</v>
      </c>
      <c r="J605" s="2" t="s">
        <v>236</v>
      </c>
      <c r="K605" s="2"/>
      <c r="L605" s="2" t="s">
        <v>82</v>
      </c>
      <c r="M605" s="2"/>
      <c r="N605" s="2" t="s">
        <v>2345</v>
      </c>
      <c r="O605" s="2"/>
      <c r="P605" s="2"/>
      <c r="Q605" s="2"/>
      <c r="R605" s="2"/>
      <c r="S605" s="2"/>
      <c r="T605" s="2"/>
      <c r="U605" s="2"/>
      <c r="V605" s="2"/>
      <c r="W605" s="3"/>
      <c r="X605" s="2"/>
      <c r="Y605" s="2"/>
      <c r="Z605" s="2"/>
      <c r="AA605" s="2"/>
      <c r="AB605" s="2"/>
      <c r="AC605" s="2"/>
      <c r="AD605" s="2"/>
      <c r="AE605" s="2"/>
    </row>
    <row r="606" spans="1:31" ht="75.95">
      <c r="A606" s="2" t="s">
        <v>2280</v>
      </c>
      <c r="B606" s="2" t="s">
        <v>2281</v>
      </c>
      <c r="C606" s="2" t="str">
        <f>sheet13[[#This Row],[Nombre]]&amp;sheet13[[#This Row],[Bp Id]]</f>
        <v>Componentes de Infraestructura - WintelITM0098</v>
      </c>
      <c r="D606" s="2" t="str">
        <f>VLOOKUP(sheet13[[#This Row],[Columna1]],Sheet2!C:S,4,FALSE)</f>
        <v>Operativo</v>
      </c>
      <c r="E606" s="2"/>
      <c r="F606" s="2" t="s">
        <v>32</v>
      </c>
      <c r="G606" s="2" t="s">
        <v>48</v>
      </c>
      <c r="H606" s="2" t="s">
        <v>34</v>
      </c>
      <c r="I606" s="2" t="s">
        <v>68</v>
      </c>
      <c r="J606" s="2" t="s">
        <v>69</v>
      </c>
      <c r="K606" s="2" t="s">
        <v>82</v>
      </c>
      <c r="L606" s="2" t="s">
        <v>898</v>
      </c>
      <c r="M606" s="2"/>
      <c r="N606" s="2" t="s">
        <v>2343</v>
      </c>
      <c r="O606" s="2" t="s">
        <v>40</v>
      </c>
      <c r="P606" s="2"/>
      <c r="Q606" s="2"/>
      <c r="R606" s="2"/>
      <c r="S606" s="2"/>
      <c r="T606" s="2" t="s">
        <v>2344</v>
      </c>
      <c r="U606" s="2" t="s">
        <v>2345</v>
      </c>
      <c r="V606" s="2"/>
      <c r="W606" s="3"/>
      <c r="X606" s="2"/>
      <c r="Y606" s="2"/>
      <c r="Z606" s="2"/>
      <c r="AA606" s="2"/>
      <c r="AB606" s="2"/>
      <c r="AC606" s="2"/>
      <c r="AD606" s="2"/>
      <c r="AE606" s="2"/>
    </row>
    <row r="607" spans="1:31" ht="63.6">
      <c r="A607" s="2" t="s">
        <v>2282</v>
      </c>
      <c r="B607" s="2" t="s">
        <v>2283</v>
      </c>
      <c r="C607" s="2" t="str">
        <f>sheet13[[#This Row],[Nombre]]&amp;sheet13[[#This Row],[Bp Id]]</f>
        <v>CAPA_COMUNINT0017</v>
      </c>
      <c r="D607" s="2" t="str">
        <f>VLOOKUP(sheet13[[#This Row],[Columna1]],Sheet2!C:S,4,FALSE)</f>
        <v>Operativo</v>
      </c>
      <c r="E607" s="2"/>
      <c r="F607" s="2" t="s">
        <v>32</v>
      </c>
      <c r="G607" s="2" t="s">
        <v>123</v>
      </c>
      <c r="H607" s="2" t="s">
        <v>59</v>
      </c>
      <c r="I607" s="2" t="s">
        <v>921</v>
      </c>
      <c r="J607" s="2" t="s">
        <v>50</v>
      </c>
      <c r="K607" s="2" t="s">
        <v>51</v>
      </c>
      <c r="L607" s="2" t="s">
        <v>2284</v>
      </c>
      <c r="M607" s="2"/>
      <c r="N607" s="2" t="s">
        <v>2345</v>
      </c>
      <c r="O607" s="2"/>
      <c r="P607" s="2"/>
      <c r="Q607" s="2"/>
      <c r="R607" s="2"/>
      <c r="S607" s="2"/>
      <c r="T607" s="2"/>
      <c r="U607" s="2"/>
      <c r="V607" s="2"/>
      <c r="W607" s="3"/>
      <c r="X607" s="2"/>
      <c r="Y607" s="2"/>
      <c r="Z607" s="2"/>
      <c r="AA607" s="2"/>
      <c r="AB607" s="2"/>
      <c r="AC607" s="2"/>
      <c r="AD607" s="2"/>
      <c r="AE607" s="2"/>
    </row>
    <row r="608" spans="1:31" ht="63.6">
      <c r="A608" s="2" t="s">
        <v>2285</v>
      </c>
      <c r="B608" s="2" t="s">
        <v>2286</v>
      </c>
      <c r="C608" s="2" t="str">
        <f>sheet13[[#This Row],[Nombre]]&amp;sheet13[[#This Row],[Bp Id]]</f>
        <v>Unidad Inteligencia FinancieraGOB0003</v>
      </c>
      <c r="D608" s="2" t="str">
        <f>VLOOKUP(sheet13[[#This Row],[Columna1]],Sheet2!C:S,4,FALSE)</f>
        <v>Retirado</v>
      </c>
      <c r="E608" s="2"/>
      <c r="F608" s="2" t="s">
        <v>47</v>
      </c>
      <c r="G608" s="2" t="s">
        <v>48</v>
      </c>
      <c r="H608" s="2" t="s">
        <v>34</v>
      </c>
      <c r="I608" s="2" t="s">
        <v>328</v>
      </c>
      <c r="J608" s="2" t="s">
        <v>329</v>
      </c>
      <c r="K608" s="2" t="s">
        <v>646</v>
      </c>
      <c r="L608" s="2" t="s">
        <v>775</v>
      </c>
      <c r="M608" s="2"/>
      <c r="N608" s="2" t="s">
        <v>2345</v>
      </c>
      <c r="O608" s="2"/>
      <c r="P608" s="2"/>
      <c r="Q608" s="2"/>
      <c r="R608" s="2"/>
      <c r="S608" s="2"/>
      <c r="T608" s="2"/>
      <c r="U608" s="2"/>
      <c r="V608" s="2"/>
      <c r="W608" s="3"/>
      <c r="X608" s="2"/>
      <c r="Y608" s="2"/>
      <c r="Z608" s="2"/>
      <c r="AA608" s="2"/>
      <c r="AB608" s="2"/>
      <c r="AC608" s="2"/>
      <c r="AD608" s="2"/>
      <c r="AE608" s="2"/>
    </row>
    <row r="609" spans="1:31" ht="51">
      <c r="A609" s="2" t="s">
        <v>2287</v>
      </c>
      <c r="B609" s="2" t="s">
        <v>2288</v>
      </c>
      <c r="C609" s="2" t="str">
        <f>sheet13[[#This Row],[Nombre]]&amp;sheet13[[#This Row],[Bp Id]]</f>
        <v>MidotSUP0072</v>
      </c>
      <c r="D609" s="2" t="str">
        <f>VLOOKUP(sheet13[[#This Row],[Columna1]],Sheet2!C:S,4,FALSE)</f>
        <v>Operativo</v>
      </c>
      <c r="E609" s="2"/>
      <c r="F609" s="2" t="s">
        <v>32</v>
      </c>
      <c r="G609" s="2" t="s">
        <v>48</v>
      </c>
      <c r="H609" s="2" t="s">
        <v>59</v>
      </c>
      <c r="I609" s="2" t="s">
        <v>225</v>
      </c>
      <c r="J609" s="2" t="s">
        <v>226</v>
      </c>
      <c r="K609" s="2" t="s">
        <v>300</v>
      </c>
      <c r="L609" s="2" t="s">
        <v>2351</v>
      </c>
      <c r="M609" s="2"/>
      <c r="N609" s="2" t="s">
        <v>2343</v>
      </c>
      <c r="O609" s="2" t="s">
        <v>40</v>
      </c>
      <c r="P609" s="2"/>
      <c r="Q609" s="2"/>
      <c r="R609" s="2"/>
      <c r="S609" s="2"/>
      <c r="T609" s="2" t="s">
        <v>2344</v>
      </c>
      <c r="U609" s="2" t="s">
        <v>2345</v>
      </c>
      <c r="V609" s="2"/>
      <c r="W609" s="3"/>
      <c r="X609" s="2"/>
      <c r="Y609" s="2"/>
      <c r="Z609" s="2"/>
      <c r="AA609" s="2"/>
      <c r="AB609" s="2"/>
      <c r="AC609" s="2"/>
      <c r="AD609" s="2"/>
      <c r="AE609" s="2"/>
    </row>
    <row r="610" spans="1:31" ht="51">
      <c r="A610" s="2" t="s">
        <v>2289</v>
      </c>
      <c r="B610" s="2" t="s">
        <v>2290</v>
      </c>
      <c r="C610" s="2" t="str">
        <f>sheet13[[#This Row],[Nombre]]&amp;sheet13[[#This Row],[Bp Id]]</f>
        <v>BOTON DE CREDITOPRD0009</v>
      </c>
      <c r="D610" s="2" t="str">
        <f>VLOOKUP(sheet13[[#This Row],[Columna1]],Sheet2!C:S,4,FALSE)</f>
        <v>No operativo</v>
      </c>
      <c r="E610" s="2"/>
      <c r="F610" s="2" t="s">
        <v>1788</v>
      </c>
      <c r="G610" s="2" t="s">
        <v>58</v>
      </c>
      <c r="H610" s="2" t="s">
        <v>34</v>
      </c>
      <c r="I610" s="2" t="s">
        <v>553</v>
      </c>
      <c r="J610" s="2" t="s">
        <v>554</v>
      </c>
      <c r="K610" s="2"/>
      <c r="L610" s="2" t="s">
        <v>556</v>
      </c>
      <c r="M610" s="2"/>
      <c r="N610" s="2" t="s">
        <v>2345</v>
      </c>
      <c r="O610" s="2"/>
      <c r="P610" s="2"/>
      <c r="Q610" s="2"/>
      <c r="R610" s="2"/>
      <c r="S610" s="2"/>
      <c r="T610" s="2"/>
      <c r="U610" s="2"/>
      <c r="V610" s="2"/>
      <c r="W610" s="3"/>
      <c r="X610" s="2"/>
      <c r="Y610" s="2"/>
      <c r="Z610" s="2"/>
      <c r="AA610" s="2"/>
      <c r="AB610" s="2"/>
      <c r="AC610" s="2"/>
      <c r="AD610" s="2"/>
      <c r="AE610" s="2"/>
    </row>
    <row r="611" spans="1:31" ht="63.6">
      <c r="A611" s="2" t="s">
        <v>2291</v>
      </c>
      <c r="B611" s="2" t="s">
        <v>2292</v>
      </c>
      <c r="C611" s="2" t="str">
        <f>sheet13[[#This Row],[Nombre]]&amp;sheet13[[#This Row],[Bp Id]]</f>
        <v>RSA Authentication ManagerSEC0046</v>
      </c>
      <c r="D611" s="2" t="str">
        <f>VLOOKUP(sheet13[[#This Row],[Columna1]],Sheet2!C:S,4,FALSE)</f>
        <v>Retirado</v>
      </c>
      <c r="E611" s="2"/>
      <c r="F611" s="2" t="s">
        <v>47</v>
      </c>
      <c r="G611" s="2" t="s">
        <v>123</v>
      </c>
      <c r="H611" s="2" t="s">
        <v>34</v>
      </c>
      <c r="I611" s="2" t="s">
        <v>553</v>
      </c>
      <c r="J611" s="2" t="s">
        <v>554</v>
      </c>
      <c r="K611" s="2" t="s">
        <v>2293</v>
      </c>
      <c r="L611" s="2" t="s">
        <v>722</v>
      </c>
      <c r="M611" s="2"/>
      <c r="N611" s="2" t="s">
        <v>2345</v>
      </c>
      <c r="O611" s="2"/>
      <c r="P611" s="2"/>
      <c r="Q611" s="2"/>
      <c r="R611" s="2"/>
      <c r="S611" s="2"/>
      <c r="T611" s="2"/>
      <c r="U611" s="2"/>
      <c r="V611" s="2"/>
      <c r="W611" s="3"/>
      <c r="X611" s="2"/>
      <c r="Y611" s="2"/>
      <c r="Z611" s="2"/>
      <c r="AA611" s="2"/>
      <c r="AB611" s="2"/>
      <c r="AC611" s="2"/>
      <c r="AD611" s="2"/>
      <c r="AE611" s="2"/>
    </row>
    <row r="612" spans="1:31" ht="51">
      <c r="A612" s="2" t="s">
        <v>2294</v>
      </c>
      <c r="B612" s="2" t="s">
        <v>2295</v>
      </c>
      <c r="C612" s="2" t="str">
        <f>sheet13[[#This Row],[Nombre]]&amp;sheet13[[#This Row],[Bp Id]]</f>
        <v>WaveSUP0016</v>
      </c>
      <c r="D612" s="2" t="str">
        <f>VLOOKUP(sheet13[[#This Row],[Columna1]],Sheet2!C:S,4,FALSE)</f>
        <v>Retirado</v>
      </c>
      <c r="E612" s="2"/>
      <c r="F612" s="2" t="s">
        <v>47</v>
      </c>
      <c r="G612" s="2" t="s">
        <v>48</v>
      </c>
      <c r="H612" s="2" t="s">
        <v>59</v>
      </c>
      <c r="I612" s="2" t="s">
        <v>225</v>
      </c>
      <c r="J612" s="2" t="s">
        <v>226</v>
      </c>
      <c r="K612" s="2"/>
      <c r="L612" s="2"/>
      <c r="M612" s="2"/>
      <c r="N612" s="2" t="s">
        <v>2345</v>
      </c>
      <c r="O612" s="2"/>
      <c r="P612" s="2"/>
      <c r="Q612" s="2"/>
      <c r="R612" s="2"/>
      <c r="S612" s="2"/>
      <c r="T612" s="2"/>
      <c r="U612" s="2"/>
      <c r="V612" s="2"/>
      <c r="W612" s="3"/>
      <c r="X612" s="2"/>
      <c r="Y612" s="2"/>
      <c r="Z612" s="2"/>
      <c r="AA612" s="2"/>
      <c r="AB612" s="2"/>
      <c r="AC612" s="2"/>
      <c r="AD612" s="2"/>
      <c r="AE612" s="2"/>
    </row>
    <row r="613" spans="1:31" ht="51">
      <c r="A613" s="2" t="s">
        <v>2296</v>
      </c>
      <c r="B613" s="2" t="s">
        <v>2297</v>
      </c>
      <c r="C613" s="2" t="str">
        <f>sheet13[[#This Row],[Nombre]]&amp;sheet13[[#This Row],[Bp Id]]</f>
        <v>SonarCloudITM0122</v>
      </c>
      <c r="D613" s="2" t="str">
        <f>VLOOKUP(sheet13[[#This Row],[Columna1]],Sheet2!C:S,4,FALSE)</f>
        <v>Operativo</v>
      </c>
      <c r="E613" s="2"/>
      <c r="F613" s="2" t="s">
        <v>32</v>
      </c>
      <c r="G613" s="2" t="s">
        <v>48</v>
      </c>
      <c r="H613" s="2" t="s">
        <v>59</v>
      </c>
      <c r="I613" s="2" t="s">
        <v>198</v>
      </c>
      <c r="J613" s="2" t="s">
        <v>2298</v>
      </c>
      <c r="K613" s="2" t="s">
        <v>950</v>
      </c>
      <c r="L613" s="2" t="s">
        <v>90</v>
      </c>
      <c r="M613" s="2"/>
      <c r="N613" s="2" t="s">
        <v>2343</v>
      </c>
      <c r="O613" s="2" t="s">
        <v>40</v>
      </c>
      <c r="P613" s="2"/>
      <c r="Q613" s="2"/>
      <c r="R613" s="2"/>
      <c r="S613" s="2"/>
      <c r="T613" s="2" t="s">
        <v>2344</v>
      </c>
      <c r="U613" s="2" t="s">
        <v>2345</v>
      </c>
      <c r="V613" s="2"/>
      <c r="W613" s="3"/>
      <c r="X613" s="2"/>
      <c r="Y613" s="2"/>
      <c r="Z613" s="2"/>
      <c r="AA613" s="2"/>
      <c r="AB613" s="2"/>
      <c r="AC613" s="2"/>
      <c r="AD613" s="2"/>
      <c r="AE613" s="2"/>
    </row>
    <row r="614" spans="1:31" ht="51">
      <c r="A614" s="2" t="s">
        <v>2299</v>
      </c>
      <c r="B614" s="2" t="s">
        <v>2300</v>
      </c>
      <c r="C614" s="2" t="str">
        <f>sheet13[[#This Row],[Nombre]]&amp;sheet13[[#This Row],[Bp Id]]</f>
        <v>CuadreMoneyGramSUP0027</v>
      </c>
      <c r="D614" s="2" t="str">
        <f>VLOOKUP(sheet13[[#This Row],[Columna1]],Sheet2!C:S,4,FALSE)</f>
        <v>Retirado</v>
      </c>
      <c r="E614" s="2"/>
      <c r="F614" s="2" t="s">
        <v>47</v>
      </c>
      <c r="G614" s="2" t="s">
        <v>48</v>
      </c>
      <c r="H614" s="2" t="s">
        <v>140</v>
      </c>
      <c r="I614" s="2" t="s">
        <v>449</v>
      </c>
      <c r="J614" s="2" t="s">
        <v>450</v>
      </c>
      <c r="K614" s="2" t="s">
        <v>450</v>
      </c>
      <c r="L614" s="2" t="s">
        <v>1637</v>
      </c>
      <c r="M614" s="2"/>
      <c r="N614" s="2" t="s">
        <v>2345</v>
      </c>
      <c r="O614" s="2"/>
      <c r="P614" s="2"/>
      <c r="Q614" s="2"/>
      <c r="R614" s="2"/>
      <c r="S614" s="2"/>
      <c r="T614" s="2"/>
      <c r="U614" s="2"/>
      <c r="V614" s="2"/>
      <c r="W614" s="3"/>
      <c r="X614" s="2"/>
      <c r="Y614" s="2"/>
      <c r="Z614" s="2"/>
      <c r="AA614" s="2"/>
      <c r="AB614" s="2"/>
      <c r="AC614" s="2"/>
      <c r="AD614" s="2"/>
      <c r="AE614" s="2"/>
    </row>
    <row r="615" spans="1:31" ht="51">
      <c r="A615" s="2" t="s">
        <v>2301</v>
      </c>
      <c r="B615" s="2" t="s">
        <v>2302</v>
      </c>
      <c r="C615" s="2" t="str">
        <f>sheet13[[#This Row],[Nombre]]&amp;sheet13[[#This Row],[Bp Id]]</f>
        <v>Medición Riesgo OperativoRIS0007</v>
      </c>
      <c r="D615" s="2" t="str">
        <f>VLOOKUP(sheet13[[#This Row],[Columna1]],Sheet2!C:S,4,FALSE)</f>
        <v>Retirado</v>
      </c>
      <c r="E615" s="2"/>
      <c r="F615" s="2" t="s">
        <v>47</v>
      </c>
      <c r="G615" s="2" t="s">
        <v>48</v>
      </c>
      <c r="H615" s="2" t="s">
        <v>34</v>
      </c>
      <c r="I615" s="2" t="s">
        <v>320</v>
      </c>
      <c r="J615" s="2" t="s">
        <v>321</v>
      </c>
      <c r="K615" s="2" t="s">
        <v>1231</v>
      </c>
      <c r="L615" s="2" t="s">
        <v>1851</v>
      </c>
      <c r="M615" s="2"/>
      <c r="N615" s="2" t="s">
        <v>2345</v>
      </c>
      <c r="O615" s="2"/>
      <c r="P615" s="2"/>
      <c r="Q615" s="2"/>
      <c r="R615" s="2"/>
      <c r="S615" s="2"/>
      <c r="T615" s="2"/>
      <c r="U615" s="2"/>
      <c r="V615" s="2"/>
      <c r="W615" s="3"/>
      <c r="X615" s="2"/>
      <c r="Y615" s="2"/>
      <c r="Z615" s="2"/>
      <c r="AA615" s="2"/>
      <c r="AB615" s="2"/>
      <c r="AC615" s="2"/>
      <c r="AD615" s="2"/>
      <c r="AE615" s="2"/>
    </row>
    <row r="616" spans="1:31" ht="51">
      <c r="A616" s="2" t="s">
        <v>2303</v>
      </c>
      <c r="B616" s="2" t="s">
        <v>2304</v>
      </c>
      <c r="C616" s="2" t="str">
        <f>sheet13[[#This Row],[Nombre]]&amp;sheet13[[#This Row],[Bp Id]]</f>
        <v>SNM_BPCHL0026</v>
      </c>
      <c r="D616" s="2" t="str">
        <f>VLOOKUP(sheet13[[#This Row],[Columna1]],Sheet2!C:S,4,FALSE)</f>
        <v>Retirado</v>
      </c>
      <c r="E616" s="2"/>
      <c r="F616" s="2" t="s">
        <v>47</v>
      </c>
      <c r="G616" s="2" t="s">
        <v>123</v>
      </c>
      <c r="H616" s="2" t="s">
        <v>34</v>
      </c>
      <c r="I616" s="2" t="s">
        <v>35</v>
      </c>
      <c r="J616" s="2" t="s">
        <v>349</v>
      </c>
      <c r="K616" s="2" t="s">
        <v>1374</v>
      </c>
      <c r="L616" s="2" t="s">
        <v>1596</v>
      </c>
      <c r="M616" s="2"/>
      <c r="N616" s="2" t="s">
        <v>2345</v>
      </c>
      <c r="O616" s="2"/>
      <c r="P616" s="2"/>
      <c r="Q616" s="2"/>
      <c r="R616" s="2"/>
      <c r="S616" s="2"/>
      <c r="T616" s="2"/>
      <c r="U616" s="2"/>
      <c r="V616" s="2"/>
      <c r="W616" s="3"/>
      <c r="X616" s="2"/>
      <c r="Y616" s="2"/>
      <c r="Z616" s="2"/>
      <c r="AA616" s="2"/>
      <c r="AB616" s="2"/>
      <c r="AC616" s="2"/>
      <c r="AD616" s="2"/>
      <c r="AE616" s="2"/>
    </row>
    <row r="617" spans="1:31" ht="88.5">
      <c r="A617" s="2" t="s">
        <v>2305</v>
      </c>
      <c r="B617" s="2" t="s">
        <v>2306</v>
      </c>
      <c r="C617" s="2" t="str">
        <f>sheet13[[#This Row],[Nombre]]&amp;sheet13[[#This Row],[Bp Id]]</f>
        <v>Azure Kubernetes Services Tribu Medios de PagoITM0127</v>
      </c>
      <c r="D617" s="2" t="str">
        <f>VLOOKUP(sheet13[[#This Row],[Columna1]],Sheet2!C:S,4,FALSE)</f>
        <v>Retirado</v>
      </c>
      <c r="E617" s="2"/>
      <c r="F617" s="2" t="s">
        <v>47</v>
      </c>
      <c r="G617" s="2" t="s">
        <v>48</v>
      </c>
      <c r="H617" s="2" t="s">
        <v>59</v>
      </c>
      <c r="I617" s="2" t="s">
        <v>921</v>
      </c>
      <c r="J617" s="2" t="s">
        <v>199</v>
      </c>
      <c r="K617" s="2" t="s">
        <v>521</v>
      </c>
      <c r="L617" s="2" t="s">
        <v>242</v>
      </c>
      <c r="M617" s="2"/>
      <c r="N617" s="2" t="s">
        <v>2345</v>
      </c>
      <c r="O617" s="2"/>
      <c r="P617" s="2"/>
      <c r="Q617" s="2"/>
      <c r="R617" s="2"/>
      <c r="S617" s="2"/>
      <c r="T617" s="2"/>
      <c r="U617" s="2"/>
      <c r="V617" s="2"/>
      <c r="W617" s="3"/>
      <c r="X617" s="2"/>
      <c r="Y617" s="2"/>
      <c r="Z617" s="2"/>
      <c r="AA617" s="2"/>
      <c r="AB617" s="2"/>
      <c r="AC617" s="2"/>
      <c r="AD617" s="2"/>
      <c r="AE617" s="2"/>
    </row>
    <row r="618" spans="1:31" ht="63.6">
      <c r="A618" s="2" t="s">
        <v>2307</v>
      </c>
      <c r="B618" s="2" t="s">
        <v>2308</v>
      </c>
      <c r="C618" s="2" t="str">
        <f>sheet13[[#This Row],[Nombre]]&amp;sheet13[[#This Row],[Bp Id]]</f>
        <v>AdyctoITM0109</v>
      </c>
      <c r="D618" s="2" t="str">
        <f>VLOOKUP(sheet13[[#This Row],[Columna1]],Sheet2!C:S,4,FALSE)</f>
        <v>Operativo</v>
      </c>
      <c r="E618" s="2"/>
      <c r="F618" s="2" t="s">
        <v>32</v>
      </c>
      <c r="G618" s="2" t="s">
        <v>48</v>
      </c>
      <c r="H618" s="2" t="s">
        <v>59</v>
      </c>
      <c r="I618" s="2" t="s">
        <v>198</v>
      </c>
      <c r="J618" s="2" t="s">
        <v>240</v>
      </c>
      <c r="K618" s="2" t="s">
        <v>1288</v>
      </c>
      <c r="L618" s="2" t="s">
        <v>433</v>
      </c>
      <c r="M618" s="2"/>
      <c r="N618" s="2" t="s">
        <v>2343</v>
      </c>
      <c r="O618" s="2" t="s">
        <v>40</v>
      </c>
      <c r="P618" s="2"/>
      <c r="Q618" s="2"/>
      <c r="R618" s="2"/>
      <c r="S618" s="2"/>
      <c r="T618" s="2" t="s">
        <v>2344</v>
      </c>
      <c r="U618" s="2" t="s">
        <v>2345</v>
      </c>
      <c r="V618" s="2"/>
      <c r="W618" s="3"/>
      <c r="X618" s="2"/>
      <c r="Y618" s="2"/>
      <c r="Z618" s="2"/>
      <c r="AA618" s="2"/>
      <c r="AB618" s="2"/>
      <c r="AC618" s="2"/>
      <c r="AD618" s="2"/>
      <c r="AE618" s="2"/>
    </row>
    <row r="619" spans="1:31" ht="63.6">
      <c r="A619" s="2" t="s">
        <v>2309</v>
      </c>
      <c r="B619" s="2" t="s">
        <v>2310</v>
      </c>
      <c r="C619" s="2" t="str">
        <f>sheet13[[#This Row],[Nombre]]&amp;sheet13[[#This Row],[Bp Id]]</f>
        <v>Anaconda EnterpriseDAT0001</v>
      </c>
      <c r="D619" s="2" t="str">
        <f>VLOOKUP(sheet13[[#This Row],[Columna1]],Sheet2!C:S,4,FALSE)</f>
        <v>Retirado</v>
      </c>
      <c r="E619" s="2"/>
      <c r="F619" s="2" t="s">
        <v>47</v>
      </c>
      <c r="G619" s="2" t="s">
        <v>48</v>
      </c>
      <c r="H619" s="2" t="s">
        <v>34</v>
      </c>
      <c r="I619" s="2" t="s">
        <v>328</v>
      </c>
      <c r="J619" s="2" t="s">
        <v>329</v>
      </c>
      <c r="K619" s="2" t="s">
        <v>575</v>
      </c>
      <c r="L619" s="2" t="s">
        <v>2258</v>
      </c>
      <c r="M619" s="2"/>
      <c r="N619" s="2" t="s">
        <v>2345</v>
      </c>
      <c r="O619" s="2"/>
      <c r="P619" s="2"/>
      <c r="Q619" s="2"/>
      <c r="R619" s="2"/>
      <c r="S619" s="2"/>
      <c r="T619" s="2"/>
      <c r="U619" s="2"/>
      <c r="V619" s="2"/>
      <c r="W619" s="3"/>
      <c r="X619" s="2"/>
      <c r="Y619" s="2"/>
      <c r="Z619" s="2"/>
      <c r="AA619" s="2"/>
      <c r="AB619" s="2"/>
      <c r="AC619" s="2"/>
      <c r="AD619" s="2"/>
      <c r="AE619" s="2"/>
    </row>
    <row r="620" spans="1:31" ht="63.6">
      <c r="A620" s="2" t="s">
        <v>2311</v>
      </c>
      <c r="B620" s="2" t="s">
        <v>2312</v>
      </c>
      <c r="C620" s="2" t="str">
        <f>sheet13[[#This Row],[Nombre]]&amp;sheet13[[#This Row],[Bp Id]]</f>
        <v>Business Whatsapp Pymes PichinchaCHL0008</v>
      </c>
      <c r="D620" s="2" t="str">
        <f>VLOOKUP(sheet13[[#This Row],[Columna1]],Sheet2!C:S,4,FALSE)</f>
        <v>Retirado</v>
      </c>
      <c r="E620" s="2"/>
      <c r="F620" s="2" t="s">
        <v>47</v>
      </c>
      <c r="G620" s="2" t="s">
        <v>48</v>
      </c>
      <c r="H620" s="2" t="s">
        <v>59</v>
      </c>
      <c r="I620" s="2" t="s">
        <v>35</v>
      </c>
      <c r="J620" s="2" t="s">
        <v>349</v>
      </c>
      <c r="K620" s="2" t="s">
        <v>2111</v>
      </c>
      <c r="L620" s="2" t="s">
        <v>2313</v>
      </c>
      <c r="M620" s="2"/>
      <c r="N620" s="2" t="s">
        <v>2345</v>
      </c>
      <c r="O620" s="2"/>
      <c r="P620" s="2"/>
      <c r="Q620" s="2"/>
      <c r="R620" s="2"/>
      <c r="S620" s="2"/>
      <c r="T620" s="2"/>
      <c r="U620" s="2"/>
      <c r="V620" s="2"/>
      <c r="W620" s="3"/>
      <c r="X620" s="2"/>
      <c r="Y620" s="2"/>
      <c r="Z620" s="2"/>
      <c r="AA620" s="2"/>
      <c r="AB620" s="2"/>
      <c r="AC620" s="2"/>
      <c r="AD620" s="2"/>
      <c r="AE620" s="2"/>
    </row>
    <row r="621" spans="1:31" ht="51">
      <c r="A621" s="2" t="s">
        <v>2314</v>
      </c>
      <c r="B621" s="2" t="s">
        <v>2315</v>
      </c>
      <c r="C621" s="2" t="str">
        <f>sheet13[[#This Row],[Nombre]]&amp;sheet13[[#This Row],[Bp Id]]</f>
        <v>Indicadores InstitucionalesSUP0020</v>
      </c>
      <c r="D621" s="2" t="str">
        <f>VLOOKUP(sheet13[[#This Row],[Columna1]],Sheet2!C:S,4,FALSE)</f>
        <v>Retirado</v>
      </c>
      <c r="E621" s="2"/>
      <c r="F621" s="2" t="s">
        <v>47</v>
      </c>
      <c r="G621" s="2" t="s">
        <v>48</v>
      </c>
      <c r="H621" s="2" t="s">
        <v>34</v>
      </c>
      <c r="I621" s="2" t="s">
        <v>225</v>
      </c>
      <c r="J621" s="2" t="s">
        <v>226</v>
      </c>
      <c r="K621" s="2"/>
      <c r="L621" s="2"/>
      <c r="M621" s="2"/>
      <c r="N621" s="2" t="s">
        <v>2345</v>
      </c>
      <c r="O621" s="2"/>
      <c r="P621" s="2"/>
      <c r="Q621" s="2"/>
      <c r="R621" s="2"/>
      <c r="S621" s="2"/>
      <c r="T621" s="2"/>
      <c r="U621" s="2"/>
      <c r="V621" s="2"/>
      <c r="W621" s="3"/>
      <c r="X621" s="2"/>
      <c r="Y621" s="2"/>
      <c r="Z621" s="2"/>
      <c r="AA621" s="2"/>
      <c r="AB621" s="2"/>
      <c r="AC621" s="2"/>
      <c r="AD621" s="2"/>
      <c r="AE621" s="2"/>
    </row>
    <row r="622" spans="1:31" ht="51">
      <c r="A622" s="2" t="s">
        <v>2318</v>
      </c>
      <c r="B622" s="2" t="s">
        <v>2319</v>
      </c>
      <c r="C622" s="2" t="str">
        <f>sheet13[[#This Row],[Nombre]]&amp;sheet13[[#This Row],[Bp Id]]</f>
        <v>LogiFormTIE0020</v>
      </c>
      <c r="D622" s="2" t="str">
        <f>VLOOKUP(sheet13[[#This Row],[Columna1]],Sheet2!C:S,4,FALSE)</f>
        <v>Retirado</v>
      </c>
      <c r="E622" s="2"/>
      <c r="F622" s="2" t="s">
        <v>47</v>
      </c>
      <c r="G622" s="2" t="s">
        <v>48</v>
      </c>
      <c r="H622" s="2" t="s">
        <v>34</v>
      </c>
      <c r="I622" s="2" t="s">
        <v>553</v>
      </c>
      <c r="J622" s="2" t="s">
        <v>554</v>
      </c>
      <c r="K622" s="2"/>
      <c r="L622" s="2" t="s">
        <v>110</v>
      </c>
      <c r="M622" s="2"/>
      <c r="N622" s="2" t="s">
        <v>2345</v>
      </c>
      <c r="O622" s="2"/>
      <c r="P622" s="2"/>
      <c r="Q622" s="2"/>
      <c r="R622" s="2"/>
      <c r="S622" s="2"/>
      <c r="T622" s="2"/>
      <c r="U622" s="2"/>
      <c r="V622" s="2"/>
      <c r="W622" s="3"/>
      <c r="X622" s="2"/>
      <c r="Y622" s="2"/>
      <c r="Z622" s="2"/>
      <c r="AA622" s="2"/>
      <c r="AB622" s="2"/>
      <c r="AC622" s="2"/>
      <c r="AD622" s="2"/>
      <c r="AE622" s="2"/>
    </row>
    <row r="623" spans="1:31" ht="51">
      <c r="A623" s="2" t="s">
        <v>2320</v>
      </c>
      <c r="B623" s="2" t="s">
        <v>2321</v>
      </c>
      <c r="C623" s="2" t="str">
        <f>sheet13[[#This Row],[Nombre]]&amp;sheet13[[#This Row],[Bp Id]]</f>
        <v>Autogestión de desembolsoPRD0003</v>
      </c>
      <c r="D623" s="2" t="str">
        <f>VLOOKUP(sheet13[[#This Row],[Columna1]],Sheet2!C:S,4,FALSE)</f>
        <v>Retirado</v>
      </c>
      <c r="E623" s="2"/>
      <c r="F623" s="2" t="s">
        <v>47</v>
      </c>
      <c r="G623" s="2" t="s">
        <v>48</v>
      </c>
      <c r="H623" s="2" t="s">
        <v>59</v>
      </c>
      <c r="I623" s="2" t="s">
        <v>553</v>
      </c>
      <c r="J623" s="2" t="s">
        <v>554</v>
      </c>
      <c r="K623" s="2"/>
      <c r="L623" s="2"/>
      <c r="M623" s="2"/>
      <c r="N623" s="2" t="s">
        <v>2345</v>
      </c>
      <c r="O623" s="2"/>
      <c r="P623" s="2"/>
      <c r="Q623" s="2"/>
      <c r="R623" s="2"/>
      <c r="S623" s="2"/>
      <c r="T623" s="2"/>
      <c r="U623" s="2"/>
      <c r="V623" s="2"/>
      <c r="W623" s="3"/>
      <c r="X623" s="2"/>
      <c r="Y623" s="2"/>
      <c r="Z623" s="2"/>
      <c r="AA623" s="2"/>
      <c r="AB623" s="2"/>
      <c r="AC623" s="2"/>
      <c r="AD623" s="2"/>
      <c r="AE623" s="2"/>
    </row>
    <row r="624" spans="1:31" ht="51">
      <c r="A624" s="2" t="s">
        <v>2322</v>
      </c>
      <c r="B624" s="2" t="s">
        <v>2323</v>
      </c>
      <c r="C624" s="2" t="str">
        <f>sheet13[[#This Row],[Nombre]]&amp;sheet13[[#This Row],[Bp Id]]</f>
        <v>KudertSUP0071</v>
      </c>
      <c r="D624" s="2" t="str">
        <f>VLOOKUP(sheet13[[#This Row],[Columna1]],Sheet2!C:S,4,FALSE)</f>
        <v>Operativo</v>
      </c>
      <c r="E624" s="2"/>
      <c r="F624" s="2" t="s">
        <v>32</v>
      </c>
      <c r="G624" s="2" t="s">
        <v>48</v>
      </c>
      <c r="H624" s="2" t="s">
        <v>59</v>
      </c>
      <c r="I624" s="2" t="s">
        <v>225</v>
      </c>
      <c r="J624" s="2" t="s">
        <v>226</v>
      </c>
      <c r="K624" s="2" t="s">
        <v>300</v>
      </c>
      <c r="L624" s="2" t="s">
        <v>2351</v>
      </c>
      <c r="M624" s="2"/>
      <c r="N624" s="2" t="s">
        <v>2343</v>
      </c>
      <c r="O624" s="2" t="s">
        <v>40</v>
      </c>
      <c r="P624" s="2"/>
      <c r="Q624" s="2"/>
      <c r="R624" s="2"/>
      <c r="S624" s="2"/>
      <c r="T624" s="2" t="s">
        <v>2344</v>
      </c>
      <c r="U624" s="2" t="s">
        <v>2345</v>
      </c>
      <c r="V624" s="2"/>
      <c r="W624" s="3"/>
      <c r="X624" s="2"/>
      <c r="Y624" s="2"/>
      <c r="Z624" s="2"/>
      <c r="AA624" s="2"/>
      <c r="AB624" s="2"/>
      <c r="AC624" s="2"/>
      <c r="AD624" s="2"/>
      <c r="AE624" s="2"/>
    </row>
    <row r="625" spans="1:31" ht="51">
      <c r="A625" s="2" t="s">
        <v>2324</v>
      </c>
      <c r="B625" s="2" t="s">
        <v>2325</v>
      </c>
      <c r="C625" s="2" t="str">
        <f>sheet13[[#This Row],[Nombre]]&amp;sheet13[[#This Row],[Bp Id]]</f>
        <v>FTPITM0021</v>
      </c>
      <c r="D625" s="2" t="str">
        <f>VLOOKUP(sheet13[[#This Row],[Columna1]],Sheet2!C:S,4,FALSE)</f>
        <v>Retirado</v>
      </c>
      <c r="E625" s="2"/>
      <c r="F625" s="2" t="s">
        <v>47</v>
      </c>
      <c r="G625" s="2" t="s">
        <v>76</v>
      </c>
      <c r="H625" s="2" t="s">
        <v>34</v>
      </c>
      <c r="I625" s="2" t="s">
        <v>68</v>
      </c>
      <c r="J625" s="2" t="s">
        <v>236</v>
      </c>
      <c r="K625" s="2"/>
      <c r="L625" s="2" t="s">
        <v>672</v>
      </c>
      <c r="M625" s="2"/>
      <c r="N625" s="2" t="s">
        <v>2345</v>
      </c>
      <c r="O625" s="2"/>
      <c r="P625" s="2"/>
      <c r="Q625" s="2"/>
      <c r="R625" s="2"/>
      <c r="S625" s="2"/>
      <c r="T625" s="2"/>
      <c r="U625" s="2"/>
      <c r="V625" s="2"/>
      <c r="W625" s="3"/>
      <c r="X625" s="2"/>
      <c r="Y625" s="2"/>
      <c r="Z625" s="2"/>
      <c r="AA625" s="2"/>
      <c r="AB625" s="2"/>
      <c r="AC625" s="2"/>
      <c r="AD625" s="2"/>
      <c r="AE625" s="2"/>
    </row>
    <row r="626" spans="1:31" ht="51">
      <c r="A626" s="2" t="s">
        <v>2326</v>
      </c>
      <c r="B626" s="2" t="s">
        <v>2327</v>
      </c>
      <c r="C626" s="2" t="str">
        <f>sheet13[[#This Row],[Nombre]]&amp;sheet13[[#This Row],[Bp Id]]</f>
        <v>Azure Kubernetes ServicesITM0125</v>
      </c>
      <c r="D626" s="2" t="str">
        <f>VLOOKUP(sheet13[[#This Row],[Columna1]],Sheet2!C:S,4,FALSE)</f>
        <v>Operativo</v>
      </c>
      <c r="E626" s="2"/>
      <c r="F626" s="2" t="s">
        <v>32</v>
      </c>
      <c r="G626" s="2" t="s">
        <v>123</v>
      </c>
      <c r="H626" s="2" t="s">
        <v>59</v>
      </c>
      <c r="I626" s="2" t="s">
        <v>198</v>
      </c>
      <c r="J626" s="2" t="s">
        <v>199</v>
      </c>
      <c r="K626" s="2" t="s">
        <v>521</v>
      </c>
      <c r="L626" s="2" t="s">
        <v>242</v>
      </c>
      <c r="M626" s="2"/>
      <c r="N626" s="2" t="s">
        <v>2343</v>
      </c>
      <c r="O626" s="2" t="s">
        <v>40</v>
      </c>
      <c r="P626" s="2"/>
      <c r="Q626" s="2"/>
      <c r="R626" s="2"/>
      <c r="S626" s="2"/>
      <c r="T626" s="2" t="s">
        <v>2344</v>
      </c>
      <c r="U626" s="2" t="s">
        <v>2345</v>
      </c>
      <c r="V626" s="2"/>
      <c r="W626" s="3"/>
      <c r="X626" s="2"/>
      <c r="Y626" s="2"/>
      <c r="Z626" s="2"/>
      <c r="AA626" s="2"/>
      <c r="AB626" s="2"/>
      <c r="AC626" s="2"/>
      <c r="AD626" s="2"/>
      <c r="AE626" s="2"/>
    </row>
    <row r="627" spans="1:31" ht="63.6">
      <c r="A627" s="2" t="s">
        <v>2328</v>
      </c>
      <c r="B627" s="2" t="s">
        <v>2329</v>
      </c>
      <c r="C627" s="2" t="str">
        <f>sheet13[[#This Row],[Nombre]]&amp;sheet13[[#This Row],[Bp Id]]</f>
        <v>Gestión de Capacidad TIITM0112</v>
      </c>
      <c r="D627" s="2" t="str">
        <f>VLOOKUP(sheet13[[#This Row],[Columna1]],Sheet2!C:S,4,FALSE)</f>
        <v>Operativo</v>
      </c>
      <c r="E627" s="2"/>
      <c r="F627" s="2" t="s">
        <v>32</v>
      </c>
      <c r="G627" s="2" t="s">
        <v>48</v>
      </c>
      <c r="H627" s="2" t="s">
        <v>34</v>
      </c>
      <c r="I627" s="2" t="s">
        <v>68</v>
      </c>
      <c r="J627" s="2" t="s">
        <v>69</v>
      </c>
      <c r="K627" s="2" t="s">
        <v>69</v>
      </c>
      <c r="L627" s="2" t="s">
        <v>2063</v>
      </c>
      <c r="M627" s="2"/>
      <c r="N627" s="2" t="s">
        <v>2343</v>
      </c>
      <c r="O627" s="2" t="s">
        <v>40</v>
      </c>
      <c r="P627" s="2"/>
      <c r="Q627" s="2"/>
      <c r="R627" s="2"/>
      <c r="S627" s="2"/>
      <c r="T627" s="2" t="s">
        <v>2344</v>
      </c>
      <c r="U627" s="2" t="s">
        <v>2345</v>
      </c>
      <c r="V627" s="2"/>
      <c r="W627" s="3"/>
      <c r="X627" s="2"/>
      <c r="Y627" s="2"/>
      <c r="Z627" s="2"/>
      <c r="AA627" s="2"/>
      <c r="AB627" s="2"/>
      <c r="AC627" s="2"/>
      <c r="AD627" s="2"/>
      <c r="AE627" s="2"/>
    </row>
    <row r="628" spans="1:31" ht="51">
      <c r="A628" s="2" t="s">
        <v>2330</v>
      </c>
      <c r="B628" s="2" t="s">
        <v>2331</v>
      </c>
      <c r="C628" s="2" t="str">
        <f>sheet13[[#This Row],[Nombre]]&amp;sheet13[[#This Row],[Bp Id]]</f>
        <v>ATM Agent ProcessorITM0135</v>
      </c>
      <c r="D628" s="2" t="str">
        <f>VLOOKUP(sheet13[[#This Row],[Columna1]],Sheet2!C:S,4,FALSE)</f>
        <v>Operativo</v>
      </c>
      <c r="E628" s="2"/>
      <c r="F628" s="2" t="s">
        <v>32</v>
      </c>
      <c r="G628" s="2" t="s">
        <v>48</v>
      </c>
      <c r="H628" s="2" t="s">
        <v>59</v>
      </c>
      <c r="I628" s="2" t="s">
        <v>35</v>
      </c>
      <c r="J628" s="2" t="s">
        <v>36</v>
      </c>
      <c r="K628" s="2" t="s">
        <v>381</v>
      </c>
      <c r="L628" s="2" t="s">
        <v>2332</v>
      </c>
      <c r="M628" s="2"/>
      <c r="N628" s="2" t="s">
        <v>2343</v>
      </c>
      <c r="O628" s="2" t="s">
        <v>40</v>
      </c>
      <c r="P628" s="2"/>
      <c r="Q628" s="2"/>
      <c r="R628" s="2"/>
      <c r="S628" s="2"/>
      <c r="T628" s="2" t="s">
        <v>2344</v>
      </c>
      <c r="U628" s="2" t="s">
        <v>2345</v>
      </c>
      <c r="V628" s="2"/>
      <c r="W628" s="3"/>
      <c r="X628" s="2"/>
      <c r="Y628" s="2"/>
      <c r="Z628" s="2"/>
      <c r="AA628" s="2"/>
      <c r="AB628" s="2"/>
      <c r="AC628" s="2"/>
      <c r="AD628" s="2"/>
      <c r="AE628" s="2"/>
    </row>
    <row r="629" spans="1:31" ht="63.6">
      <c r="A629" s="2" t="s">
        <v>2333</v>
      </c>
      <c r="B629" s="2" t="s">
        <v>2334</v>
      </c>
      <c r="C629" s="2" t="str">
        <f>sheet13[[#This Row],[Nombre]]&amp;sheet13[[#This Row],[Bp Id]]</f>
        <v>HPE AlletraITM0123</v>
      </c>
      <c r="D629" s="2" t="str">
        <f>VLOOKUP(sheet13[[#This Row],[Columna1]],Sheet2!C:S,4,FALSE)</f>
        <v>Operativo</v>
      </c>
      <c r="E629" s="2"/>
      <c r="F629" s="2" t="s">
        <v>32</v>
      </c>
      <c r="G629" s="2" t="s">
        <v>48</v>
      </c>
      <c r="H629" s="2" t="s">
        <v>34</v>
      </c>
      <c r="I629" s="2" t="s">
        <v>68</v>
      </c>
      <c r="J629" s="2" t="s">
        <v>69</v>
      </c>
      <c r="K629" s="2" t="s">
        <v>70</v>
      </c>
      <c r="L629" s="2" t="s">
        <v>1929</v>
      </c>
      <c r="M629" s="2"/>
      <c r="N629" s="2" t="s">
        <v>2343</v>
      </c>
      <c r="O629" s="2" t="s">
        <v>40</v>
      </c>
      <c r="P629" s="2"/>
      <c r="Q629" s="2"/>
      <c r="R629" s="2"/>
      <c r="S629" s="2"/>
      <c r="T629" s="2" t="s">
        <v>2344</v>
      </c>
      <c r="U629" s="2" t="s">
        <v>2345</v>
      </c>
      <c r="V629" s="2"/>
      <c r="W629" s="3"/>
      <c r="X629" s="2"/>
      <c r="Y629" s="2"/>
      <c r="Z629" s="2"/>
      <c r="AA629" s="2"/>
      <c r="AB629" s="2"/>
      <c r="AC629" s="2"/>
      <c r="AD629" s="2"/>
      <c r="AE629" s="2"/>
    </row>
    <row r="630" spans="1:31" ht="63.6">
      <c r="A630" s="2" t="s">
        <v>2335</v>
      </c>
      <c r="B630" s="2" t="s">
        <v>2334</v>
      </c>
      <c r="C630" s="2" t="str">
        <f>sheet13[[#This Row],[Nombre]]&amp;sheet13[[#This Row],[Bp Id]]</f>
        <v>GravityITM0123</v>
      </c>
      <c r="D630" s="2" t="str">
        <f>VLOOKUP(sheet13[[#This Row],[Columna1]],Sheet2!C:S,4,FALSE)</f>
        <v>Operativo</v>
      </c>
      <c r="E630" s="2"/>
      <c r="F630" s="2" t="s">
        <v>32</v>
      </c>
      <c r="G630" s="2" t="s">
        <v>48</v>
      </c>
      <c r="H630" s="2" t="s">
        <v>59</v>
      </c>
      <c r="I630" s="2" t="s">
        <v>198</v>
      </c>
      <c r="J630" s="2" t="s">
        <v>2235</v>
      </c>
      <c r="K630" s="2" t="s">
        <v>433</v>
      </c>
      <c r="L630" s="2" t="s">
        <v>2236</v>
      </c>
      <c r="M630" s="2"/>
      <c r="N630" s="2" t="s">
        <v>2343</v>
      </c>
      <c r="O630" s="2" t="s">
        <v>40</v>
      </c>
      <c r="P630" s="2"/>
      <c r="Q630" s="2"/>
      <c r="R630" s="2"/>
      <c r="S630" s="2"/>
      <c r="T630" s="2" t="s">
        <v>2344</v>
      </c>
      <c r="U630" s="2" t="s">
        <v>2345</v>
      </c>
      <c r="V630" s="2"/>
      <c r="W630" s="3"/>
      <c r="X630" s="2"/>
      <c r="Y630" s="2"/>
      <c r="Z630" s="2"/>
      <c r="AA630" s="2"/>
      <c r="AB630" s="2"/>
      <c r="AC630" s="2"/>
      <c r="AD630" s="2"/>
      <c r="AE630" s="2"/>
    </row>
    <row r="631" spans="1:31" ht="51">
      <c r="A631" s="2" t="s">
        <v>2336</v>
      </c>
      <c r="B631" s="2" t="s">
        <v>2337</v>
      </c>
      <c r="C631" s="2" t="str">
        <f>sheet13[[#This Row],[Nombre]]&amp;sheet13[[#This Row],[Bp Id]]</f>
        <v>VECTRSEC0090</v>
      </c>
      <c r="D631" s="2" t="str">
        <f>VLOOKUP(sheet13[[#This Row],[Columna1]],Sheet2!C:S,4,FALSE)</f>
        <v>Operativo</v>
      </c>
      <c r="E631" s="2"/>
      <c r="F631" s="2" t="s">
        <v>32</v>
      </c>
      <c r="G631" s="2" t="s">
        <v>48</v>
      </c>
      <c r="H631" s="2" t="s">
        <v>34</v>
      </c>
      <c r="I631" s="2" t="s">
        <v>2346</v>
      </c>
      <c r="J631" s="2" t="s">
        <v>2338</v>
      </c>
      <c r="K631" s="2" t="s">
        <v>2338</v>
      </c>
      <c r="L631" s="2" t="s">
        <v>2338</v>
      </c>
      <c r="M631" s="2"/>
      <c r="N631" s="2" t="s">
        <v>2343</v>
      </c>
      <c r="O631" s="2" t="s">
        <v>40</v>
      </c>
      <c r="P631" s="2"/>
      <c r="Q631" s="2"/>
      <c r="R631" s="2"/>
      <c r="S631" s="2"/>
      <c r="T631" s="2" t="s">
        <v>2344</v>
      </c>
      <c r="U631" s="2" t="s">
        <v>2345</v>
      </c>
      <c r="V631" s="2"/>
      <c r="W631" s="3"/>
      <c r="X631" s="2"/>
      <c r="Y631" s="2"/>
      <c r="Z631" s="2"/>
      <c r="AA631" s="2"/>
      <c r="AB631" s="2"/>
      <c r="AC631" s="2"/>
      <c r="AD631" s="2"/>
      <c r="AE631" s="2"/>
    </row>
    <row r="632" spans="1:31" ht="63.6">
      <c r="A632" s="2" t="s">
        <v>2339</v>
      </c>
      <c r="B632" s="2" t="s">
        <v>2340</v>
      </c>
      <c r="C632" s="2" t="str">
        <f>sheet13[[#This Row],[Nombre]]&amp;sheet13[[#This Row],[Bp Id]]</f>
        <v>MDMDAT0005</v>
      </c>
      <c r="D632" s="2" t="str">
        <f>VLOOKUP(sheet13[[#This Row],[Columna1]],Sheet2!C:S,4,FALSE)</f>
        <v>Retirado</v>
      </c>
      <c r="E632" s="2"/>
      <c r="F632" s="2" t="s">
        <v>47</v>
      </c>
      <c r="G632" s="2" t="s">
        <v>48</v>
      </c>
      <c r="H632" s="2" t="s">
        <v>59</v>
      </c>
      <c r="I632" s="2" t="s">
        <v>328</v>
      </c>
      <c r="J632" s="2" t="s">
        <v>329</v>
      </c>
      <c r="K632" s="2" t="s">
        <v>330</v>
      </c>
      <c r="L632" s="2" t="s">
        <v>331</v>
      </c>
      <c r="M632" s="2"/>
      <c r="N632" s="2" t="s">
        <v>2345</v>
      </c>
      <c r="O632" s="2"/>
      <c r="P632" s="2"/>
      <c r="Q632" s="2"/>
      <c r="R632" s="2"/>
      <c r="S632" s="2"/>
      <c r="T632" s="2"/>
      <c r="U632" s="2"/>
      <c r="V632" s="2"/>
      <c r="W632" s="3"/>
      <c r="X632" s="2"/>
      <c r="Y632" s="2"/>
      <c r="Z632" s="2"/>
      <c r="AA632" s="2"/>
      <c r="AB632" s="2"/>
      <c r="AC632" s="2"/>
      <c r="AD632" s="2"/>
      <c r="AE632" s="2"/>
    </row>
    <row r="633" spans="1:31" ht="75.95">
      <c r="A633" s="5" t="s">
        <v>1750</v>
      </c>
      <c r="B633" s="5" t="s">
        <v>1751</v>
      </c>
      <c r="C633" s="5" t="str">
        <f>sheet13[[#This Row],[Nombre]]&amp;sheet13[[#This Row],[Bp Id]]</f>
        <v>BPM - BizagiSUP0063</v>
      </c>
      <c r="D633" s="2" t="str">
        <f>VLOOKUP(sheet13[[#This Row],[Columna1]],Sheet2!C:S,4,FALSE)</f>
        <v>Operativo</v>
      </c>
      <c r="E633" s="2"/>
      <c r="F633" s="2" t="s">
        <v>32</v>
      </c>
      <c r="G633" s="2" t="s">
        <v>33</v>
      </c>
      <c r="H633" s="2" t="s">
        <v>59</v>
      </c>
      <c r="I633" s="2" t="s">
        <v>198</v>
      </c>
      <c r="J633" s="2" t="s">
        <v>240</v>
      </c>
      <c r="K633" s="2" t="s">
        <v>666</v>
      </c>
      <c r="L633" s="2" t="s">
        <v>1211</v>
      </c>
      <c r="M633" s="2"/>
      <c r="N633" s="2" t="s">
        <v>2343</v>
      </c>
      <c r="O633" s="2"/>
      <c r="P633" s="2" t="s">
        <v>41</v>
      </c>
      <c r="Q633" s="2" t="s">
        <v>64</v>
      </c>
      <c r="R633" s="2" t="s">
        <v>42</v>
      </c>
      <c r="S633" s="2" t="s">
        <v>41</v>
      </c>
      <c r="T633" s="5" t="e">
        <f>VLOOKUP(sheet13[[#This Row],[Nombre]],[1]Hoja1!A:B,2,FALSE)</f>
        <v>#N/A</v>
      </c>
      <c r="U633" s="2" t="s">
        <v>41</v>
      </c>
      <c r="V633" s="2" t="s">
        <v>1752</v>
      </c>
      <c r="W633" s="3">
        <v>45382</v>
      </c>
      <c r="X633" s="2"/>
      <c r="Y633" s="2" t="s">
        <v>125</v>
      </c>
      <c r="Z633" s="2" t="s">
        <v>125</v>
      </c>
      <c r="AA633" s="2" t="s">
        <v>127</v>
      </c>
      <c r="AB633" s="2" t="s">
        <v>127</v>
      </c>
      <c r="AC633" s="2" t="s">
        <v>1753</v>
      </c>
      <c r="AD633" s="2" t="s">
        <v>129</v>
      </c>
      <c r="AE633" s="2" t="s">
        <v>1754</v>
      </c>
    </row>
    <row r="634" spans="1:31" ht="409.6">
      <c r="A634" s="5" t="s">
        <v>1899</v>
      </c>
      <c r="B634" s="5" t="s">
        <v>1900</v>
      </c>
      <c r="C634" s="5" t="str">
        <f>sheet13[[#This Row],[Nombre]]&amp;sheet13[[#This Row],[Bp Id]]</f>
        <v>HARDWARE SECURITY MODULE - HSMGA0020</v>
      </c>
      <c r="D634" s="2" t="str">
        <f>VLOOKUP(sheet13[[#This Row],[Columna1]],Sheet2!C:S,4,FALSE)</f>
        <v>Operativo</v>
      </c>
      <c r="E634" s="2" t="s">
        <v>1901</v>
      </c>
      <c r="F634" s="2" t="s">
        <v>32</v>
      </c>
      <c r="G634" s="2"/>
      <c r="H634" s="2" t="s">
        <v>59</v>
      </c>
      <c r="I634" s="2"/>
      <c r="J634" s="2" t="s">
        <v>1902</v>
      </c>
      <c r="K634" s="2" t="s">
        <v>1902</v>
      </c>
      <c r="L634" s="2" t="s">
        <v>1903</v>
      </c>
      <c r="M634" s="2" t="s">
        <v>621</v>
      </c>
      <c r="N634" s="2" t="s">
        <v>2343</v>
      </c>
      <c r="O634" s="2" t="s">
        <v>40</v>
      </c>
      <c r="P634" s="2" t="s">
        <v>41</v>
      </c>
      <c r="Q634" s="2" t="s">
        <v>53</v>
      </c>
      <c r="R634" s="2" t="s">
        <v>53</v>
      </c>
      <c r="S634" s="2" t="s">
        <v>41</v>
      </c>
      <c r="T634" s="5" t="e">
        <f>VLOOKUP(sheet13[[#This Row],[Nombre]],[1]Hoja1!A:B,2,FALSE)</f>
        <v>#N/A</v>
      </c>
      <c r="U634" s="2" t="s">
        <v>41</v>
      </c>
      <c r="V634" s="2" t="s">
        <v>1904</v>
      </c>
      <c r="W634" s="3">
        <v>46245</v>
      </c>
      <c r="X634" s="2" t="s">
        <v>1905</v>
      </c>
      <c r="Y634" s="2" t="s">
        <v>253</v>
      </c>
      <c r="Z634" s="2" t="s">
        <v>262</v>
      </c>
      <c r="AA634" s="2" t="s">
        <v>127</v>
      </c>
      <c r="AB634" s="2" t="s">
        <v>311</v>
      </c>
      <c r="AC634" s="2" t="s">
        <v>1906</v>
      </c>
      <c r="AD634" s="2" t="s">
        <v>129</v>
      </c>
      <c r="AE634" s="2" t="s">
        <v>1907</v>
      </c>
    </row>
    <row r="635" spans="1:31" ht="15"/>
    <row r="636" spans="1:31" ht="15"/>
  </sheetData>
  <phoneticPr fontId="3" type="noConversion"/>
  <conditionalFormatting sqref="A1:A634">
    <cfRule type="duplicateValues" dxfId="4" priority="8"/>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73DF-550D-4580-A452-68AB3E2A96DF}">
  <sheetPr filterMode="1"/>
  <dimension ref="A1:H184"/>
  <sheetViews>
    <sheetView workbookViewId="0">
      <selection activeCell="G141" sqref="G141"/>
    </sheetView>
  </sheetViews>
  <sheetFormatPr defaultRowHeight="15"/>
  <cols>
    <col min="7" max="7" width="23.5703125" customWidth="1"/>
  </cols>
  <sheetData>
    <row r="1" spans="1:8">
      <c r="A1" t="s">
        <v>2373</v>
      </c>
      <c r="B1" t="s">
        <v>2373</v>
      </c>
      <c r="C1" t="s">
        <v>2373</v>
      </c>
      <c r="D1" t="s">
        <v>2373</v>
      </c>
      <c r="G1" t="s">
        <v>2373</v>
      </c>
      <c r="H1" t="s">
        <v>2374</v>
      </c>
    </row>
    <row r="2" spans="1:8" ht="45.75" hidden="1">
      <c r="A2" s="6" t="s">
        <v>1455</v>
      </c>
      <c r="B2" s="6" t="s">
        <v>1456</v>
      </c>
      <c r="C2" t="str">
        <f>A2&amp;B2</f>
        <v>360 Brand GuardianSEC0061</v>
      </c>
      <c r="D2" t="str">
        <f>VLOOKUP(C2,Sheet1!C:U,19,FALSE)</f>
        <v>Si</v>
      </c>
      <c r="G2" t="s">
        <v>2375</v>
      </c>
      <c r="H2" t="str">
        <f>VLOOKUP(G2,C:D,2,FALSE)</f>
        <v>Si</v>
      </c>
    </row>
    <row r="3" spans="1:8" ht="45.75" hidden="1">
      <c r="A3" s="6" t="s">
        <v>1819</v>
      </c>
      <c r="B3" s="6" t="s">
        <v>1820</v>
      </c>
      <c r="C3" t="str">
        <f t="shared" ref="C3:C66" si="0">A3&amp;B3</f>
        <v>Abonos AnticipadosGI0009</v>
      </c>
      <c r="D3" t="str">
        <f>VLOOKUP(C3,Sheet1!C:U,19,FALSE)</f>
        <v>Si</v>
      </c>
      <c r="G3" t="s">
        <v>2376</v>
      </c>
      <c r="H3" t="str">
        <f t="shared" ref="H3:H66" si="1">VLOOKUP(G3,C:D,2,FALSE)</f>
        <v>Si</v>
      </c>
    </row>
    <row r="4" spans="1:8" ht="30.75" hidden="1">
      <c r="A4" s="6" t="s">
        <v>42</v>
      </c>
      <c r="B4" s="6" t="s">
        <v>746</v>
      </c>
      <c r="C4" t="str">
        <f t="shared" si="0"/>
        <v>Active DirectorySEC0047</v>
      </c>
      <c r="D4" t="str">
        <f>VLOOKUP(C4,Sheet1!C:U,19,FALSE)</f>
        <v>Si</v>
      </c>
      <c r="G4" t="s">
        <v>2377</v>
      </c>
      <c r="H4" t="str">
        <f t="shared" si="1"/>
        <v>Si</v>
      </c>
    </row>
    <row r="5" spans="1:8" ht="76.5" hidden="1">
      <c r="A5" s="6" t="s">
        <v>1821</v>
      </c>
      <c r="B5" s="6" t="s">
        <v>1822</v>
      </c>
      <c r="C5" t="str">
        <f t="shared" si="0"/>
        <v>Administracion de cupos y lineas de creditoGI0012</v>
      </c>
      <c r="D5" t="str">
        <f>VLOOKUP(C5,Sheet1!C:U,19,FALSE)</f>
        <v>Si</v>
      </c>
      <c r="G5" t="s">
        <v>2378</v>
      </c>
      <c r="H5" t="str">
        <f t="shared" si="1"/>
        <v>Si</v>
      </c>
    </row>
    <row r="6" spans="1:8" ht="45.75" hidden="1">
      <c r="A6" s="6" t="s">
        <v>1823</v>
      </c>
      <c r="B6" s="6" t="s">
        <v>1824</v>
      </c>
      <c r="C6" t="str">
        <f t="shared" si="0"/>
        <v>Administrador ATMSGI0014</v>
      </c>
      <c r="D6" t="str">
        <f>VLOOKUP(C6,Sheet1!C:U,19,FALSE)</f>
        <v>Si</v>
      </c>
      <c r="G6" t="s">
        <v>2379</v>
      </c>
      <c r="H6" t="str">
        <f t="shared" si="1"/>
        <v>Si</v>
      </c>
    </row>
    <row r="7" spans="1:8" ht="45.75" hidden="1">
      <c r="A7" s="6" t="s">
        <v>755</v>
      </c>
      <c r="B7" s="6" t="s">
        <v>756</v>
      </c>
      <c r="C7" t="str">
        <f t="shared" si="0"/>
        <v>Administrador de CréditoRIS0001</v>
      </c>
      <c r="D7" t="str">
        <f>VLOOKUP(C7,Sheet1!C:U,19,FALSE)</f>
        <v>Si</v>
      </c>
      <c r="G7" t="s">
        <v>2380</v>
      </c>
      <c r="H7" t="str">
        <f t="shared" si="1"/>
        <v>Si</v>
      </c>
    </row>
    <row r="8" spans="1:8" ht="60.75" hidden="1">
      <c r="A8" s="6" t="s">
        <v>763</v>
      </c>
      <c r="B8" s="6" t="s">
        <v>764</v>
      </c>
      <c r="C8" t="str">
        <f t="shared" si="0"/>
        <v>Administrador de Líneas de CréditoRIS0002</v>
      </c>
      <c r="D8" t="str">
        <f>VLOOKUP(C8,Sheet1!C:U,19,FALSE)</f>
        <v>Si</v>
      </c>
      <c r="G8" t="s">
        <v>2381</v>
      </c>
      <c r="H8" t="str">
        <f t="shared" si="1"/>
        <v>Si</v>
      </c>
    </row>
    <row r="9" spans="1:8" ht="60.75" hidden="1">
      <c r="A9" s="6" t="s">
        <v>776</v>
      </c>
      <c r="B9" s="6" t="s">
        <v>777</v>
      </c>
      <c r="C9" t="str">
        <f t="shared" si="0"/>
        <v>Administrador OmnicanalCHL0003</v>
      </c>
      <c r="D9" t="str">
        <f>VLOOKUP(C9,Sheet1!C:U,19,FALSE)</f>
        <v>Si</v>
      </c>
      <c r="G9" t="s">
        <v>2382</v>
      </c>
      <c r="H9" t="str">
        <f t="shared" si="1"/>
        <v>Si</v>
      </c>
    </row>
    <row r="10" spans="1:8" ht="60.75" hidden="1">
      <c r="A10" s="6" t="s">
        <v>782</v>
      </c>
      <c r="B10" s="6" t="s">
        <v>783</v>
      </c>
      <c r="C10" t="str">
        <f t="shared" si="0"/>
        <v>Administrador ReferenciasPRD0001</v>
      </c>
      <c r="D10" t="str">
        <f>VLOOKUP(C10,Sheet1!C:U,19,FALSE)</f>
        <v>Si</v>
      </c>
      <c r="G10" t="s">
        <v>2383</v>
      </c>
      <c r="H10" t="str">
        <f t="shared" si="1"/>
        <v>Si</v>
      </c>
    </row>
    <row r="11" spans="1:8" ht="30.75" hidden="1">
      <c r="A11" s="6" t="s">
        <v>795</v>
      </c>
      <c r="B11" s="6" t="s">
        <v>796</v>
      </c>
      <c r="C11" t="str">
        <f t="shared" si="0"/>
        <v>Akamai WAFSEC0002</v>
      </c>
      <c r="D11" t="str">
        <f>VLOOKUP(C11,Sheet1!C:U,19,FALSE)</f>
        <v>Si</v>
      </c>
      <c r="G11" t="s">
        <v>2384</v>
      </c>
      <c r="H11" t="str">
        <f t="shared" si="1"/>
        <v>Si</v>
      </c>
    </row>
    <row r="12" spans="1:8" ht="60.75" hidden="1">
      <c r="A12" s="6" t="s">
        <v>1825</v>
      </c>
      <c r="B12" s="6" t="s">
        <v>1826</v>
      </c>
      <c r="C12" t="str">
        <f t="shared" si="0"/>
        <v>AM-Menu AccionistasGI0022</v>
      </c>
      <c r="D12" t="str">
        <f>VLOOKUP(C12,Sheet1!C:U,19,FALSE)</f>
        <v>Si</v>
      </c>
      <c r="G12" t="s">
        <v>2385</v>
      </c>
      <c r="H12" t="str">
        <f t="shared" si="1"/>
        <v>Si</v>
      </c>
    </row>
    <row r="13" spans="1:8" ht="30.75" hidden="1">
      <c r="A13" s="6" t="s">
        <v>452</v>
      </c>
      <c r="B13" s="6" t="s">
        <v>453</v>
      </c>
      <c r="C13" t="str">
        <f t="shared" si="0"/>
        <v>AntiDDoS RadwareSEC0052</v>
      </c>
      <c r="D13" t="str">
        <f>VLOOKUP(C13,Sheet1!C:U,19,FALSE)</f>
        <v>Si</v>
      </c>
      <c r="G13" t="s">
        <v>2386</v>
      </c>
      <c r="H13" t="str">
        <f t="shared" si="1"/>
        <v>Si</v>
      </c>
    </row>
    <row r="14" spans="1:8" hidden="1">
      <c r="A14" s="6" t="s">
        <v>463</v>
      </c>
      <c r="B14" s="6" t="s">
        <v>464</v>
      </c>
      <c r="C14" t="str">
        <f t="shared" si="0"/>
        <v>ApigeeINT0004</v>
      </c>
      <c r="D14" t="str">
        <f>VLOOKUP(C14,Sheet1!C:U,19,FALSE)</f>
        <v>Si</v>
      </c>
      <c r="G14" t="s">
        <v>2387</v>
      </c>
      <c r="H14" t="str">
        <f t="shared" si="1"/>
        <v>Si</v>
      </c>
    </row>
    <row r="15" spans="1:8" hidden="1">
      <c r="A15" s="6" t="s">
        <v>470</v>
      </c>
      <c r="B15" s="6" t="s">
        <v>471</v>
      </c>
      <c r="C15" t="str">
        <f t="shared" si="0"/>
        <v>APIMINT0016</v>
      </c>
      <c r="D15" t="str">
        <f>VLOOKUP(C15,Sheet1!C:U,19,FALSE)</f>
        <v>Si</v>
      </c>
      <c r="G15" t="s">
        <v>2388</v>
      </c>
      <c r="H15" t="str">
        <f t="shared" si="1"/>
        <v>Si</v>
      </c>
    </row>
    <row r="16" spans="1:8" ht="76.5" hidden="1">
      <c r="A16" s="6" t="s">
        <v>1827</v>
      </c>
      <c r="B16" s="6" t="s">
        <v>1828</v>
      </c>
      <c r="C16" t="str">
        <f t="shared" si="0"/>
        <v>Aplicativo Captura de FirmasGI0023</v>
      </c>
      <c r="D16" t="str">
        <f>VLOOKUP(C16,Sheet1!C:U,19,FALSE)</f>
        <v>Si</v>
      </c>
      <c r="G16" t="s">
        <v>2389</v>
      </c>
      <c r="H16" t="str">
        <f t="shared" si="1"/>
        <v>Si</v>
      </c>
    </row>
    <row r="17" spans="1:8" ht="45.75" hidden="1">
      <c r="A17" s="6" t="s">
        <v>1829</v>
      </c>
      <c r="B17" s="6" t="s">
        <v>1830</v>
      </c>
      <c r="C17" t="str">
        <f t="shared" si="0"/>
        <v>Aplicativo de RemesasGI0024</v>
      </c>
      <c r="D17" t="str">
        <f>VLOOKUP(C17,Sheet1!C:U,19,FALSE)</f>
        <v>Si</v>
      </c>
      <c r="G17" t="s">
        <v>2390</v>
      </c>
      <c r="H17" t="str">
        <f t="shared" si="1"/>
        <v>Si</v>
      </c>
    </row>
    <row r="18" spans="1:8" hidden="1">
      <c r="A18" s="6" t="s">
        <v>484</v>
      </c>
      <c r="B18" s="6" t="s">
        <v>485</v>
      </c>
      <c r="C18" t="str">
        <f t="shared" si="0"/>
        <v>AthentoTIE0025</v>
      </c>
      <c r="D18" t="str">
        <f>VLOOKUP(C18,Sheet1!C:U,19,FALSE)</f>
        <v>Si</v>
      </c>
      <c r="G18" t="s">
        <v>2391</v>
      </c>
      <c r="H18" t="str">
        <f t="shared" si="1"/>
        <v>Si</v>
      </c>
    </row>
    <row r="19" spans="1:8" ht="60.75" hidden="1">
      <c r="A19" s="6" t="s">
        <v>1831</v>
      </c>
      <c r="B19" s="6" t="s">
        <v>1832</v>
      </c>
      <c r="C19" t="str">
        <f t="shared" si="0"/>
        <v>ATM CAjeros AutomaticosGI0025</v>
      </c>
      <c r="D19" t="str">
        <f>VLOOKUP(C19,Sheet1!C:U,19,FALSE)</f>
        <v>Si</v>
      </c>
      <c r="G19" t="s">
        <v>2392</v>
      </c>
      <c r="H19" t="str">
        <f t="shared" si="1"/>
        <v>Si</v>
      </c>
    </row>
    <row r="20" spans="1:8" ht="30.75" hidden="1">
      <c r="A20" s="6" t="s">
        <v>495</v>
      </c>
      <c r="B20" s="6" t="s">
        <v>496</v>
      </c>
      <c r="C20" t="str">
        <f t="shared" si="0"/>
        <v>AURO SUITECOR0003</v>
      </c>
      <c r="D20" t="str">
        <f>VLOOKUP(C20,Sheet1!C:U,19,FALSE)</f>
        <v>Si</v>
      </c>
      <c r="G20" t="s">
        <v>2393</v>
      </c>
      <c r="H20" t="str">
        <f t="shared" si="1"/>
        <v>Si</v>
      </c>
    </row>
    <row r="21" spans="1:8" ht="30.75" hidden="1">
      <c r="A21" s="6" t="s">
        <v>622</v>
      </c>
      <c r="B21" s="6" t="s">
        <v>623</v>
      </c>
      <c r="C21" t="str">
        <f t="shared" si="0"/>
        <v>BancsLinkCOR0005</v>
      </c>
      <c r="D21" t="str">
        <f>VLOOKUP(C21,Sheet1!C:U,19,FALSE)</f>
        <v>Si</v>
      </c>
      <c r="G21" t="s">
        <v>2394</v>
      </c>
      <c r="H21" t="str">
        <f t="shared" si="1"/>
        <v>Si</v>
      </c>
    </row>
    <row r="22" spans="1:8" hidden="1">
      <c r="A22" s="6" t="s">
        <v>655</v>
      </c>
      <c r="B22" s="6" t="s">
        <v>656</v>
      </c>
      <c r="C22" t="str">
        <f t="shared" si="0"/>
        <v>BiocatchSEC0006</v>
      </c>
      <c r="D22" t="str">
        <f>VLOOKUP(C22,Sheet1!C:U,19,FALSE)</f>
        <v>Si</v>
      </c>
      <c r="G22" t="s">
        <v>2395</v>
      </c>
      <c r="H22" t="str">
        <f t="shared" si="1"/>
        <v>Si</v>
      </c>
    </row>
    <row r="23" spans="1:8" ht="30.75" hidden="1">
      <c r="A23" s="6" t="s">
        <v>1874</v>
      </c>
      <c r="B23" s="6" t="s">
        <v>1875</v>
      </c>
      <c r="C23" t="str">
        <f t="shared" si="0"/>
        <v>BPComplianceITM0126</v>
      </c>
      <c r="D23" t="str">
        <f>VLOOKUP(C23,Sheet1!C:U,19,FALSE)</f>
        <v>Si</v>
      </c>
      <c r="G23" t="s">
        <v>2396</v>
      </c>
      <c r="H23" t="str">
        <f t="shared" si="1"/>
        <v>Si</v>
      </c>
    </row>
    <row r="24" spans="1:8" ht="30.75" hidden="1">
      <c r="A24" s="6" t="s">
        <v>1750</v>
      </c>
      <c r="B24" s="6" t="s">
        <v>1751</v>
      </c>
      <c r="C24" t="str">
        <f t="shared" si="0"/>
        <v>BPM - BizagiSUP0063</v>
      </c>
      <c r="D24" t="str">
        <f>VLOOKUP(C24,Sheet1!C:U,19,FALSE)</f>
        <v>Si</v>
      </c>
      <c r="G24" t="s">
        <v>2397</v>
      </c>
      <c r="H24" t="str">
        <f t="shared" si="1"/>
        <v>Si</v>
      </c>
    </row>
    <row r="25" spans="1:8" ht="76.5" hidden="1">
      <c r="A25" s="6" t="s">
        <v>684</v>
      </c>
      <c r="B25" s="6" t="s">
        <v>685</v>
      </c>
      <c r="C25" t="str">
        <f t="shared" si="0"/>
        <v>Bridger Insight XG EnterpriseGOB0011</v>
      </c>
      <c r="D25" t="str">
        <f>VLOOKUP(C25,Sheet1!C:U,19,FALSE)</f>
        <v>Si</v>
      </c>
      <c r="G25" t="s">
        <v>2398</v>
      </c>
      <c r="H25" t="str">
        <f t="shared" si="1"/>
        <v>Si</v>
      </c>
    </row>
    <row r="26" spans="1:8" ht="76.5" hidden="1">
      <c r="A26" s="6" t="s">
        <v>1833</v>
      </c>
      <c r="B26" s="6" t="s">
        <v>1834</v>
      </c>
      <c r="C26" t="str">
        <f t="shared" si="0"/>
        <v>Calculadora de Cupos para CreditosGI0026</v>
      </c>
      <c r="D26" t="str">
        <f>VLOOKUP(C26,Sheet1!C:U,19,FALSE)</f>
        <v>Si</v>
      </c>
      <c r="G26" t="s">
        <v>2399</v>
      </c>
      <c r="H26" t="str">
        <f t="shared" si="1"/>
        <v>Si</v>
      </c>
    </row>
    <row r="27" spans="1:8" ht="30.75" hidden="1">
      <c r="A27" s="6" t="s">
        <v>711</v>
      </c>
      <c r="B27" s="6" t="s">
        <v>712</v>
      </c>
      <c r="C27" t="str">
        <f t="shared" si="0"/>
        <v>CardHolderPAY0004</v>
      </c>
      <c r="D27" t="str">
        <f>VLOOKUP(C27,Sheet1!C:U,19,FALSE)</f>
        <v>Si</v>
      </c>
      <c r="G27" t="s">
        <v>2400</v>
      </c>
      <c r="H27" t="str">
        <f t="shared" si="1"/>
        <v>Si</v>
      </c>
    </row>
    <row r="28" spans="1:8" ht="30.75" hidden="1">
      <c r="A28" s="6" t="s">
        <v>724</v>
      </c>
      <c r="B28" s="6" t="s">
        <v>725</v>
      </c>
      <c r="C28" t="str">
        <f t="shared" si="0"/>
        <v>CashManagementPRD0012</v>
      </c>
      <c r="D28" t="str">
        <f>VLOOKUP(C28,Sheet1!C:U,19,FALSE)</f>
        <v>Si</v>
      </c>
      <c r="G28" t="s">
        <v>2401</v>
      </c>
      <c r="H28" t="str">
        <f t="shared" si="1"/>
        <v>Si</v>
      </c>
    </row>
    <row r="29" spans="1:8" hidden="1">
      <c r="A29" s="6" t="s">
        <v>737</v>
      </c>
      <c r="B29" s="6" t="s">
        <v>738</v>
      </c>
      <c r="C29" t="str">
        <f t="shared" si="0"/>
        <v>CheqscanPAY0002</v>
      </c>
      <c r="D29" t="str">
        <f>VLOOKUP(C29,Sheet1!C:U,19,FALSE)</f>
        <v>Si</v>
      </c>
      <c r="G29" t="s">
        <v>2402</v>
      </c>
      <c r="H29" t="str">
        <f t="shared" si="1"/>
        <v>Si</v>
      </c>
    </row>
    <row r="30" spans="1:8" hidden="1">
      <c r="A30" s="6" t="s">
        <v>1796</v>
      </c>
      <c r="B30" s="6" t="s">
        <v>1797</v>
      </c>
      <c r="C30" t="str">
        <f t="shared" si="0"/>
        <v>CitibankGI0017</v>
      </c>
      <c r="D30" t="str">
        <f>VLOOKUP(C30,Sheet1!C:U,19,FALSE)</f>
        <v>Si</v>
      </c>
      <c r="G30" t="s">
        <v>2403</v>
      </c>
      <c r="H30" t="str">
        <f t="shared" si="1"/>
        <v>Si</v>
      </c>
    </row>
    <row r="31" spans="1:8" ht="30.75" hidden="1">
      <c r="A31" s="6" t="s">
        <v>1835</v>
      </c>
      <c r="B31" s="6" t="s">
        <v>1836</v>
      </c>
      <c r="C31" t="str">
        <f t="shared" si="0"/>
        <v>Clientes JuridicosGI0027</v>
      </c>
      <c r="D31" t="str">
        <f>VLOOKUP(C31,Sheet1!C:U,19,FALSE)</f>
        <v>Si</v>
      </c>
      <c r="G31" t="s">
        <v>2404</v>
      </c>
      <c r="H31" t="str">
        <f t="shared" si="1"/>
        <v>Si</v>
      </c>
    </row>
    <row r="32" spans="1:8" ht="60.75" hidden="1">
      <c r="A32" s="6" t="s">
        <v>534</v>
      </c>
      <c r="B32" s="6" t="s">
        <v>535</v>
      </c>
      <c r="C32" t="str">
        <f t="shared" si="0"/>
        <v>COBIS BANCA COMUNALPRD0052</v>
      </c>
      <c r="D32" t="str">
        <f>VLOOKUP(C32,Sheet1!C:U,19,FALSE)</f>
        <v>Si</v>
      </c>
      <c r="G32" t="s">
        <v>2405</v>
      </c>
      <c r="H32" t="str">
        <f t="shared" si="1"/>
        <v>Si</v>
      </c>
    </row>
    <row r="33" spans="1:8" ht="76.5" hidden="1">
      <c r="A33" s="6" t="s">
        <v>1149</v>
      </c>
      <c r="B33" s="6" t="s">
        <v>1150</v>
      </c>
      <c r="C33" t="str">
        <f t="shared" si="0"/>
        <v>Colector de Eventos SOC (NXLog)SEC0050</v>
      </c>
      <c r="D33" t="str">
        <f>VLOOKUP(C33,Sheet1!C:U,19,FALSE)</f>
        <v>Si</v>
      </c>
      <c r="G33" t="s">
        <v>2406</v>
      </c>
      <c r="H33" t="str">
        <f t="shared" si="1"/>
        <v>Si</v>
      </c>
    </row>
    <row r="34" spans="1:8" hidden="1">
      <c r="A34" s="6" t="s">
        <v>543</v>
      </c>
      <c r="B34" s="6" t="s">
        <v>544</v>
      </c>
      <c r="C34" t="str">
        <f t="shared" si="0"/>
        <v>CompassSEC0076</v>
      </c>
      <c r="D34" t="str">
        <f>VLOOKUP(C34,Sheet1!C:U,19,FALSE)</f>
        <v>Si</v>
      </c>
      <c r="G34" t="s">
        <v>2407</v>
      </c>
      <c r="H34" t="str">
        <f t="shared" si="1"/>
        <v>Si</v>
      </c>
    </row>
    <row r="35" spans="1:8" ht="30.75" hidden="1">
      <c r="A35" s="6" t="s">
        <v>550</v>
      </c>
      <c r="B35" s="6" t="s">
        <v>551</v>
      </c>
      <c r="C35" t="str">
        <f t="shared" si="0"/>
        <v>CompensacionSUP0025</v>
      </c>
      <c r="D35" t="str">
        <f>VLOOKUP(C35,Sheet1!C:U,19,FALSE)</f>
        <v>Si</v>
      </c>
      <c r="G35" t="s">
        <v>2408</v>
      </c>
      <c r="H35" t="str">
        <f t="shared" si="1"/>
        <v>Si</v>
      </c>
    </row>
    <row r="36" spans="1:8" ht="60.75" hidden="1">
      <c r="A36" s="6" t="s">
        <v>568</v>
      </c>
      <c r="B36" s="6" t="s">
        <v>569</v>
      </c>
      <c r="C36" t="str">
        <f t="shared" si="0"/>
        <v>Configuración CentralizadaSEC0008</v>
      </c>
      <c r="D36" t="str">
        <f>VLOOKUP(C36,Sheet1!C:U,19,FALSE)</f>
        <v>Si</v>
      </c>
      <c r="G36" t="s">
        <v>2409</v>
      </c>
      <c r="H36" t="str">
        <f t="shared" si="1"/>
        <v>Si</v>
      </c>
    </row>
    <row r="37" spans="1:8" ht="30.75" hidden="1">
      <c r="A37" s="6" t="s">
        <v>1837</v>
      </c>
      <c r="B37" s="6" t="s">
        <v>1838</v>
      </c>
      <c r="C37" t="str">
        <f t="shared" si="0"/>
        <v>Constructores.comGI0028</v>
      </c>
      <c r="D37" t="str">
        <f>VLOOKUP(C37,Sheet1!C:U,19,FALSE)</f>
        <v>Si</v>
      </c>
      <c r="G37" t="s">
        <v>2410</v>
      </c>
      <c r="H37" t="str">
        <f t="shared" si="1"/>
        <v>Si</v>
      </c>
    </row>
    <row r="38" spans="1:8" ht="30.75" hidden="1">
      <c r="A38" s="6" t="s">
        <v>587</v>
      </c>
      <c r="B38" s="6" t="s">
        <v>588</v>
      </c>
      <c r="C38" t="str">
        <f t="shared" si="0"/>
        <v>Coren WEBSEC0071</v>
      </c>
      <c r="D38" t="str">
        <f>VLOOKUP(C38,Sheet1!C:U,19,FALSE)</f>
        <v>Si</v>
      </c>
      <c r="G38" t="s">
        <v>2411</v>
      </c>
      <c r="H38" t="str">
        <f t="shared" si="1"/>
        <v>Si</v>
      </c>
    </row>
    <row r="39" spans="1:8" ht="91.5" hidden="1">
      <c r="A39" s="6" t="s">
        <v>1319</v>
      </c>
      <c r="B39" s="6" t="s">
        <v>1320</v>
      </c>
      <c r="C39" t="str">
        <f t="shared" si="0"/>
        <v>Correlacionador de Eventos SOC (SPLUNK)SEC0068</v>
      </c>
      <c r="D39" t="str">
        <f>VLOOKUP(C39,Sheet1!C:U,19,FALSE)</f>
        <v>Si</v>
      </c>
      <c r="G39" t="s">
        <v>2412</v>
      </c>
      <c r="H39" t="str">
        <f t="shared" si="1"/>
        <v>Si</v>
      </c>
    </row>
    <row r="40" spans="1:8" ht="30.75" hidden="1">
      <c r="A40" s="6" t="s">
        <v>592</v>
      </c>
      <c r="B40" s="6" t="s">
        <v>593</v>
      </c>
      <c r="C40" t="str">
        <f t="shared" si="0"/>
        <v>CreditLensRIS0004</v>
      </c>
      <c r="D40" t="str">
        <f>VLOOKUP(C40,Sheet1!C:U,19,FALSE)</f>
        <v>Si</v>
      </c>
      <c r="G40" t="s">
        <v>2413</v>
      </c>
      <c r="H40" t="str">
        <f t="shared" si="1"/>
        <v>Si</v>
      </c>
    </row>
    <row r="41" spans="1:8" ht="45.75" hidden="1">
      <c r="A41" s="6" t="s">
        <v>351</v>
      </c>
      <c r="B41" s="6" t="s">
        <v>352</v>
      </c>
      <c r="C41" t="str">
        <f t="shared" si="0"/>
        <v>CreditoDistribuidorPRD0014</v>
      </c>
      <c r="D41" t="str">
        <f>VLOOKUP(C41,Sheet1!C:U,19,FALSE)</f>
        <v>Si</v>
      </c>
      <c r="G41" t="s">
        <v>2414</v>
      </c>
      <c r="H41" t="str">
        <f t="shared" si="1"/>
        <v>Si</v>
      </c>
    </row>
    <row r="42" spans="1:8" ht="30.75" hidden="1">
      <c r="A42" s="6" t="s">
        <v>354</v>
      </c>
      <c r="B42" s="6" t="s">
        <v>355</v>
      </c>
      <c r="C42" t="str">
        <f t="shared" si="0"/>
        <v>CreditosCOMPRD0015</v>
      </c>
      <c r="D42" t="str">
        <f>VLOOKUP(C42,Sheet1!C:U,19,FALSE)</f>
        <v>Si</v>
      </c>
      <c r="G42" t="s">
        <v>2415</v>
      </c>
      <c r="H42" t="str">
        <f t="shared" si="1"/>
        <v>Si</v>
      </c>
    </row>
    <row r="43" spans="1:8" ht="76.5" hidden="1">
      <c r="A43" s="6" t="s">
        <v>358</v>
      </c>
      <c r="B43" s="6" t="s">
        <v>359</v>
      </c>
      <c r="C43" t="str">
        <f t="shared" si="0"/>
        <v>CRM (salesforce - Financial services)CUS0007</v>
      </c>
      <c r="D43" t="str">
        <f>VLOOKUP(C43,Sheet1!C:U,19,FALSE)</f>
        <v>Si</v>
      </c>
      <c r="G43" t="s">
        <v>2416</v>
      </c>
      <c r="H43" t="str">
        <f t="shared" si="1"/>
        <v>Si</v>
      </c>
    </row>
    <row r="44" spans="1:8" ht="76.5" hidden="1">
      <c r="A44" s="6" t="s">
        <v>365</v>
      </c>
      <c r="B44" s="6" t="s">
        <v>366</v>
      </c>
      <c r="C44" t="str">
        <f t="shared" si="0"/>
        <v>CRM (salesforce - Marketing Cloud)CUS0008</v>
      </c>
      <c r="D44" t="str">
        <f>VLOOKUP(C44,Sheet1!C:U,19,FALSE)</f>
        <v>Si</v>
      </c>
      <c r="G44" t="s">
        <v>2417</v>
      </c>
      <c r="H44" t="str">
        <f t="shared" si="1"/>
        <v>Si</v>
      </c>
    </row>
    <row r="45" spans="1:8" ht="30.75" hidden="1">
      <c r="A45" s="6" t="s">
        <v>372</v>
      </c>
      <c r="B45" s="6" t="s">
        <v>373</v>
      </c>
      <c r="C45" t="str">
        <f t="shared" si="0"/>
        <v>CrowdstrikeSEC0009</v>
      </c>
      <c r="D45" t="str">
        <f>VLOOKUP(C45,Sheet1!C:U,19,FALSE)</f>
        <v>Si</v>
      </c>
      <c r="G45" t="s">
        <v>2418</v>
      </c>
      <c r="H45" t="str">
        <f t="shared" si="1"/>
        <v>Si</v>
      </c>
    </row>
    <row r="46" spans="1:8" ht="30.75" hidden="1">
      <c r="A46" s="6" t="s">
        <v>378</v>
      </c>
      <c r="B46" s="6" t="s">
        <v>379</v>
      </c>
      <c r="C46" t="str">
        <f t="shared" si="0"/>
        <v>Cuadre AtmsSUP0021</v>
      </c>
      <c r="D46" t="str">
        <f>VLOOKUP(C46,Sheet1!C:U,19,FALSE)</f>
        <v>Si</v>
      </c>
      <c r="G46" t="s">
        <v>2419</v>
      </c>
      <c r="H46" t="str">
        <f t="shared" si="1"/>
        <v>Si</v>
      </c>
    </row>
    <row r="47" spans="1:8" ht="45.75" hidden="1">
      <c r="A47" s="6" t="s">
        <v>402</v>
      </c>
      <c r="B47" s="6" t="s">
        <v>403</v>
      </c>
      <c r="C47" t="str">
        <f t="shared" si="0"/>
        <v>DataPower ExternoINT0005</v>
      </c>
      <c r="D47" t="str">
        <f>VLOOKUP(C47,Sheet1!C:U,19,FALSE)</f>
        <v>Si</v>
      </c>
      <c r="G47" t="s">
        <v>2420</v>
      </c>
      <c r="H47" t="str">
        <f t="shared" si="1"/>
        <v>Si</v>
      </c>
    </row>
    <row r="48" spans="1:8" ht="45.75" hidden="1">
      <c r="A48" s="6" t="s">
        <v>1864</v>
      </c>
      <c r="B48" s="6" t="s">
        <v>1865</v>
      </c>
      <c r="C48" t="str">
        <f t="shared" si="0"/>
        <v>DataPower InternoINT0006</v>
      </c>
      <c r="D48" t="str">
        <f>VLOOKUP(C48,Sheet1!C:U,19,FALSE)</f>
        <v>Si</v>
      </c>
      <c r="G48" t="s">
        <v>2421</v>
      </c>
      <c r="H48" t="str">
        <f t="shared" si="1"/>
        <v>Si</v>
      </c>
    </row>
    <row r="49" spans="1:8" ht="30.75" hidden="1">
      <c r="A49" s="6" t="s">
        <v>409</v>
      </c>
      <c r="B49" s="6" t="s">
        <v>410</v>
      </c>
      <c r="C49" t="str">
        <f t="shared" si="0"/>
        <v>Decisión CloudITM0001</v>
      </c>
      <c r="D49" t="str">
        <f>VLOOKUP(C49,Sheet1!C:U,19,FALSE)</f>
        <v>Si</v>
      </c>
      <c r="G49" t="s">
        <v>2422</v>
      </c>
      <c r="H49" t="str">
        <f t="shared" si="1"/>
        <v>Si</v>
      </c>
    </row>
    <row r="50" spans="1:8" ht="30.75" hidden="1">
      <c r="A50" s="6" t="s">
        <v>423</v>
      </c>
      <c r="B50" s="6" t="s">
        <v>424</v>
      </c>
      <c r="C50" t="str">
        <f t="shared" si="0"/>
        <v>Deep SecuritySEC0014</v>
      </c>
      <c r="D50" t="str">
        <f>VLOOKUP(C50,Sheet1!C:U,19,FALSE)</f>
        <v>Si</v>
      </c>
      <c r="G50" t="s">
        <v>2423</v>
      </c>
      <c r="H50" t="str">
        <f t="shared" si="1"/>
        <v>Si</v>
      </c>
    </row>
    <row r="51" spans="1:8" ht="76.5" hidden="1">
      <c r="A51" s="6" t="s">
        <v>1755</v>
      </c>
      <c r="B51" s="6" t="s">
        <v>1756</v>
      </c>
      <c r="C51" t="str">
        <f t="shared" si="0"/>
        <v>Delivery Servicios a DomiciliioGI0029</v>
      </c>
      <c r="D51" t="str">
        <f>VLOOKUP(C51,Sheet1!C:U,19,FALSE)</f>
        <v>Si</v>
      </c>
      <c r="G51" t="s">
        <v>2424</v>
      </c>
      <c r="H51" t="str">
        <f t="shared" si="1"/>
        <v>Si</v>
      </c>
    </row>
    <row r="52" spans="1:8" hidden="1">
      <c r="A52" s="6" t="s">
        <v>435</v>
      </c>
      <c r="B52" s="6" t="s">
        <v>436</v>
      </c>
      <c r="C52" t="str">
        <f t="shared" si="0"/>
        <v>Detect IDSEC0015</v>
      </c>
      <c r="D52" t="str">
        <f>VLOOKUP(C52,Sheet1!C:U,19,FALSE)</f>
        <v>Si</v>
      </c>
      <c r="G52" t="s">
        <v>2425</v>
      </c>
      <c r="H52" t="str">
        <f t="shared" si="1"/>
        <v>Si</v>
      </c>
    </row>
    <row r="53" spans="1:8" hidden="1">
      <c r="A53" s="6" t="s">
        <v>1042</v>
      </c>
      <c r="B53" s="6" t="s">
        <v>1043</v>
      </c>
      <c r="C53" t="str">
        <f t="shared" si="0"/>
        <v>DLS5SEC0074</v>
      </c>
      <c r="D53" t="str">
        <f>VLOOKUP(C53,Sheet1!C:U,19,FALSE)</f>
        <v>Si</v>
      </c>
      <c r="G53" t="s">
        <v>2426</v>
      </c>
      <c r="H53" t="str">
        <f t="shared" si="1"/>
        <v>Si</v>
      </c>
    </row>
    <row r="54" spans="1:8" ht="30.75" hidden="1">
      <c r="A54" s="6" t="s">
        <v>1757</v>
      </c>
      <c r="B54" s="6" t="s">
        <v>1758</v>
      </c>
      <c r="C54" t="str">
        <f t="shared" si="0"/>
        <v>DOCKCEROGI0030</v>
      </c>
      <c r="D54" t="str">
        <f>VLOOKUP(C54,Sheet1!C:U,19,FALSE)</f>
        <v>Si</v>
      </c>
      <c r="G54" t="s">
        <v>2427</v>
      </c>
      <c r="H54" t="str">
        <f t="shared" si="1"/>
        <v>Si</v>
      </c>
    </row>
    <row r="55" spans="1:8" ht="30.75" hidden="1">
      <c r="A55" s="6" t="s">
        <v>1052</v>
      </c>
      <c r="B55" s="6" t="s">
        <v>1053</v>
      </c>
      <c r="C55" t="str">
        <f t="shared" si="0"/>
        <v>Doka -ComexPRD0016</v>
      </c>
      <c r="D55" t="str">
        <f>VLOOKUP(C55,Sheet1!C:U,19,FALSE)</f>
        <v>Si</v>
      </c>
      <c r="G55" t="s">
        <v>2428</v>
      </c>
      <c r="H55" t="str">
        <f t="shared" si="1"/>
        <v>Si</v>
      </c>
    </row>
    <row r="56" spans="1:8" ht="30.75" hidden="1">
      <c r="A56" s="6" t="s">
        <v>1057</v>
      </c>
      <c r="B56" s="6" t="s">
        <v>1058</v>
      </c>
      <c r="C56" t="str">
        <f t="shared" si="0"/>
        <v>Dynamic CodesSEC0070</v>
      </c>
      <c r="D56" t="str">
        <f>VLOOKUP(C56,Sheet1!C:U,19,FALSE)</f>
        <v>Si</v>
      </c>
      <c r="G56" t="s">
        <v>2429</v>
      </c>
      <c r="H56" t="str">
        <f t="shared" si="1"/>
        <v>Si</v>
      </c>
    </row>
    <row r="57" spans="1:8" ht="30.75" hidden="1">
      <c r="A57" s="6" t="s">
        <v>1062</v>
      </c>
      <c r="B57" s="6" t="s">
        <v>1063</v>
      </c>
      <c r="C57" t="str">
        <f t="shared" si="0"/>
        <v>DynatraceITM0013</v>
      </c>
      <c r="D57" t="str">
        <f>VLOOKUP(C57,Sheet1!C:U,19,FALSE)</f>
        <v>Si</v>
      </c>
      <c r="G57" t="s">
        <v>2430</v>
      </c>
      <c r="H57" t="str">
        <f t="shared" si="1"/>
        <v>Si</v>
      </c>
    </row>
    <row r="58" spans="1:8" hidden="1">
      <c r="A58" s="6" t="s">
        <v>1072</v>
      </c>
      <c r="B58" s="6" t="s">
        <v>1073</v>
      </c>
      <c r="C58" t="str">
        <f t="shared" si="0"/>
        <v>EBSSUP0006</v>
      </c>
      <c r="D58" t="str">
        <f>VLOOKUP(C58,Sheet1!C:U,19,FALSE)</f>
        <v>Si</v>
      </c>
      <c r="G58" t="s">
        <v>2431</v>
      </c>
      <c r="H58" t="str">
        <f t="shared" si="1"/>
        <v>Si</v>
      </c>
    </row>
    <row r="59" spans="1:8" ht="45.75" hidden="1">
      <c r="A59" s="6" t="s">
        <v>1076</v>
      </c>
      <c r="B59" s="6" t="s">
        <v>1077</v>
      </c>
      <c r="C59" t="str">
        <f t="shared" si="0"/>
        <v>EFT Enterprise SFTPITM0014</v>
      </c>
      <c r="D59" t="str">
        <f>VLOOKUP(C59,Sheet1!C:U,19,FALSE)</f>
        <v>Si</v>
      </c>
      <c r="G59" t="s">
        <v>2432</v>
      </c>
      <c r="H59" t="str">
        <f t="shared" si="1"/>
        <v>Si</v>
      </c>
    </row>
    <row r="60" spans="1:8" ht="91.5" hidden="1">
      <c r="A60" s="6" t="s">
        <v>1554</v>
      </c>
      <c r="B60" s="6" t="s">
        <v>1555</v>
      </c>
      <c r="C60" t="str">
        <f t="shared" si="0"/>
        <v>Entornos de respaldos y restauracionesITM0041</v>
      </c>
      <c r="D60" t="str">
        <f>VLOOKUP(C60,Sheet1!C:U,19,FALSE)</f>
        <v>SI</v>
      </c>
      <c r="G60" t="s">
        <v>2433</v>
      </c>
      <c r="H60" t="str">
        <f t="shared" si="1"/>
        <v>Si</v>
      </c>
    </row>
    <row r="61" spans="1:8" ht="30.75" hidden="1">
      <c r="A61" s="6" t="s">
        <v>1102</v>
      </c>
      <c r="B61" s="6" t="s">
        <v>1103</v>
      </c>
      <c r="C61" t="str">
        <f t="shared" si="0"/>
        <v>ExcepcionesRIS0005</v>
      </c>
      <c r="D61" t="str">
        <f>VLOOKUP(C61,Sheet1!C:U,19,FALSE)</f>
        <v>Si</v>
      </c>
      <c r="G61" t="s">
        <v>2434</v>
      </c>
      <c r="H61" t="str">
        <f t="shared" si="1"/>
        <v>Si</v>
      </c>
    </row>
    <row r="62" spans="1:8" ht="45.75" hidden="1">
      <c r="A62" s="6" t="s">
        <v>1106</v>
      </c>
      <c r="B62" s="6" t="s">
        <v>1107</v>
      </c>
      <c r="C62" t="str">
        <f t="shared" si="0"/>
        <v>Exchange Server 2016ITM0017</v>
      </c>
      <c r="D62" t="str">
        <f>VLOOKUP(C62,Sheet1!C:U,19,FALSE)</f>
        <v>Si</v>
      </c>
      <c r="G62" t="s">
        <v>2435</v>
      </c>
      <c r="H62" t="str">
        <f t="shared" si="1"/>
        <v>Si</v>
      </c>
    </row>
    <row r="63" spans="1:8" ht="60.75" hidden="1">
      <c r="A63" s="6" t="s">
        <v>1119</v>
      </c>
      <c r="B63" s="6" t="s">
        <v>1120</v>
      </c>
      <c r="C63" t="str">
        <f t="shared" si="0"/>
        <v>Facturación ElectrónicaGOB0012</v>
      </c>
      <c r="D63" t="str">
        <f>VLOOKUP(C63,Sheet1!C:U,19,FALSE)</f>
        <v>Si</v>
      </c>
      <c r="G63" t="s">
        <v>2436</v>
      </c>
      <c r="H63" t="str">
        <f t="shared" si="1"/>
        <v>Si</v>
      </c>
    </row>
    <row r="64" spans="1:8" ht="60.75" hidden="1">
      <c r="A64" s="6" t="s">
        <v>1893</v>
      </c>
      <c r="B64" s="6" t="s">
        <v>1894</v>
      </c>
      <c r="C64" t="str">
        <f t="shared" si="0"/>
        <v>Feature Flags TransversalITM0111</v>
      </c>
      <c r="D64" t="str">
        <f>VLOOKUP(C64,Sheet1!C:U,19,FALSE)</f>
        <v>SI</v>
      </c>
      <c r="G64" t="s">
        <v>2437</v>
      </c>
      <c r="H64" t="str">
        <f t="shared" si="1"/>
        <v>Si</v>
      </c>
    </row>
    <row r="65" spans="1:8" hidden="1">
      <c r="A65" s="6" t="s">
        <v>804</v>
      </c>
      <c r="B65" s="6" t="s">
        <v>805</v>
      </c>
      <c r="C65" t="str">
        <f t="shared" si="0"/>
        <v>FiremonSEC0021</v>
      </c>
      <c r="D65" t="str">
        <f>VLOOKUP(C65,Sheet1!C:U,19,FALSE)</f>
        <v>Si</v>
      </c>
      <c r="G65" t="s">
        <v>2438</v>
      </c>
      <c r="H65" t="str">
        <f t="shared" si="1"/>
        <v>Si</v>
      </c>
    </row>
    <row r="66" spans="1:8" ht="30.75" hidden="1">
      <c r="A66" s="6" t="s">
        <v>816</v>
      </c>
      <c r="B66" s="6" t="s">
        <v>817</v>
      </c>
      <c r="C66" t="str">
        <f t="shared" si="0"/>
        <v>Forcepoint DLPSEC0022</v>
      </c>
      <c r="D66" t="str">
        <f>VLOOKUP(C66,Sheet1!C:U,19,FALSE)</f>
        <v>Si</v>
      </c>
      <c r="G66" t="s">
        <v>2439</v>
      </c>
      <c r="H66" t="str">
        <f t="shared" si="1"/>
        <v>Si</v>
      </c>
    </row>
    <row r="67" spans="1:8" hidden="1">
      <c r="A67" s="6" t="s">
        <v>830</v>
      </c>
      <c r="B67" s="6" t="s">
        <v>831</v>
      </c>
      <c r="C67" t="str">
        <f t="shared" ref="C67:C130" si="2">A67&amp;B67</f>
        <v>GAFCOR0007</v>
      </c>
      <c r="D67" t="str">
        <f>VLOOKUP(C67,Sheet1!C:U,19,FALSE)</f>
        <v>Si</v>
      </c>
      <c r="G67" t="s">
        <v>2440</v>
      </c>
      <c r="H67" t="str">
        <f t="shared" ref="H67:H130" si="3">VLOOKUP(G67,C:D,2,FALSE)</f>
        <v>Si</v>
      </c>
    </row>
    <row r="68" spans="1:8" hidden="1">
      <c r="A68" s="6" t="s">
        <v>1759</v>
      </c>
      <c r="B68" s="6" t="s">
        <v>1760</v>
      </c>
      <c r="C68" t="str">
        <f t="shared" si="2"/>
        <v>GarantiasGI0031</v>
      </c>
      <c r="D68" t="str">
        <f>VLOOKUP(C68,Sheet1!C:U,19,FALSE)</f>
        <v>Si</v>
      </c>
      <c r="G68" t="s">
        <v>2441</v>
      </c>
      <c r="H68" t="str">
        <f t="shared" si="3"/>
        <v>Si</v>
      </c>
    </row>
    <row r="69" spans="1:8" hidden="1">
      <c r="A69" s="6" t="s">
        <v>835</v>
      </c>
      <c r="B69" s="6" t="s">
        <v>836</v>
      </c>
      <c r="C69" t="str">
        <f t="shared" si="2"/>
        <v>GEENERASUP0007</v>
      </c>
      <c r="D69" t="str">
        <f>VLOOKUP(C69,Sheet1!C:U,19,FALSE)</f>
        <v>Si</v>
      </c>
      <c r="G69" t="s">
        <v>2442</v>
      </c>
      <c r="H69" t="str">
        <f t="shared" si="3"/>
        <v>Si</v>
      </c>
    </row>
    <row r="70" spans="1:8" ht="30.75" hidden="1">
      <c r="A70" s="6" t="s">
        <v>841</v>
      </c>
      <c r="B70" s="6" t="s">
        <v>842</v>
      </c>
      <c r="C70" t="str">
        <f t="shared" si="2"/>
        <v>Genesys CloudCHL0040</v>
      </c>
      <c r="D70" t="str">
        <f>VLOOKUP(C70,Sheet1!C:U,19,FALSE)</f>
        <v>Si</v>
      </c>
      <c r="G70" t="s">
        <v>2443</v>
      </c>
      <c r="H70" t="str">
        <f t="shared" si="3"/>
        <v>Si</v>
      </c>
    </row>
    <row r="71" spans="1:8" ht="45.75" hidden="1">
      <c r="A71" s="6" t="s">
        <v>1761</v>
      </c>
      <c r="B71" s="6" t="s">
        <v>1762</v>
      </c>
      <c r="C71" t="str">
        <f t="shared" si="2"/>
        <v>Gestión de LiquidezSUP0008</v>
      </c>
      <c r="D71" t="str">
        <f>VLOOKUP(C71,Sheet1!C:U,19,FALSE)</f>
        <v>Si</v>
      </c>
      <c r="G71" t="s">
        <v>2444</v>
      </c>
      <c r="H71" t="str">
        <f t="shared" si="3"/>
        <v>Si</v>
      </c>
    </row>
    <row r="72" spans="1:8" ht="60.75" hidden="1">
      <c r="A72" s="6" t="s">
        <v>846</v>
      </c>
      <c r="B72" s="6" t="s">
        <v>847</v>
      </c>
      <c r="C72" t="str">
        <f t="shared" si="2"/>
        <v>Gestión de Liquidez 2.0SUP0009</v>
      </c>
      <c r="D72" t="str">
        <f>VLOOKUP(C72,Sheet1!C:U,19,FALSE)</f>
        <v>Si</v>
      </c>
      <c r="G72" t="s">
        <v>2445</v>
      </c>
      <c r="H72" t="str">
        <f t="shared" si="3"/>
        <v>Si</v>
      </c>
    </row>
    <row r="73" spans="1:8" ht="45.75" hidden="1">
      <c r="A73" s="6" t="s">
        <v>852</v>
      </c>
      <c r="B73" s="6" t="s">
        <v>853</v>
      </c>
      <c r="C73" t="str">
        <f t="shared" si="2"/>
        <v>Gestión del EfectivoSUP0032</v>
      </c>
      <c r="D73" t="str">
        <f>VLOOKUP(C73,Sheet1!C:U,19,FALSE)</f>
        <v>Si</v>
      </c>
      <c r="G73" t="s">
        <v>2446</v>
      </c>
      <c r="H73" t="str">
        <f t="shared" si="3"/>
        <v>Si</v>
      </c>
    </row>
    <row r="74" spans="1:8" ht="45.75" hidden="1">
      <c r="A74" s="6" t="s">
        <v>1765</v>
      </c>
      <c r="B74" s="6" t="s">
        <v>1766</v>
      </c>
      <c r="C74" t="str">
        <f t="shared" si="2"/>
        <v>Gestor Tributario CredifeGI0032</v>
      </c>
      <c r="D74" t="str">
        <f>VLOOKUP(C74,Sheet1!C:U,19,FALSE)</f>
        <v>Si</v>
      </c>
      <c r="G74" t="s">
        <v>2447</v>
      </c>
      <c r="H74" t="str">
        <f t="shared" si="3"/>
        <v>Si</v>
      </c>
    </row>
    <row r="75" spans="1:8" ht="45.75" hidden="1">
      <c r="A75" s="6" t="s">
        <v>866</v>
      </c>
      <c r="B75" s="6" t="s">
        <v>867</v>
      </c>
      <c r="C75" t="str">
        <f t="shared" si="2"/>
        <v>Go Anywhere MFTINT0003</v>
      </c>
      <c r="D75" t="str">
        <f>VLOOKUP(C75,Sheet1!C:U,19,FALSE)</f>
        <v>Si</v>
      </c>
      <c r="G75" t="s">
        <v>2448</v>
      </c>
      <c r="H75" t="str">
        <f t="shared" si="3"/>
        <v>Si</v>
      </c>
    </row>
    <row r="76" spans="1:8" ht="76.5" hidden="1">
      <c r="A76" s="6" t="s">
        <v>1899</v>
      </c>
      <c r="B76" s="6" t="s">
        <v>1900</v>
      </c>
      <c r="C76" t="str">
        <f t="shared" si="2"/>
        <v>HARDWARE SECURITY MODULE - HSMGA0020</v>
      </c>
      <c r="D76" t="str">
        <f>VLOOKUP(C76,Sheet1!C:U,19,FALSE)</f>
        <v>Si</v>
      </c>
      <c r="G76" t="s">
        <v>2449</v>
      </c>
      <c r="H76" t="str">
        <f t="shared" si="3"/>
        <v>Si</v>
      </c>
    </row>
    <row r="77" spans="1:8" ht="106.5" hidden="1">
      <c r="A77" s="6" t="s">
        <v>912</v>
      </c>
      <c r="B77" s="6" t="s">
        <v>913</v>
      </c>
      <c r="C77" t="str">
        <f t="shared" si="2"/>
        <v>IAM- Gestion de Gobierno de identidadesSEC0079</v>
      </c>
      <c r="D77" t="str">
        <f>VLOOKUP(C77,Sheet1!C:U,19,FALSE)</f>
        <v>Si</v>
      </c>
      <c r="G77" t="s">
        <v>2450</v>
      </c>
      <c r="H77" t="str">
        <f t="shared" si="3"/>
        <v>Si</v>
      </c>
    </row>
    <row r="78" spans="1:8" ht="60.75" hidden="1">
      <c r="A78" s="6" t="s">
        <v>924</v>
      </c>
      <c r="B78" s="6" t="s">
        <v>925</v>
      </c>
      <c r="C78" t="str">
        <f t="shared" si="2"/>
        <v>IBM Business Process ManagerTIE0006</v>
      </c>
      <c r="D78" t="str">
        <f>VLOOKUP(C78,Sheet1!C:U,19,FALSE)</f>
        <v>Si</v>
      </c>
      <c r="G78" t="s">
        <v>2451</v>
      </c>
      <c r="H78" t="str">
        <f t="shared" si="3"/>
        <v>Si</v>
      </c>
    </row>
    <row r="79" spans="1:8" ht="30.75" hidden="1">
      <c r="A79" s="6" t="s">
        <v>935</v>
      </c>
      <c r="B79" s="6" t="s">
        <v>936</v>
      </c>
      <c r="C79" t="str">
        <f t="shared" si="2"/>
        <v>IBM FileNetTIE0008</v>
      </c>
      <c r="D79" t="str">
        <f>VLOOKUP(C79,Sheet1!C:U,19,FALSE)</f>
        <v>Si</v>
      </c>
      <c r="G79" t="s">
        <v>2452</v>
      </c>
      <c r="H79" t="str">
        <f t="shared" si="3"/>
        <v>Si</v>
      </c>
    </row>
    <row r="80" spans="1:8" ht="91.5" hidden="1">
      <c r="A80" s="6" t="s">
        <v>938</v>
      </c>
      <c r="B80" s="6" t="s">
        <v>939</v>
      </c>
      <c r="C80" t="str">
        <f t="shared" si="2"/>
        <v>IBM Operational Decision Manager (ODM)OMN0003</v>
      </c>
      <c r="D80" t="str">
        <f>VLOOKUP(C80,Sheet1!C:U,19,FALSE)</f>
        <v>Si</v>
      </c>
      <c r="G80" t="s">
        <v>2453</v>
      </c>
      <c r="H80" t="str">
        <f t="shared" si="3"/>
        <v>Si</v>
      </c>
    </row>
    <row r="81" spans="1:8" ht="60.75" hidden="1">
      <c r="A81" s="6" t="s">
        <v>92</v>
      </c>
      <c r="B81" s="6" t="s">
        <v>93</v>
      </c>
      <c r="C81" t="str">
        <f t="shared" si="2"/>
        <v>Impresion DocumentosTIE0018</v>
      </c>
      <c r="D81" t="str">
        <f>VLOOKUP(C81,Sheet1!C:U,19,FALSE)</f>
        <v>Si</v>
      </c>
      <c r="G81" t="s">
        <v>2454</v>
      </c>
      <c r="H81" t="str">
        <f t="shared" si="3"/>
        <v>SI</v>
      </c>
    </row>
    <row r="82" spans="1:8" ht="30.75" hidden="1">
      <c r="A82" s="6" t="s">
        <v>113</v>
      </c>
      <c r="B82" s="6" t="s">
        <v>114</v>
      </c>
      <c r="C82" t="str">
        <f t="shared" si="2"/>
        <v>informesCreditoPRD0021</v>
      </c>
      <c r="D82" t="str">
        <f>VLOOKUP(C82,Sheet1!C:U,19,FALSE)</f>
        <v>Si</v>
      </c>
      <c r="G82" t="s">
        <v>2455</v>
      </c>
      <c r="H82" t="str">
        <f t="shared" si="3"/>
        <v>Si</v>
      </c>
    </row>
    <row r="83" spans="1:8" ht="60.75" hidden="1">
      <c r="A83" s="6" t="s">
        <v>1870</v>
      </c>
      <c r="B83" s="6" t="s">
        <v>1871</v>
      </c>
      <c r="C83" t="str">
        <f t="shared" si="2"/>
        <v>Integration Bus OmnicanalINT0008</v>
      </c>
      <c r="D83" t="str">
        <f>VLOOKUP(C83,Sheet1!C:U,19,FALSE)</f>
        <v>Si</v>
      </c>
      <c r="G83" t="s">
        <v>2456</v>
      </c>
      <c r="H83" t="str">
        <f t="shared" si="3"/>
        <v>Si</v>
      </c>
    </row>
    <row r="84" spans="1:8" ht="45.75" hidden="1">
      <c r="A84" s="6" t="s">
        <v>120</v>
      </c>
      <c r="B84" s="6" t="s">
        <v>121</v>
      </c>
      <c r="C84" t="str">
        <f t="shared" si="2"/>
        <v>Integration Bus SoporteINT0009</v>
      </c>
      <c r="D84" t="str">
        <f>VLOOKUP(C84,Sheet1!C:U,19,FALSE)</f>
        <v>Si</v>
      </c>
      <c r="G84" t="s">
        <v>2457</v>
      </c>
      <c r="H84" t="str">
        <f t="shared" si="3"/>
        <v>Si</v>
      </c>
    </row>
    <row r="85" spans="1:8" ht="45.75" hidden="1">
      <c r="A85" s="6" t="s">
        <v>153</v>
      </c>
      <c r="B85" s="6" t="s">
        <v>154</v>
      </c>
      <c r="C85" t="str">
        <f t="shared" si="2"/>
        <v>Interdin AS 400/ CAOPAY0010</v>
      </c>
      <c r="D85" t="str">
        <f>VLOOKUP(C85,Sheet1!C:U,19,FALSE)</f>
        <v>Si</v>
      </c>
      <c r="G85" t="s">
        <v>2458</v>
      </c>
      <c r="H85" t="str">
        <f t="shared" si="3"/>
        <v>Si</v>
      </c>
    </row>
    <row r="86" spans="1:8" ht="30.75" hidden="1">
      <c r="A86" s="6" t="s">
        <v>988</v>
      </c>
      <c r="B86" s="6" t="s">
        <v>989</v>
      </c>
      <c r="C86" t="str">
        <f t="shared" si="2"/>
        <v>Intune - MAMGI0006</v>
      </c>
      <c r="D86" t="str">
        <f>VLOOKUP(C86,Sheet1!C:U,19,FALSE)</f>
        <v>Si</v>
      </c>
      <c r="G86" t="s">
        <v>2459</v>
      </c>
      <c r="H86" t="str">
        <f t="shared" si="3"/>
        <v>Si</v>
      </c>
    </row>
    <row r="87" spans="1:8" ht="60.75">
      <c r="A87" s="6" t="s">
        <v>172</v>
      </c>
      <c r="B87" s="6" t="s">
        <v>173</v>
      </c>
      <c r="C87" t="str">
        <f t="shared" si="2"/>
        <v>IPS Intrusion Prevention SystemSEC0025</v>
      </c>
      <c r="D87" t="str">
        <f>VLOOKUP(C87,Sheet1!C:U,19,FALSE)</f>
        <v>Si</v>
      </c>
      <c r="G87" t="s">
        <v>2460</v>
      </c>
      <c r="H87" t="e">
        <f t="shared" si="3"/>
        <v>#N/A</v>
      </c>
    </row>
    <row r="88" spans="1:8" hidden="1">
      <c r="A88" s="6" t="s">
        <v>182</v>
      </c>
      <c r="B88" s="6" t="s">
        <v>183</v>
      </c>
      <c r="C88" t="str">
        <f t="shared" si="2"/>
        <v>ISESEC0026</v>
      </c>
      <c r="D88" t="str">
        <f>VLOOKUP(C88,Sheet1!C:U,19,FALSE)</f>
        <v>Si</v>
      </c>
      <c r="G88" t="s">
        <v>2461</v>
      </c>
      <c r="H88" t="str">
        <f t="shared" si="3"/>
        <v>Si</v>
      </c>
    </row>
    <row r="89" spans="1:8" ht="30.75" hidden="1">
      <c r="A89" s="6" t="s">
        <v>1003</v>
      </c>
      <c r="B89" s="6" t="s">
        <v>1004</v>
      </c>
      <c r="C89" t="str">
        <f t="shared" si="2"/>
        <v>JP MorganGI0010</v>
      </c>
      <c r="D89" t="str">
        <f>VLOOKUP(C89,Sheet1!C:U,19,FALSE)</f>
        <v>Si</v>
      </c>
      <c r="G89" t="s">
        <v>2462</v>
      </c>
      <c r="H89" t="str">
        <f t="shared" si="3"/>
        <v>Si</v>
      </c>
    </row>
    <row r="90" spans="1:8" ht="45.75" hidden="1">
      <c r="A90" s="6" t="s">
        <v>1767</v>
      </c>
      <c r="B90" s="6" t="s">
        <v>1768</v>
      </c>
      <c r="C90" t="str">
        <f t="shared" si="2"/>
        <v>Lista ObservadosGI0033</v>
      </c>
      <c r="D90" t="str">
        <f>VLOOKUP(C90,Sheet1!C:U,19,FALSE)</f>
        <v>Si</v>
      </c>
      <c r="G90" t="s">
        <v>2463</v>
      </c>
      <c r="H90" t="str">
        <f t="shared" si="3"/>
        <v>Si</v>
      </c>
    </row>
    <row r="91" spans="1:8" hidden="1">
      <c r="A91" s="6" t="s">
        <v>248</v>
      </c>
      <c r="B91" s="6" t="s">
        <v>249</v>
      </c>
      <c r="C91" t="str">
        <f t="shared" si="2"/>
        <v>LogiFlowTIE0019</v>
      </c>
      <c r="D91" t="str">
        <f>VLOOKUP(C91,Sheet1!C:U,19,FALSE)</f>
        <v>Si</v>
      </c>
      <c r="G91" t="s">
        <v>2464</v>
      </c>
      <c r="H91" t="str">
        <f t="shared" si="3"/>
        <v>Si</v>
      </c>
    </row>
    <row r="92" spans="1:8" ht="30.75" hidden="1">
      <c r="A92" s="6" t="s">
        <v>255</v>
      </c>
      <c r="B92" s="6" t="s">
        <v>256</v>
      </c>
      <c r="C92" t="str">
        <f t="shared" si="2"/>
        <v>LoginCentralSEC0028</v>
      </c>
      <c r="D92" t="str">
        <f>VLOOKUP(C92,Sheet1!C:U,19,FALSE)</f>
        <v>Si</v>
      </c>
      <c r="G92" t="s">
        <v>2465</v>
      </c>
      <c r="H92" t="str">
        <f t="shared" si="3"/>
        <v>SI</v>
      </c>
    </row>
    <row r="93" spans="1:8" hidden="1">
      <c r="A93" s="6" t="s">
        <v>1009</v>
      </c>
      <c r="B93" s="6" t="s">
        <v>1010</v>
      </c>
      <c r="C93" t="str">
        <f t="shared" si="2"/>
        <v>LoginterGI0011</v>
      </c>
      <c r="D93" t="str">
        <f>VLOOKUP(C93,Sheet1!C:U,19,FALSE)</f>
        <v>Si</v>
      </c>
      <c r="G93" t="s">
        <v>2466</v>
      </c>
      <c r="H93" t="str">
        <f t="shared" si="3"/>
        <v>Si</v>
      </c>
    </row>
    <row r="94" spans="1:8" ht="45.75" hidden="1">
      <c r="A94" s="6" t="s">
        <v>265</v>
      </c>
      <c r="B94" s="6" t="s">
        <v>266</v>
      </c>
      <c r="C94" t="str">
        <f t="shared" si="2"/>
        <v>Logística de EfectivoCHL0001</v>
      </c>
      <c r="D94" t="str">
        <f>VLOOKUP(C94,Sheet1!C:U,19,FALSE)</f>
        <v>Si</v>
      </c>
      <c r="G94" t="s">
        <v>2467</v>
      </c>
      <c r="H94" t="str">
        <f t="shared" si="3"/>
        <v>Si</v>
      </c>
    </row>
    <row r="95" spans="1:8" hidden="1">
      <c r="A95" s="6" t="s">
        <v>1706</v>
      </c>
      <c r="B95" s="6" t="s">
        <v>1707</v>
      </c>
      <c r="C95" t="str">
        <f t="shared" si="2"/>
        <v>LogiTRXRIS0006</v>
      </c>
      <c r="D95" t="str">
        <f>VLOOKUP(C95,Sheet1!C:U,19,FALSE)</f>
        <v>Si</v>
      </c>
      <c r="G95" t="s">
        <v>2468</v>
      </c>
      <c r="H95" t="str">
        <f t="shared" si="3"/>
        <v>Si</v>
      </c>
    </row>
    <row r="96" spans="1:8" ht="45.75" hidden="1">
      <c r="A96" s="6" t="s">
        <v>273</v>
      </c>
      <c r="B96" s="6" t="s">
        <v>1743</v>
      </c>
      <c r="C96" t="str">
        <f t="shared" si="2"/>
        <v>Mail Control SystemGI0034</v>
      </c>
      <c r="D96" t="str">
        <f>VLOOKUP(C96,Sheet1!C:U,19,FALSE)</f>
        <v>Si</v>
      </c>
      <c r="G96" t="s">
        <v>2469</v>
      </c>
      <c r="H96" t="str">
        <f t="shared" si="3"/>
        <v>Si</v>
      </c>
    </row>
    <row r="97" spans="1:8" ht="30.75" hidden="1">
      <c r="A97" s="6" t="s">
        <v>1769</v>
      </c>
      <c r="B97" s="6" t="s">
        <v>1770</v>
      </c>
      <c r="C97" t="str">
        <f t="shared" si="2"/>
        <v>MALLA FILIALESGI0035</v>
      </c>
      <c r="D97" t="str">
        <f>VLOOKUP(C97,Sheet1!C:U,19,FALSE)</f>
        <v>Si</v>
      </c>
      <c r="G97" t="s">
        <v>2470</v>
      </c>
      <c r="H97" t="str">
        <f t="shared" si="3"/>
        <v>Si</v>
      </c>
    </row>
    <row r="98" spans="1:8" hidden="1">
      <c r="A98" s="6" t="s">
        <v>1724</v>
      </c>
      <c r="B98" s="6" t="s">
        <v>1725</v>
      </c>
      <c r="C98" t="str">
        <f t="shared" si="2"/>
        <v>MentorPRD0073</v>
      </c>
      <c r="D98" t="str">
        <f>VLOOKUP(C98,Sheet1!C:U,19,FALSE)</f>
        <v>Si</v>
      </c>
      <c r="G98" t="s">
        <v>2471</v>
      </c>
      <c r="H98" t="str">
        <f t="shared" si="3"/>
        <v>Si</v>
      </c>
    </row>
    <row r="99" spans="1:8" ht="45.75" hidden="1">
      <c r="A99" s="6" t="s">
        <v>999</v>
      </c>
      <c r="B99" s="6" t="s">
        <v>1000</v>
      </c>
      <c r="C99" t="str">
        <f t="shared" si="2"/>
        <v>Microsoft Defender AppsGI0008</v>
      </c>
      <c r="D99" t="str">
        <f>VLOOKUP(C99,Sheet1!C:U,19,FALSE)</f>
        <v>Si</v>
      </c>
      <c r="G99" t="s">
        <v>2472</v>
      </c>
      <c r="H99" t="str">
        <f t="shared" si="3"/>
        <v>Si</v>
      </c>
    </row>
    <row r="100" spans="1:8" ht="30.75" hidden="1">
      <c r="A100" s="6" t="s">
        <v>994</v>
      </c>
      <c r="B100" s="6" t="s">
        <v>995</v>
      </c>
      <c r="C100" t="str">
        <f t="shared" si="2"/>
        <v>Microsoft PurviewGI0007</v>
      </c>
      <c r="D100" t="str">
        <f>VLOOKUP(C100,Sheet1!C:U,19,FALSE)</f>
        <v>Si</v>
      </c>
      <c r="G100" t="s">
        <v>2473</v>
      </c>
      <c r="H100" t="str">
        <f t="shared" si="3"/>
        <v>Si</v>
      </c>
    </row>
    <row r="101" spans="1:8" ht="30.75" hidden="1">
      <c r="A101" s="6" t="s">
        <v>1014</v>
      </c>
      <c r="B101" s="6" t="s">
        <v>1015</v>
      </c>
      <c r="C101" t="str">
        <f t="shared" si="2"/>
        <v>Model Risk HubGI0013</v>
      </c>
      <c r="D101" t="str">
        <f>VLOOKUP(C101,Sheet1!C:U,19,FALSE)</f>
        <v>Si</v>
      </c>
      <c r="G101" t="s">
        <v>2474</v>
      </c>
      <c r="H101" t="str">
        <f t="shared" si="3"/>
        <v>Si</v>
      </c>
    </row>
    <row r="102" spans="1:8" ht="30.75" hidden="1">
      <c r="A102" s="6" t="s">
        <v>1772</v>
      </c>
      <c r="B102" s="6" t="s">
        <v>1773</v>
      </c>
      <c r="C102" t="str">
        <f t="shared" si="2"/>
        <v>Modelo PESGI0036</v>
      </c>
      <c r="D102" t="str">
        <f>VLOOKUP(C102,Sheet1!C:U,19,FALSE)</f>
        <v>Si</v>
      </c>
      <c r="G102" t="s">
        <v>2475</v>
      </c>
      <c r="H102" t="str">
        <f t="shared" si="3"/>
        <v>Si</v>
      </c>
    </row>
    <row r="103" spans="1:8" ht="30.75" hidden="1">
      <c r="A103" s="6" t="s">
        <v>1513</v>
      </c>
      <c r="B103" s="6" t="s">
        <v>1514</v>
      </c>
      <c r="C103" t="str">
        <f t="shared" si="2"/>
        <v>MonitorCajerosCHL0038</v>
      </c>
      <c r="D103" t="str">
        <f>VLOOKUP(C103,Sheet1!C:U,19,FALSE)</f>
        <v>Si</v>
      </c>
      <c r="G103" t="s">
        <v>2476</v>
      </c>
      <c r="H103" t="str">
        <f t="shared" si="3"/>
        <v>Si</v>
      </c>
    </row>
    <row r="104" spans="1:8" ht="30.75" hidden="1">
      <c r="A104" s="6" t="s">
        <v>1520</v>
      </c>
      <c r="B104" s="6" t="s">
        <v>1521</v>
      </c>
      <c r="C104" t="str">
        <f t="shared" si="2"/>
        <v>MonitoreoEfectivoCHL0002</v>
      </c>
      <c r="D104" t="str">
        <f>VLOOKUP(C104,Sheet1!C:U,19,FALSE)</f>
        <v>Si</v>
      </c>
      <c r="G104" t="s">
        <v>2477</v>
      </c>
      <c r="H104" t="str">
        <f t="shared" si="3"/>
        <v>Si</v>
      </c>
    </row>
    <row r="105" spans="1:8" ht="45.75" hidden="1">
      <c r="A105" s="6" t="s">
        <v>1534</v>
      </c>
      <c r="B105" s="6" t="s">
        <v>1535</v>
      </c>
      <c r="C105" t="str">
        <f t="shared" si="2"/>
        <v>Motor de TransferenciasPRD0039</v>
      </c>
      <c r="D105" t="str">
        <f>VLOOKUP(C105,Sheet1!C:U,19,FALSE)</f>
        <v>Si</v>
      </c>
      <c r="G105" t="s">
        <v>2478</v>
      </c>
      <c r="H105" t="str">
        <f t="shared" si="3"/>
        <v>Si</v>
      </c>
    </row>
    <row r="106" spans="1:8" ht="91.5" hidden="1">
      <c r="A106" s="6" t="s">
        <v>1917</v>
      </c>
      <c r="B106" s="6" t="s">
        <v>1918</v>
      </c>
      <c r="C106" t="str">
        <f t="shared" si="2"/>
        <v>MSAL Seguridad de Aplicaciones LegadasITM0145</v>
      </c>
      <c r="D106" t="str">
        <f>VLOOKUP(C106,Sheet1!C:U,19,FALSE)</f>
        <v>SI</v>
      </c>
      <c r="G106" t="s">
        <v>2479</v>
      </c>
      <c r="H106" t="str">
        <f t="shared" si="3"/>
        <v>Si</v>
      </c>
    </row>
    <row r="107" spans="1:8" hidden="1">
      <c r="A107" s="6" t="s">
        <v>1839</v>
      </c>
      <c r="B107" s="6" t="s">
        <v>1840</v>
      </c>
      <c r="C107" t="str">
        <f t="shared" si="2"/>
        <v>MTSGI0037</v>
      </c>
      <c r="D107" t="str">
        <f>VLOOKUP(C107,Sheet1!C:U,19,FALSE)</f>
        <v>Si</v>
      </c>
      <c r="G107" t="s">
        <v>2480</v>
      </c>
      <c r="H107" t="str">
        <f t="shared" si="3"/>
        <v>Si</v>
      </c>
    </row>
    <row r="108" spans="1:8" hidden="1">
      <c r="A108" s="6" t="s">
        <v>1548</v>
      </c>
      <c r="B108" s="6" t="s">
        <v>1549</v>
      </c>
      <c r="C108" t="str">
        <f t="shared" si="2"/>
        <v>MurexSUP0014</v>
      </c>
      <c r="D108" t="str">
        <f>VLOOKUP(C108,Sheet1!C:U,19,FALSE)</f>
        <v>Si</v>
      </c>
      <c r="G108" t="s">
        <v>2481</v>
      </c>
      <c r="H108" t="str">
        <f t="shared" si="3"/>
        <v>Si</v>
      </c>
    </row>
    <row r="109" spans="1:8" hidden="1">
      <c r="A109" s="6" t="s">
        <v>1559</v>
      </c>
      <c r="B109" s="6" t="s">
        <v>1560</v>
      </c>
      <c r="C109" t="str">
        <f t="shared" si="2"/>
        <v>NetskopeSEC0030</v>
      </c>
      <c r="D109" t="str">
        <f>VLOOKUP(C109,Sheet1!C:U,19,FALSE)</f>
        <v>Si</v>
      </c>
      <c r="G109" t="s">
        <v>2482</v>
      </c>
      <c r="H109" t="str">
        <f t="shared" si="3"/>
        <v>Si</v>
      </c>
    </row>
    <row r="110" spans="1:8" ht="30.75" hidden="1">
      <c r="A110" s="6" t="s">
        <v>1841</v>
      </c>
      <c r="B110" s="6" t="s">
        <v>1842</v>
      </c>
      <c r="C110" t="str">
        <f t="shared" si="2"/>
        <v>NotificacionesGI0038</v>
      </c>
      <c r="D110" t="str">
        <f>VLOOKUP(C110,Sheet1!C:U,19,FALSE)</f>
        <v>Si</v>
      </c>
      <c r="G110" t="s">
        <v>2483</v>
      </c>
      <c r="H110" t="str">
        <f t="shared" si="3"/>
        <v>Si</v>
      </c>
    </row>
    <row r="111" spans="1:8" ht="60.75" hidden="1">
      <c r="A111" s="6" t="s">
        <v>1569</v>
      </c>
      <c r="B111" s="6" t="s">
        <v>1570</v>
      </c>
      <c r="C111" t="str">
        <f t="shared" si="2"/>
        <v>Notificaciones SMS AnywayOMN0005</v>
      </c>
      <c r="D111" t="str">
        <f>VLOOKUP(C111,Sheet1!C:U,19,FALSE)</f>
        <v>Si</v>
      </c>
      <c r="G111" t="s">
        <v>2484</v>
      </c>
      <c r="H111" t="str">
        <f t="shared" si="3"/>
        <v>Si</v>
      </c>
    </row>
    <row r="112" spans="1:8" ht="45.75" hidden="1">
      <c r="A112" s="6" t="s">
        <v>1436</v>
      </c>
      <c r="B112" s="6" t="s">
        <v>1437</v>
      </c>
      <c r="C112" t="str">
        <f t="shared" si="2"/>
        <v>Nutanix Prism CentralITM0045</v>
      </c>
      <c r="D112" t="str">
        <f>VLOOKUP(C112,Sheet1!C:U,19,FALSE)</f>
        <v>Si</v>
      </c>
      <c r="G112" t="s">
        <v>2485</v>
      </c>
      <c r="H112" t="str">
        <f t="shared" si="3"/>
        <v>Si</v>
      </c>
    </row>
    <row r="113" spans="1:8" ht="30.75" hidden="1">
      <c r="A113" s="6" t="s">
        <v>1154</v>
      </c>
      <c r="B113" s="6" t="s">
        <v>1155</v>
      </c>
      <c r="C113" t="str">
        <f t="shared" si="2"/>
        <v>OCTOPUSSEC0072</v>
      </c>
      <c r="D113" t="str">
        <f>VLOOKUP(C113,Sheet1!C:U,19,FALSE)</f>
        <v>SI</v>
      </c>
      <c r="G113" t="s">
        <v>2486</v>
      </c>
      <c r="H113" t="str">
        <f t="shared" si="3"/>
        <v>Si</v>
      </c>
    </row>
    <row r="114" spans="1:8" ht="45.75" hidden="1">
      <c r="A114" s="6" t="s">
        <v>1843</v>
      </c>
      <c r="B114" s="6" t="s">
        <v>1844</v>
      </c>
      <c r="C114" t="str">
        <f t="shared" si="2"/>
        <v>OPERACIONES.COMGI0039</v>
      </c>
      <c r="D114" t="str">
        <f>VLOOKUP(C114,Sheet1!C:U,19,FALSE)</f>
        <v>Si</v>
      </c>
      <c r="G114" t="s">
        <v>2487</v>
      </c>
      <c r="H114" t="str">
        <f t="shared" si="3"/>
        <v>Si</v>
      </c>
    </row>
    <row r="115" spans="1:8" ht="45.75" hidden="1">
      <c r="A115" s="6" t="s">
        <v>1167</v>
      </c>
      <c r="B115" s="6" t="s">
        <v>1168</v>
      </c>
      <c r="C115" t="str">
        <f t="shared" si="2"/>
        <v>Oracle Fusion ERPSUP0064</v>
      </c>
      <c r="D115" t="str">
        <f>VLOOKUP(C115,Sheet1!C:U,19,FALSE)</f>
        <v>Si</v>
      </c>
      <c r="G115" t="s">
        <v>2488</v>
      </c>
      <c r="H115" t="str">
        <f t="shared" si="3"/>
        <v>Si</v>
      </c>
    </row>
    <row r="116" spans="1:8" ht="45.75">
      <c r="A116" s="6" t="s">
        <v>1845</v>
      </c>
      <c r="B116" s="6" t="s">
        <v>1846</v>
      </c>
      <c r="C116" t="str">
        <f t="shared" si="2"/>
        <v>Organismo de ControlGI0040</v>
      </c>
      <c r="D116" t="str">
        <f>VLOOKUP(C116,Sheet1!C:U,19,FALSE)</f>
        <v>Si</v>
      </c>
      <c r="G116" t="s">
        <v>2489</v>
      </c>
      <c r="H116" t="e">
        <f t="shared" si="3"/>
        <v>#N/A</v>
      </c>
    </row>
    <row r="117" spans="1:8" hidden="1">
      <c r="A117" s="6" t="s">
        <v>1847</v>
      </c>
      <c r="B117" s="6" t="s">
        <v>1848</v>
      </c>
      <c r="C117" t="str">
        <f t="shared" si="2"/>
        <v>Pague YaGI0041</v>
      </c>
      <c r="D117" t="str">
        <f>VLOOKUP(C117,Sheet1!C:U,19,FALSE)</f>
        <v>Si</v>
      </c>
      <c r="G117" t="s">
        <v>2490</v>
      </c>
      <c r="H117" t="str">
        <f t="shared" si="3"/>
        <v>Si</v>
      </c>
    </row>
    <row r="118" spans="1:8" ht="30.75" hidden="1">
      <c r="A118" s="6" t="s">
        <v>1859</v>
      </c>
      <c r="B118" s="6" t="s">
        <v>1860</v>
      </c>
      <c r="C118" t="str">
        <f t="shared" si="2"/>
        <v>PANORAMAGI0018</v>
      </c>
      <c r="D118" t="str">
        <f>VLOOKUP(C118,Sheet1!C:U,19,FALSE)</f>
        <v>Si</v>
      </c>
      <c r="G118" t="s">
        <v>2491</v>
      </c>
      <c r="H118" t="str">
        <f t="shared" si="3"/>
        <v>Si</v>
      </c>
    </row>
    <row r="119" spans="1:8" ht="30.75" hidden="1">
      <c r="A119" s="6" t="s">
        <v>1186</v>
      </c>
      <c r="B119" s="6" t="s">
        <v>1187</v>
      </c>
      <c r="C119" t="str">
        <f t="shared" si="2"/>
        <v>Payment ControlPAY0024</v>
      </c>
      <c r="D119" t="str">
        <f>VLOOKUP(C119,Sheet1!C:U,19,FALSE)</f>
        <v>Si</v>
      </c>
      <c r="G119" t="s">
        <v>2492</v>
      </c>
      <c r="H119" t="str">
        <f t="shared" si="3"/>
        <v>Si</v>
      </c>
    </row>
    <row r="120" spans="1:8" ht="91.5" hidden="1">
      <c r="A120" s="6" t="s">
        <v>1194</v>
      </c>
      <c r="B120" s="6" t="s">
        <v>1195</v>
      </c>
      <c r="C120" t="str">
        <f t="shared" si="2"/>
        <v>PFTR (prevención de fraude en tiempo real)SEC0065</v>
      </c>
      <c r="D120" t="str">
        <f>VLOOKUP(C120,Sheet1!C:U,19,FALSE)</f>
        <v>Si</v>
      </c>
      <c r="G120" t="s">
        <v>2493</v>
      </c>
      <c r="H120" t="str">
        <f t="shared" si="3"/>
        <v>Si</v>
      </c>
    </row>
    <row r="121" spans="1:8" hidden="1">
      <c r="A121" s="6" t="s">
        <v>1393</v>
      </c>
      <c r="B121" s="6" t="s">
        <v>1394</v>
      </c>
      <c r="C121" t="str">
        <f t="shared" si="2"/>
        <v>PinPadCHL0020</v>
      </c>
      <c r="D121" t="str">
        <f>VLOOKUP(C121,Sheet1!C:U,19,FALSE)</f>
        <v>Si</v>
      </c>
      <c r="G121" t="s">
        <v>2494</v>
      </c>
      <c r="H121" t="str">
        <f t="shared" si="3"/>
        <v>SI</v>
      </c>
    </row>
    <row r="122" spans="1:8" hidden="1">
      <c r="A122" s="6" t="s">
        <v>1416</v>
      </c>
      <c r="B122" s="6" t="s">
        <v>1417</v>
      </c>
      <c r="C122" t="str">
        <f t="shared" si="2"/>
        <v>POS_CNBCHL0023</v>
      </c>
      <c r="D122" t="str">
        <f>VLOOKUP(C122,Sheet1!C:U,19,FALSE)</f>
        <v>Si</v>
      </c>
      <c r="G122" t="s">
        <v>2495</v>
      </c>
      <c r="H122" t="str">
        <f t="shared" si="3"/>
        <v>Si</v>
      </c>
    </row>
    <row r="123" spans="1:8" ht="30.75" hidden="1">
      <c r="A123" s="6" t="s">
        <v>1849</v>
      </c>
      <c r="B123" s="6" t="s">
        <v>1850</v>
      </c>
      <c r="C123" t="str">
        <f t="shared" si="2"/>
        <v>PreevaluacionRIS0009</v>
      </c>
      <c r="D123" t="str">
        <f>VLOOKUP(C123,Sheet1!C:U,19,FALSE)</f>
        <v>Si</v>
      </c>
      <c r="G123" t="s">
        <v>2496</v>
      </c>
      <c r="H123" t="str">
        <f t="shared" si="3"/>
        <v>Si</v>
      </c>
    </row>
    <row r="124" spans="1:8" ht="30.75" hidden="1">
      <c r="A124" s="6" t="s">
        <v>1439</v>
      </c>
      <c r="B124" s="6" t="s">
        <v>1440</v>
      </c>
      <c r="C124" t="str">
        <f t="shared" si="2"/>
        <v>Prisma CloudITM0046</v>
      </c>
      <c r="D124" t="str">
        <f>VLOOKUP(C124,Sheet1!C:U,19,FALSE)</f>
        <v>Si</v>
      </c>
      <c r="G124" t="s">
        <v>2497</v>
      </c>
      <c r="H124" t="str">
        <f t="shared" si="3"/>
        <v>Si</v>
      </c>
    </row>
    <row r="125" spans="1:8" ht="30.75" hidden="1">
      <c r="A125" s="6" t="s">
        <v>1444</v>
      </c>
      <c r="B125" s="6" t="s">
        <v>1445</v>
      </c>
      <c r="C125" t="str">
        <f t="shared" si="2"/>
        <v>ProofpointSEC0060</v>
      </c>
      <c r="D125" t="str">
        <f>VLOOKUP(C125,Sheet1!C:U,19,FALSE)</f>
        <v>Si</v>
      </c>
      <c r="G125" t="s">
        <v>2498</v>
      </c>
      <c r="H125" t="str">
        <f t="shared" si="3"/>
        <v>Si</v>
      </c>
    </row>
    <row r="126" spans="1:8" ht="91.5" hidden="1">
      <c r="A126" s="6" t="s">
        <v>1448</v>
      </c>
      <c r="B126" s="6" t="s">
        <v>1449</v>
      </c>
      <c r="C126" t="str">
        <f t="shared" si="2"/>
        <v>Protección de datos personales - OneTrustDAT0014</v>
      </c>
      <c r="D126" t="str">
        <f>VLOOKUP(C126,Sheet1!C:U,19,FALSE)</f>
        <v>Si</v>
      </c>
      <c r="G126" t="s">
        <v>2499</v>
      </c>
      <c r="H126" t="str">
        <f t="shared" si="3"/>
        <v>Si</v>
      </c>
    </row>
    <row r="127" spans="1:8" ht="30.75" hidden="1">
      <c r="A127" s="6" t="s">
        <v>1461</v>
      </c>
      <c r="B127" s="6" t="s">
        <v>1462</v>
      </c>
      <c r="C127" t="str">
        <f t="shared" si="2"/>
        <v>ProtegeGXSEC0075</v>
      </c>
      <c r="D127" t="str">
        <f>VLOOKUP(C127,Sheet1!C:U,19,FALSE)</f>
        <v>Si</v>
      </c>
      <c r="G127" t="s">
        <v>2500</v>
      </c>
      <c r="H127" t="str">
        <f t="shared" si="3"/>
        <v>Si</v>
      </c>
    </row>
    <row r="128" spans="1:8" ht="60.75" hidden="1">
      <c r="A128" s="6" t="s">
        <v>1701</v>
      </c>
      <c r="B128" s="6" t="s">
        <v>1702</v>
      </c>
      <c r="C128" t="str">
        <f t="shared" si="2"/>
        <v>Qlik Negocio AutomotrizPRD0070</v>
      </c>
      <c r="D128" t="str">
        <f>VLOOKUP(C128,Sheet1!C:U,19,FALSE)</f>
        <v>Si</v>
      </c>
      <c r="G128" t="s">
        <v>2501</v>
      </c>
      <c r="H128" t="str">
        <f t="shared" si="3"/>
        <v>Si</v>
      </c>
    </row>
    <row r="129" spans="1:8" ht="45.75" hidden="1">
      <c r="A129" s="6" t="s">
        <v>1476</v>
      </c>
      <c r="B129" s="6" t="s">
        <v>1477</v>
      </c>
      <c r="C129" t="str">
        <f t="shared" si="2"/>
        <v>Red Hat Directory ServerSEC0031</v>
      </c>
      <c r="D129" t="str">
        <f>VLOOKUP(C129,Sheet1!C:U,19,FALSE)</f>
        <v>Si</v>
      </c>
      <c r="G129" t="s">
        <v>2502</v>
      </c>
      <c r="H129" t="str">
        <f t="shared" si="3"/>
        <v>Si</v>
      </c>
    </row>
    <row r="130" spans="1:8" ht="91.5" hidden="1">
      <c r="A130" s="6" t="s">
        <v>1480</v>
      </c>
      <c r="B130" s="6" t="s">
        <v>1481</v>
      </c>
      <c r="C130" t="str">
        <f t="shared" si="2"/>
        <v>Red Hat OpenShift Container PlatformITM0048</v>
      </c>
      <c r="D130" t="str">
        <f>VLOOKUP(C130,Sheet1!C:U,19,FALSE)</f>
        <v>Si</v>
      </c>
      <c r="G130" t="s">
        <v>2503</v>
      </c>
      <c r="H130" t="str">
        <f t="shared" si="3"/>
        <v>Si</v>
      </c>
    </row>
    <row r="131" spans="1:8" hidden="1">
      <c r="A131" s="6" t="s">
        <v>1496</v>
      </c>
      <c r="B131" s="6" t="s">
        <v>1497</v>
      </c>
      <c r="C131" t="str">
        <f t="shared" ref="C131:C181" si="4">A131&amp;B131</f>
        <v>RENPAY0025</v>
      </c>
      <c r="D131" t="str">
        <f>VLOOKUP(C131,Sheet1!C:U,19,FALSE)</f>
        <v>Si</v>
      </c>
      <c r="G131" t="s">
        <v>2504</v>
      </c>
      <c r="H131" t="str">
        <f t="shared" ref="H131:H184" si="5">VLOOKUP(G131,C:D,2,FALSE)</f>
        <v>Si</v>
      </c>
    </row>
    <row r="132" spans="1:8" ht="91.5" hidden="1">
      <c r="A132" s="6" t="s">
        <v>971</v>
      </c>
      <c r="B132" s="6" t="s">
        <v>972</v>
      </c>
      <c r="C132" t="str">
        <f t="shared" si="4"/>
        <v>Reporting Services Negocio AutomotrizGI00001</v>
      </c>
      <c r="D132" t="str">
        <f>VLOOKUP(C132,Sheet1!C:U,19,FALSE)</f>
        <v>Si</v>
      </c>
      <c r="G132" t="s">
        <v>2505</v>
      </c>
      <c r="H132" t="str">
        <f t="shared" si="5"/>
        <v>Si</v>
      </c>
    </row>
    <row r="133" spans="1:8" ht="30.75" hidden="1">
      <c r="A133" s="6" t="s">
        <v>1204</v>
      </c>
      <c r="B133" s="6" t="s">
        <v>1205</v>
      </c>
      <c r="C133" t="str">
        <f t="shared" si="4"/>
        <v>RiesgoGlobalComRIS0011</v>
      </c>
      <c r="D133" t="str">
        <f>VLOOKUP(C133,Sheet1!C:U,19,FALSE)</f>
        <v>Si</v>
      </c>
      <c r="G133" t="s">
        <v>2506</v>
      </c>
      <c r="H133" t="str">
        <f t="shared" si="5"/>
        <v>Si</v>
      </c>
    </row>
    <row r="134" spans="1:8" ht="60.75" hidden="1">
      <c r="A134" s="6" t="s">
        <v>1221</v>
      </c>
      <c r="B134" s="6" t="s">
        <v>1222</v>
      </c>
      <c r="C134" t="str">
        <f t="shared" si="4"/>
        <v>SAP Finanzas SAC - PamPMSUP0036</v>
      </c>
      <c r="D134" t="str">
        <f>VLOOKUP(C134,Sheet1!C:U,19,FALSE)</f>
        <v>Si</v>
      </c>
      <c r="G134" t="s">
        <v>2507</v>
      </c>
      <c r="H134" t="str">
        <f t="shared" si="5"/>
        <v>Si</v>
      </c>
    </row>
    <row r="135" spans="1:8" ht="45.75" hidden="1">
      <c r="A135" s="6" t="s">
        <v>1744</v>
      </c>
      <c r="B135" s="6" t="s">
        <v>1745</v>
      </c>
      <c r="C135" t="str">
        <f t="shared" si="4"/>
        <v>Security ScorecardSEC0078</v>
      </c>
      <c r="D135" t="str">
        <f>VLOOKUP(C135,Sheet1!C:U,19,FALSE)</f>
        <v>Si</v>
      </c>
      <c r="G135" t="s">
        <v>2508</v>
      </c>
      <c r="H135" t="str">
        <f t="shared" si="5"/>
        <v>Si</v>
      </c>
    </row>
    <row r="136" spans="1:8" ht="91.5" hidden="1">
      <c r="A136" s="6" t="s">
        <v>1177</v>
      </c>
      <c r="B136" s="6" t="s">
        <v>1178</v>
      </c>
      <c r="C136" t="str">
        <f t="shared" si="4"/>
        <v>Seguridad Perimetral Firewall NubeSEC0049</v>
      </c>
      <c r="D136" t="str">
        <f>VLOOKUP(C136,Sheet1!C:U,19,FALSE)</f>
        <v>Si</v>
      </c>
      <c r="G136" t="s">
        <v>2509</v>
      </c>
      <c r="H136" t="str">
        <f t="shared" si="5"/>
        <v>Si</v>
      </c>
    </row>
    <row r="137" spans="1:8" ht="106.5" hidden="1">
      <c r="A137" s="6" t="s">
        <v>956</v>
      </c>
      <c r="B137" s="6" t="s">
        <v>957</v>
      </c>
      <c r="C137" t="str">
        <f t="shared" si="4"/>
        <v>Seguridad Perimetral Firewall OnpremiseSEC0081</v>
      </c>
      <c r="D137" t="str">
        <f>VLOOKUP(C137,Sheet1!C:U,19,FALSE)</f>
        <v>Si</v>
      </c>
      <c r="G137" t="s">
        <v>2510</v>
      </c>
      <c r="H137" t="str">
        <f t="shared" si="5"/>
        <v>Si</v>
      </c>
    </row>
    <row r="138" spans="1:8" ht="106.5" hidden="1">
      <c r="A138" s="6" t="s">
        <v>979</v>
      </c>
      <c r="B138" s="6" t="s">
        <v>980</v>
      </c>
      <c r="C138" t="str">
        <f t="shared" si="4"/>
        <v>Seguridad Perimetral Firewall Onpremise (BPAC)GI0005</v>
      </c>
      <c r="D138" t="str">
        <f>VLOOKUP(C138,Sheet1!C:U,19,FALSE)</f>
        <v>Si</v>
      </c>
      <c r="G138" t="s">
        <v>2511</v>
      </c>
      <c r="H138" t="str">
        <f t="shared" si="5"/>
        <v>Si</v>
      </c>
    </row>
    <row r="139" spans="1:8" ht="45.75" hidden="1">
      <c r="A139" s="6" t="s">
        <v>1235</v>
      </c>
      <c r="B139" s="6" t="s">
        <v>1236</v>
      </c>
      <c r="C139" t="str">
        <f t="shared" si="4"/>
        <v>Sentinel ComplianceGOB0015</v>
      </c>
      <c r="D139" t="str">
        <f>VLOOKUP(C139,Sheet1!C:U,19,FALSE)</f>
        <v>Si</v>
      </c>
      <c r="G139" t="s">
        <v>2512</v>
      </c>
      <c r="H139" t="str">
        <f t="shared" si="5"/>
        <v>Si</v>
      </c>
    </row>
    <row r="140" spans="1:8" ht="45.75" hidden="1">
      <c r="A140" s="6" t="s">
        <v>1242</v>
      </c>
      <c r="B140" s="6" t="s">
        <v>1243</v>
      </c>
      <c r="C140" t="str">
        <f t="shared" si="4"/>
        <v>Sentinel PreventionGOB0018</v>
      </c>
      <c r="D140" t="str">
        <f>VLOOKUP(C140,Sheet1!C:U,19,FALSE)</f>
        <v>Si</v>
      </c>
      <c r="G140" t="s">
        <v>2513</v>
      </c>
      <c r="H140" t="str">
        <f t="shared" si="5"/>
        <v>Si</v>
      </c>
    </row>
    <row r="141" spans="1:8" ht="30.75">
      <c r="A141" s="6" t="s">
        <v>1248</v>
      </c>
      <c r="B141" s="6" t="s">
        <v>1249</v>
      </c>
      <c r="C141" t="str">
        <f t="shared" si="4"/>
        <v>SERVER PUEXCHL0024</v>
      </c>
      <c r="D141" t="str">
        <f>VLOOKUP(C141,Sheet1!C:U,19,FALSE)</f>
        <v>Si</v>
      </c>
      <c r="G141" t="s">
        <v>2514</v>
      </c>
      <c r="H141" t="e">
        <f t="shared" si="5"/>
        <v>#N/A</v>
      </c>
    </row>
    <row r="142" spans="1:8" ht="30.75" hidden="1">
      <c r="A142" s="6" t="s">
        <v>1276</v>
      </c>
      <c r="B142" s="6" t="s">
        <v>1277</v>
      </c>
      <c r="C142" t="str">
        <f t="shared" si="4"/>
        <v>SIMA_APPPRD0056</v>
      </c>
      <c r="D142" t="str">
        <f>VLOOKUP(C142,Sheet1!C:U,19,FALSE)</f>
        <v>Si</v>
      </c>
      <c r="G142" t="s">
        <v>2515</v>
      </c>
      <c r="H142" t="str">
        <f t="shared" si="5"/>
        <v>Si</v>
      </c>
    </row>
    <row r="143" spans="1:8" hidden="1">
      <c r="A143" s="6" t="s">
        <v>1774</v>
      </c>
      <c r="B143" s="6" t="s">
        <v>1775</v>
      </c>
      <c r="C143" t="str">
        <f t="shared" si="4"/>
        <v>SIOPRD0068</v>
      </c>
      <c r="D143" t="str">
        <f>VLOOKUP(C143,Sheet1!C:U,19,FALSE)</f>
        <v>Si</v>
      </c>
      <c r="G143" t="s">
        <v>2516</v>
      </c>
      <c r="H143" t="str">
        <f t="shared" si="5"/>
        <v>Si</v>
      </c>
    </row>
    <row r="144" spans="1:8" hidden="1">
      <c r="A144" s="6" t="s">
        <v>1281</v>
      </c>
      <c r="B144" s="6" t="s">
        <v>1282</v>
      </c>
      <c r="C144" t="str">
        <f t="shared" si="4"/>
        <v>SiroRIS0017</v>
      </c>
      <c r="D144" t="str">
        <f>VLOOKUP(C144,Sheet1!C:U,19,FALSE)</f>
        <v>Si</v>
      </c>
      <c r="G144" t="s">
        <v>2517</v>
      </c>
      <c r="H144" t="str">
        <f t="shared" si="5"/>
        <v>Si</v>
      </c>
    </row>
    <row r="145" spans="1:8" ht="30.75" hidden="1">
      <c r="A145" s="6" t="s">
        <v>1748</v>
      </c>
      <c r="B145" s="6" t="s">
        <v>1749</v>
      </c>
      <c r="C145" t="str">
        <f t="shared" si="4"/>
        <v>Sistema CustodiaGI0015</v>
      </c>
      <c r="D145" t="str">
        <f>VLOOKUP(C145,Sheet1!C:U,19,FALSE)</f>
        <v>Si</v>
      </c>
      <c r="G145" t="s">
        <v>2518</v>
      </c>
      <c r="H145" t="str">
        <f t="shared" si="5"/>
        <v>Si</v>
      </c>
    </row>
    <row r="146" spans="1:8" ht="76.5" hidden="1">
      <c r="A146" s="6" t="s">
        <v>1289</v>
      </c>
      <c r="B146" s="6" t="s">
        <v>1290</v>
      </c>
      <c r="C146" t="str">
        <f t="shared" si="4"/>
        <v>Sistema de Gestión Gerencial (SGG)CHL0025</v>
      </c>
      <c r="D146" t="str">
        <f>VLOOKUP(C146,Sheet1!C:U,19,FALSE)</f>
        <v>Si</v>
      </c>
      <c r="G146" t="s">
        <v>2519</v>
      </c>
      <c r="H146" t="str">
        <f t="shared" si="5"/>
        <v>Si</v>
      </c>
    </row>
    <row r="147" spans="1:8" ht="76.5" hidden="1">
      <c r="A147" s="6" t="s">
        <v>1777</v>
      </c>
      <c r="B147" s="6" t="s">
        <v>1778</v>
      </c>
      <c r="C147" t="str">
        <f t="shared" si="4"/>
        <v>Sistema de Providencias JudicialesSUP0065</v>
      </c>
      <c r="D147" t="str">
        <f>VLOOKUP(C147,Sheet1!C:U,19,FALSE)</f>
        <v>Si</v>
      </c>
      <c r="G147" t="s">
        <v>2520</v>
      </c>
      <c r="H147" t="str">
        <f t="shared" si="5"/>
        <v>Si</v>
      </c>
    </row>
    <row r="148" spans="1:8" ht="60.75" hidden="1">
      <c r="A148" s="6" t="s">
        <v>1293</v>
      </c>
      <c r="B148" s="6" t="s">
        <v>1294</v>
      </c>
      <c r="C148" t="str">
        <f t="shared" si="4"/>
        <v>Sistema Financiero IntegradoPRD0058</v>
      </c>
      <c r="D148" t="str">
        <f>VLOOKUP(C148,Sheet1!C:U,19,FALSE)</f>
        <v>Si</v>
      </c>
      <c r="G148" t="s">
        <v>2521</v>
      </c>
      <c r="H148" t="str">
        <f t="shared" si="5"/>
        <v>Si</v>
      </c>
    </row>
    <row r="149" spans="1:8" hidden="1">
      <c r="A149" s="6" t="s">
        <v>1782</v>
      </c>
      <c r="B149" s="6" t="s">
        <v>1783</v>
      </c>
      <c r="C149" t="str">
        <f t="shared" si="4"/>
        <v>SnykSEC0059</v>
      </c>
      <c r="D149" t="str">
        <f>VLOOKUP(C149,Sheet1!C:U,19,FALSE)</f>
        <v>Si</v>
      </c>
      <c r="G149" t="s">
        <v>2522</v>
      </c>
      <c r="H149" t="str">
        <f t="shared" si="5"/>
        <v>Si</v>
      </c>
    </row>
    <row r="150" spans="1:8" ht="30.75" hidden="1">
      <c r="A150" s="6" t="s">
        <v>1302</v>
      </c>
      <c r="B150" s="6" t="s">
        <v>1303</v>
      </c>
      <c r="C150" t="str">
        <f t="shared" si="4"/>
        <v>SoftguardSEC0044</v>
      </c>
      <c r="D150" t="str">
        <f>VLOOKUP(C150,Sheet1!C:U,19,FALSE)</f>
        <v>Si</v>
      </c>
      <c r="G150" t="s">
        <v>2523</v>
      </c>
      <c r="H150" t="str">
        <f t="shared" si="5"/>
        <v>Si</v>
      </c>
    </row>
    <row r="151" spans="1:8" hidden="1">
      <c r="A151" s="6" t="s">
        <v>1314</v>
      </c>
      <c r="B151" s="6" t="s">
        <v>1315</v>
      </c>
      <c r="C151" t="str">
        <f t="shared" si="4"/>
        <v>SPARTANGOB0007</v>
      </c>
      <c r="D151" t="str">
        <f>VLOOKUP(C151,Sheet1!C:U,19,FALSE)</f>
        <v>Si</v>
      </c>
      <c r="G151" t="s">
        <v>2524</v>
      </c>
      <c r="H151" t="str">
        <f t="shared" si="5"/>
        <v>Si</v>
      </c>
    </row>
    <row r="152" spans="1:8" ht="30.75" hidden="1">
      <c r="A152" s="6" t="s">
        <v>1327</v>
      </c>
      <c r="B152" s="6" t="s">
        <v>1328</v>
      </c>
      <c r="C152" t="str">
        <f t="shared" si="4"/>
        <v>StackHawkSEC0058</v>
      </c>
      <c r="D152" t="str">
        <f>VLOOKUP(C152,Sheet1!C:U,19,FALSE)</f>
        <v>Si</v>
      </c>
      <c r="G152" t="s">
        <v>2525</v>
      </c>
      <c r="H152" t="str">
        <f t="shared" si="5"/>
        <v>Si</v>
      </c>
    </row>
    <row r="153" spans="1:8" ht="30.75" hidden="1">
      <c r="A153" s="6" t="s">
        <v>1334</v>
      </c>
      <c r="B153" s="6" t="s">
        <v>1335</v>
      </c>
      <c r="C153" t="str">
        <f t="shared" si="4"/>
        <v>StealtwatchSEC0038</v>
      </c>
      <c r="D153" t="str">
        <f>VLOOKUP(C153,Sheet1!C:U,19,FALSE)</f>
        <v>Si</v>
      </c>
      <c r="G153" t="s">
        <v>2526</v>
      </c>
      <c r="H153" t="str">
        <f t="shared" si="5"/>
        <v>Si</v>
      </c>
    </row>
    <row r="154" spans="1:8" ht="45.75" hidden="1">
      <c r="A154" s="6" t="s">
        <v>1343</v>
      </c>
      <c r="B154" s="6" t="s">
        <v>1344</v>
      </c>
      <c r="C154" t="str">
        <f t="shared" si="4"/>
        <v>Swift Alliance FullStackPRD0040</v>
      </c>
      <c r="D154" t="str">
        <f>VLOOKUP(C154,Sheet1!C:U,19,FALSE)</f>
        <v>Si</v>
      </c>
      <c r="G154" t="s">
        <v>2527</v>
      </c>
      <c r="H154" t="str">
        <f t="shared" si="5"/>
        <v>Si</v>
      </c>
    </row>
    <row r="155" spans="1:8" ht="106.5" hidden="1">
      <c r="A155" s="6" t="s">
        <v>976</v>
      </c>
      <c r="B155" s="6" t="s">
        <v>977</v>
      </c>
      <c r="C155" t="str">
        <f t="shared" si="4"/>
        <v>Swift Alliance Fullstack (ALLIANCE GATEWAY)GI0002</v>
      </c>
      <c r="D155" t="str">
        <f>VLOOKUP(C155,Sheet1!C:U,19,FALSE)</f>
        <v>Si</v>
      </c>
      <c r="G155" t="s">
        <v>2528</v>
      </c>
      <c r="H155" t="str">
        <f t="shared" si="5"/>
        <v>Si</v>
      </c>
    </row>
    <row r="156" spans="1:8" ht="106.5" hidden="1">
      <c r="A156" s="6" t="s">
        <v>968</v>
      </c>
      <c r="B156" s="6" t="s">
        <v>969</v>
      </c>
      <c r="C156" t="str">
        <f t="shared" si="4"/>
        <v>Swift Alliance Fullstack (ALLIANCE WEBPLATAFORM)GI0003</v>
      </c>
      <c r="D156" t="str">
        <f>VLOOKUP(C156,Sheet1!C:U,19,FALSE)</f>
        <v>Si</v>
      </c>
      <c r="G156" t="s">
        <v>2529</v>
      </c>
      <c r="H156" t="str">
        <f t="shared" si="5"/>
        <v>Si</v>
      </c>
    </row>
    <row r="157" spans="1:8" ht="60.75" hidden="1">
      <c r="A157" s="6" t="s">
        <v>1350</v>
      </c>
      <c r="B157" s="6" t="s">
        <v>1351</v>
      </c>
      <c r="C157" t="str">
        <f t="shared" si="4"/>
        <v>Swift Alliance WareHousePRD0041</v>
      </c>
      <c r="D157" t="str">
        <f>VLOOKUP(C157,Sheet1!C:U,19,FALSE)</f>
        <v>Si</v>
      </c>
      <c r="G157" t="s">
        <v>2530</v>
      </c>
      <c r="H157" t="str">
        <f t="shared" si="5"/>
        <v>Si</v>
      </c>
    </row>
    <row r="158" spans="1:8" ht="30.75" hidden="1">
      <c r="A158" s="6" t="s">
        <v>1024</v>
      </c>
      <c r="B158" s="6" t="s">
        <v>1025</v>
      </c>
      <c r="C158" t="str">
        <f t="shared" si="4"/>
        <v>Swift O2MGI0019</v>
      </c>
      <c r="D158" t="str">
        <f>VLOOKUP(C158,Sheet1!C:U,19,FALSE)</f>
        <v>Si</v>
      </c>
      <c r="G158" t="s">
        <v>2531</v>
      </c>
      <c r="H158" t="str">
        <f t="shared" si="5"/>
        <v>Si</v>
      </c>
    </row>
    <row r="159" spans="1:8" ht="76.5" hidden="1">
      <c r="A159" s="6" t="s">
        <v>1354</v>
      </c>
      <c r="B159" s="6" t="s">
        <v>1355</v>
      </c>
      <c r="C159" t="str">
        <f t="shared" si="4"/>
        <v>Swift Transaction ScreeningGOB0019</v>
      </c>
      <c r="D159" t="str">
        <f>VLOOKUP(C159,Sheet1!C:U,19,FALSE)</f>
        <v>Si</v>
      </c>
      <c r="G159" t="s">
        <v>2532</v>
      </c>
      <c r="H159" t="str">
        <f t="shared" si="5"/>
        <v>Si</v>
      </c>
    </row>
    <row r="160" spans="1:8" ht="60.75" hidden="1">
      <c r="A160" s="6" t="s">
        <v>1786</v>
      </c>
      <c r="B160" s="6" t="s">
        <v>1787</v>
      </c>
      <c r="C160" t="str">
        <f t="shared" si="4"/>
        <v>Tarjetas de CreditoCOMPAY0020</v>
      </c>
      <c r="D160" t="str">
        <f>VLOOKUP(C160,Sheet1!C:U,19,FALSE)</f>
        <v>Si</v>
      </c>
      <c r="G160" t="s">
        <v>2533</v>
      </c>
      <c r="H160" t="str">
        <f t="shared" si="5"/>
        <v>Si</v>
      </c>
    </row>
    <row r="161" spans="1:8" ht="60.75" hidden="1">
      <c r="A161" s="6" t="s">
        <v>1602</v>
      </c>
      <c r="B161" s="6" t="s">
        <v>1603</v>
      </c>
      <c r="C161" t="str">
        <f t="shared" si="4"/>
        <v>Tcs.Checklist (Digital Check)TIE0014</v>
      </c>
      <c r="D161" t="str">
        <f>VLOOKUP(C161,Sheet1!C:U,19,FALSE)</f>
        <v>Si</v>
      </c>
      <c r="G161" t="s">
        <v>2534</v>
      </c>
      <c r="H161" t="str">
        <f t="shared" si="5"/>
        <v>Si</v>
      </c>
    </row>
    <row r="162" spans="1:8" ht="76.5" hidden="1">
      <c r="A162" s="6" t="s">
        <v>1802</v>
      </c>
      <c r="B162" s="6" t="s">
        <v>1803</v>
      </c>
      <c r="C162" t="str">
        <f t="shared" si="4"/>
        <v>TeamMatePlus (Auditoría Interna)RIS0019</v>
      </c>
      <c r="D162" t="str">
        <f>VLOOKUP(C162,Sheet1!C:U,19,FALSE)</f>
        <v>Si</v>
      </c>
      <c r="G162" t="s">
        <v>2535</v>
      </c>
      <c r="H162" t="str">
        <f t="shared" si="5"/>
        <v>Si</v>
      </c>
    </row>
    <row r="163" spans="1:8" hidden="1">
      <c r="A163" s="6" t="s">
        <v>1605</v>
      </c>
      <c r="B163" s="6" t="s">
        <v>1606</v>
      </c>
      <c r="C163" t="str">
        <f t="shared" si="4"/>
        <v>TenableSEC0069</v>
      </c>
      <c r="D163" t="str">
        <f>VLOOKUP(C163,Sheet1!C:U,19,FALSE)</f>
        <v>Si</v>
      </c>
      <c r="G163" t="s">
        <v>2536</v>
      </c>
      <c r="H163" t="str">
        <f t="shared" si="5"/>
        <v>Si</v>
      </c>
    </row>
    <row r="164" spans="1:8" ht="30.75" hidden="1">
      <c r="A164" s="6" t="s">
        <v>1609</v>
      </c>
      <c r="B164" s="6" t="s">
        <v>1610</v>
      </c>
      <c r="C164" t="str">
        <f t="shared" si="4"/>
        <v>TotemCCEPAY0021</v>
      </c>
      <c r="D164" t="str">
        <f>VLOOKUP(C164,Sheet1!C:U,19,FALSE)</f>
        <v>Si</v>
      </c>
      <c r="G164" t="s">
        <v>2537</v>
      </c>
      <c r="H164" t="str">
        <f t="shared" si="5"/>
        <v>Si</v>
      </c>
    </row>
    <row r="165" spans="1:8" ht="45.75" hidden="1">
      <c r="A165" s="6" t="s">
        <v>1789</v>
      </c>
      <c r="B165" s="6" t="s">
        <v>1790</v>
      </c>
      <c r="C165" t="str">
        <f t="shared" si="4"/>
        <v>Transaccion MotivoGI0016</v>
      </c>
      <c r="D165" t="str">
        <f>VLOOKUP(C165,Sheet1!C:U,19,FALSE)</f>
        <v>Si</v>
      </c>
      <c r="G165" t="s">
        <v>2538</v>
      </c>
      <c r="H165" t="str">
        <f t="shared" si="5"/>
        <v>Si</v>
      </c>
    </row>
    <row r="166" spans="1:8" hidden="1">
      <c r="A166" s="6" t="s">
        <v>1096</v>
      </c>
      <c r="B166" s="6" t="s">
        <v>1097</v>
      </c>
      <c r="C166" t="str">
        <f t="shared" si="4"/>
        <v>TrellixSEC0019</v>
      </c>
      <c r="D166" t="str">
        <f>VLOOKUP(C166,Sheet1!C:U,19,FALSE)</f>
        <v>Si</v>
      </c>
      <c r="G166" t="s">
        <v>2539</v>
      </c>
      <c r="H166" t="str">
        <f t="shared" si="5"/>
        <v>Si</v>
      </c>
    </row>
    <row r="167" spans="1:8" ht="30.75" hidden="1">
      <c r="A167" s="6" t="s">
        <v>1616</v>
      </c>
      <c r="B167" s="6" t="s">
        <v>1617</v>
      </c>
      <c r="C167" t="str">
        <f t="shared" si="4"/>
        <v>Turno DigitalCHL0042</v>
      </c>
      <c r="D167" t="str">
        <f>VLOOKUP(C167,Sheet1!C:U,19,FALSE)</f>
        <v>Si</v>
      </c>
      <c r="G167" t="s">
        <v>2540</v>
      </c>
      <c r="H167" t="str">
        <f t="shared" si="5"/>
        <v>Si</v>
      </c>
    </row>
    <row r="168" spans="1:8" ht="30.75" hidden="1">
      <c r="A168" s="6" t="s">
        <v>1634</v>
      </c>
      <c r="B168" s="6" t="s">
        <v>1635</v>
      </c>
      <c r="C168" t="str">
        <f t="shared" si="4"/>
        <v>Ventana MarcoITM0062</v>
      </c>
      <c r="D168" t="str">
        <f>VLOOKUP(C168,Sheet1!C:U,19,FALSE)</f>
        <v>Si</v>
      </c>
      <c r="G168" t="s">
        <v>2541</v>
      </c>
      <c r="H168" t="str">
        <f t="shared" si="5"/>
        <v>Si</v>
      </c>
    </row>
    <row r="169" spans="1:8" ht="45.75" hidden="1">
      <c r="A169" s="6" t="s">
        <v>1639</v>
      </c>
      <c r="B169" s="6" t="s">
        <v>1640</v>
      </c>
      <c r="C169" t="str">
        <f t="shared" si="4"/>
        <v>VinculacionIntegralCHL0030</v>
      </c>
      <c r="D169" t="str">
        <f>VLOOKUP(C169,Sheet1!C:U,19,FALSE)</f>
        <v>Si</v>
      </c>
      <c r="G169" t="s">
        <v>2542</v>
      </c>
      <c r="H169" t="str">
        <f t="shared" si="5"/>
        <v>Si</v>
      </c>
    </row>
    <row r="170" spans="1:8" ht="30.75" hidden="1">
      <c r="A170" s="6" t="s">
        <v>1791</v>
      </c>
      <c r="B170" s="6" t="s">
        <v>1792</v>
      </c>
      <c r="C170" t="str">
        <f t="shared" si="4"/>
        <v>VMware vCenterITM0060</v>
      </c>
      <c r="D170" t="str">
        <f>VLOOKUP(C170,Sheet1!C:U,19,FALSE)</f>
        <v>Si</v>
      </c>
      <c r="G170" t="s">
        <v>2543</v>
      </c>
      <c r="H170" t="str">
        <f t="shared" si="5"/>
        <v>Si</v>
      </c>
    </row>
    <row r="171" spans="1:8" ht="45.75" hidden="1">
      <c r="A171" s="6" t="s">
        <v>1649</v>
      </c>
      <c r="B171" s="6" t="s">
        <v>1650</v>
      </c>
      <c r="C171" t="str">
        <f t="shared" si="4"/>
        <v>WAS NotificadorOMN0006</v>
      </c>
      <c r="D171" t="str">
        <f>VLOOKUP(C171,Sheet1!C:U,19,FALSE)</f>
        <v>Si</v>
      </c>
      <c r="G171" t="s">
        <v>2544</v>
      </c>
      <c r="H171" t="str">
        <f t="shared" si="5"/>
        <v>Si</v>
      </c>
    </row>
    <row r="172" spans="1:8" ht="45.75" hidden="1">
      <c r="A172" s="6" t="s">
        <v>1654</v>
      </c>
      <c r="B172" s="6" t="s">
        <v>1655</v>
      </c>
      <c r="C172" t="str">
        <f t="shared" si="4"/>
        <v>WAS OmnicanalidadINT0012</v>
      </c>
      <c r="D172" t="str">
        <f>VLOOKUP(C172,Sheet1!C:U,19,FALSE)</f>
        <v>Si</v>
      </c>
      <c r="G172" t="s">
        <v>2545</v>
      </c>
      <c r="H172" t="str">
        <f t="shared" si="5"/>
        <v>Si</v>
      </c>
    </row>
    <row r="173" spans="1:8" ht="60.75" hidden="1">
      <c r="A173" s="6" t="s">
        <v>1658</v>
      </c>
      <c r="B173" s="6" t="s">
        <v>1659</v>
      </c>
      <c r="C173" t="str">
        <f t="shared" si="4"/>
        <v>WAS Omnicanalidad BATCHINT0013</v>
      </c>
      <c r="D173" t="str">
        <f>VLOOKUP(C173,Sheet1!C:U,19,FALSE)</f>
        <v>Si</v>
      </c>
      <c r="G173" t="s">
        <v>2546</v>
      </c>
      <c r="H173" t="str">
        <f t="shared" si="5"/>
        <v>Si</v>
      </c>
    </row>
    <row r="174" spans="1:8" hidden="1">
      <c r="A174" s="6" t="s">
        <v>1662</v>
      </c>
      <c r="B174" s="6" t="s">
        <v>1663</v>
      </c>
      <c r="C174" t="str">
        <f t="shared" si="4"/>
        <v>Web GAFCOR0006</v>
      </c>
      <c r="D174" t="str">
        <f>VLOOKUP(C174,Sheet1!C:U,19,FALSE)</f>
        <v>Si</v>
      </c>
      <c r="G174" t="s">
        <v>2547</v>
      </c>
      <c r="H174" t="str">
        <f t="shared" si="5"/>
        <v>Si</v>
      </c>
    </row>
    <row r="175" spans="1:8" ht="30.75" hidden="1">
      <c r="A175" s="6" t="s">
        <v>1667</v>
      </c>
      <c r="B175" s="6" t="s">
        <v>1668</v>
      </c>
      <c r="C175" t="str">
        <f t="shared" si="4"/>
        <v>Web Teller 3.0CHL0032</v>
      </c>
      <c r="D175" t="str">
        <f>VLOOKUP(C175,Sheet1!C:U,19,FALSE)</f>
        <v>Si</v>
      </c>
      <c r="G175" t="s">
        <v>2548</v>
      </c>
      <c r="H175" t="str">
        <f t="shared" si="5"/>
        <v>Si</v>
      </c>
    </row>
    <row r="176" spans="1:8" hidden="1">
      <c r="A176" s="6" t="s">
        <v>1676</v>
      </c>
      <c r="B176" s="6" t="s">
        <v>1677</v>
      </c>
      <c r="C176" t="str">
        <f t="shared" si="4"/>
        <v>WebdoxSUP0035</v>
      </c>
      <c r="D176" t="str">
        <f>VLOOKUP(C176,Sheet1!C:U,19,FALSE)</f>
        <v>Si</v>
      </c>
      <c r="G176" t="s">
        <v>2549</v>
      </c>
      <c r="H176" t="str">
        <f t="shared" si="5"/>
        <v>Si</v>
      </c>
    </row>
    <row r="177" spans="1:8" ht="45.75" hidden="1">
      <c r="A177" s="6" t="s">
        <v>1680</v>
      </c>
      <c r="B177" s="6" t="s">
        <v>1681</v>
      </c>
      <c r="C177" t="str">
        <f t="shared" si="4"/>
        <v>WebSecurityOfficeSystemSEC0041</v>
      </c>
      <c r="D177" t="str">
        <f>VLOOKUP(C177,Sheet1!C:U,19,FALSE)</f>
        <v>Si</v>
      </c>
      <c r="G177" t="s">
        <v>2550</v>
      </c>
      <c r="H177" t="str">
        <f t="shared" si="5"/>
        <v>Si</v>
      </c>
    </row>
    <row r="178" spans="1:8" ht="30.75" hidden="1">
      <c r="A178" s="6" t="s">
        <v>1027</v>
      </c>
      <c r="B178" s="6" t="s">
        <v>1028</v>
      </c>
      <c r="C178" t="str">
        <f t="shared" si="4"/>
        <v>WELLSFARGOGI0021</v>
      </c>
      <c r="D178" t="str">
        <f>VLOOKUP(C178,Sheet1!C:U,19,FALSE)</f>
        <v>Si</v>
      </c>
      <c r="G178" t="s">
        <v>2551</v>
      </c>
      <c r="H178" t="str">
        <f t="shared" si="5"/>
        <v>Si</v>
      </c>
    </row>
    <row r="179" spans="1:8" ht="30.75" hidden="1">
      <c r="A179" s="6" t="s">
        <v>1690</v>
      </c>
      <c r="B179" s="6" t="s">
        <v>1691</v>
      </c>
      <c r="C179" t="str">
        <f t="shared" si="4"/>
        <v>XACTClearstreamSUP0018</v>
      </c>
      <c r="D179" t="str">
        <f>VLOOKUP(C179,Sheet1!C:U,19,FALSE)</f>
        <v>Si</v>
      </c>
      <c r="G179" t="s">
        <v>2552</v>
      </c>
      <c r="H179" t="str">
        <f t="shared" si="5"/>
        <v>Si</v>
      </c>
    </row>
    <row r="180" spans="1:8" hidden="1">
      <c r="A180" s="6" t="s">
        <v>953</v>
      </c>
      <c r="B180" s="6" t="s">
        <v>954</v>
      </c>
      <c r="C180" t="str">
        <f t="shared" si="4"/>
        <v>ZendeskCUS0020</v>
      </c>
      <c r="D180" t="str">
        <f>VLOOKUP(C180,Sheet1!C:U,19,FALSE)</f>
        <v>Si</v>
      </c>
      <c r="G180" t="s">
        <v>2553</v>
      </c>
      <c r="H180" t="str">
        <f t="shared" si="5"/>
        <v>Si</v>
      </c>
    </row>
    <row r="181" spans="1:8" hidden="1">
      <c r="A181" s="6" t="s">
        <v>1272</v>
      </c>
      <c r="B181" s="6" t="s">
        <v>1273</v>
      </c>
      <c r="C181" t="str">
        <f t="shared" si="4"/>
        <v>Siglo21SEC0034</v>
      </c>
      <c r="D181" t="str">
        <f>VLOOKUP(C181,Sheet1!C:U,19,FALSE)</f>
        <v>SI</v>
      </c>
      <c r="G181" t="s">
        <v>2554</v>
      </c>
      <c r="H181" t="str">
        <f t="shared" si="5"/>
        <v>SI</v>
      </c>
    </row>
    <row r="182" spans="1:8" hidden="1">
      <c r="G182" t="s">
        <v>2555</v>
      </c>
      <c r="H182" t="str">
        <f t="shared" si="5"/>
        <v>SI</v>
      </c>
    </row>
    <row r="183" spans="1:8" hidden="1">
      <c r="G183" t="s">
        <v>2556</v>
      </c>
      <c r="H183" t="str">
        <f t="shared" si="5"/>
        <v>Si</v>
      </c>
    </row>
    <row r="184" spans="1:8" hidden="1">
      <c r="G184" t="s">
        <v>2557</v>
      </c>
      <c r="H184" t="str">
        <f t="shared" si="5"/>
        <v>Si</v>
      </c>
    </row>
  </sheetData>
  <autoFilter ref="G1:H184" xr:uid="{18F973DF-550D-4580-A452-68AB3E2A96DF}">
    <filterColumn colId="1">
      <filters>
        <filter val="#N/D"/>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6" ma:contentTypeDescription="Crear nuevo documento." ma:contentTypeScope="" ma:versionID="7e48eaae2333df9c6a5bfa6c860e2543">
  <xsd:schema xmlns:xsd="http://www.w3.org/2001/XMLSchema" xmlns:xs="http://www.w3.org/2001/XMLSchema" xmlns:p="http://schemas.microsoft.com/office/2006/metadata/properties" xmlns:ns2="f6f20a45-32b1-4e92-93a1-0b9509399b09" targetNamespace="http://schemas.microsoft.com/office/2006/metadata/properties" ma:root="true" ma:fieldsID="b1829ab5cca3c7c404954a9682993a1f"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1A2F2F-A6D5-4C0D-BFB8-088B99714706}"/>
</file>

<file path=customXml/itemProps2.xml><?xml version="1.0" encoding="utf-8"?>
<ds:datastoreItem xmlns:ds="http://schemas.openxmlformats.org/officeDocument/2006/customXml" ds:itemID="{F75E3245-BF45-4668-950F-A9C18408AB9A}"/>
</file>

<file path=customXml/itemProps3.xml><?xml version="1.0" encoding="utf-8"?>
<ds:datastoreItem xmlns:ds="http://schemas.openxmlformats.org/officeDocument/2006/customXml" ds:itemID="{A2B7BA54-40D5-43E1-9C4C-42F80E655F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EXTERNO ARELLANO MENA NAYELI</cp:lastModifiedBy>
  <cp:revision/>
  <dcterms:created xsi:type="dcterms:W3CDTF">2026-08-27T20:51:06Z</dcterms:created>
  <dcterms:modified xsi:type="dcterms:W3CDTF">2026-08-27T22:40:03Z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0x0101007D204A5FA3D9C4498E80542D4FF43D1A</vt:lpwstr>
  </property>
</Properties>
</file>