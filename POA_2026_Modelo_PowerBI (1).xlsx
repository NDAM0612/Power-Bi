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rametros" sheetId="1" state="visible" r:id="rId3"/>
    <sheet name="Datos_POA" sheetId="2" state="visible" r:id="rId4"/>
    <sheet name="Resumen_Gerencias" sheetId="3" state="visible" r:id="rId5"/>
    <sheet name="DAX_Medidas" sheetId="4" state="visible" r:id="rId6"/>
    <sheet name="Instrucciones_PowerBI"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<sst xmlns="http://schemas.openxmlformats.org/spreadsheetml/2006/main" count="1975" uniqueCount="610">
  <si>
    <t xml:space="preserve">PARÁMETROS DEL MODELO — POA 2026</t>
  </si>
  <si>
    <t xml:space="preserve">Fecha de Corte</t>
  </si>
  <si>
    <t xml:space="preserve">Umbral Verde (Gap ≤)</t>
  </si>
  <si>
    <t xml:space="preserve">Umbral Amarillo (Gap ≤)</t>
  </si>
  <si>
    <t xml:space="preserve">Umbral % Cierres Q4 (Riesgo)</t>
  </si>
  <si>
    <t xml:space="preserve">Umbral Brecha Q4 (Riesgo)</t>
  </si>
  <si>
    <t xml:space="preserve">Nota: las celdas amarillas son parámetros editables. Todo el modelo (Datos_POA, Resumen_Gerencias) recalcula automáticamente al cambiarlos.</t>
  </si>
  <si>
    <t xml:space="preserve">Codigo</t>
  </si>
  <si>
    <t xml:space="preserve">Nombre_Iniciativa</t>
  </si>
  <si>
    <t xml:space="preserve">Actividad_Detallada</t>
  </si>
  <si>
    <t xml:space="preserve">Fecha_Inicio</t>
  </si>
  <si>
    <t xml:space="preserve">Fecha_Fin</t>
  </si>
  <si>
    <t xml:space="preserve">Avance_Real_Pct</t>
  </si>
  <si>
    <t xml:space="preserve">Avance_Esperado_Pct</t>
  </si>
  <si>
    <t xml:space="preserve">Gap_pp</t>
  </si>
  <si>
    <t xml:space="preserve">Semaforo</t>
  </si>
  <si>
    <t xml:space="preserve">Situacion</t>
  </si>
  <si>
    <t xml:space="preserve">Estado</t>
  </si>
  <si>
    <t xml:space="preserve">Usuario</t>
  </si>
  <si>
    <t xml:space="preserve">Gerencia_Responsable</t>
  </si>
  <si>
    <t xml:space="preserve">Tipo_Gestion</t>
  </si>
  <si>
    <t xml:space="preserve">Es_Q4</t>
  </si>
  <si>
    <t xml:space="preserve">Es_Vencida</t>
  </si>
  <si>
    <t xml:space="preserve">Es_Proxima_30d</t>
  </si>
  <si>
    <t xml:space="preserve">AR-01</t>
  </si>
  <si>
    <t xml:space="preserve">IAM - Gestor de identidades interno  (Fase 2)</t>
  </si>
  <si>
    <t xml:space="preserve">Habilitar el módulo para externos ""NERM"".
Despliegue y estabilización en producción.
Habilitar roles de Internos basados en el cargo de SSFF.
Habilitar roles para Filiales (Acovi, App Deuna, Almesa, Vaserum)
Despliegue, estabilización y entrega a operaciones
Resolver deuda técnica integraciones"
Eliminar dependencias WSO2: Desacoplar aplicaciones que usan la plataforma WSO2 (Servicios Omnicanalidad, login central, motor de transferencias, SGG, Portal 8)
Apagado plataforma WSO2</t>
  </si>
  <si>
    <t xml:space="preserve">En ejecución</t>
  </si>
  <si>
    <t xml:space="preserve">VERDEZOTO GARCIA ROCIO PIEDAD;#29</t>
  </si>
  <si>
    <t xml:space="preserve">COE Arquitectura</t>
  </si>
  <si>
    <t xml:space="preserve">Proyecto</t>
  </si>
  <si>
    <t xml:space="preserve">AR-02</t>
  </si>
  <si>
    <t xml:space="preserve">Adquisición e implementación herramienta de modelamiento de amenazas</t>
  </si>
  <si>
    <t xml:space="preserve">Integrar el modelamiento de amenazas en aplicaciones de Banco en base al número de licencias adquiridas</t>
  </si>
  <si>
    <t xml:space="preserve">BURGOS SHUGULI MARCELO VINICIO;#394</t>
  </si>
  <si>
    <t xml:space="preserve">AR-03</t>
  </si>
  <si>
    <t xml:space="preserve">Actualización de la plataforma de CyberArk (Fase1-Fase2)</t>
  </si>
  <si>
    <t xml:space="preserve">Cambio de versión a 14.x 
Switch de plataforma de módulos adicionales a la boveda
Implementación PSMP en CyberArk v14.6 — Privileged Session Manager for SSH</t>
  </si>
  <si>
    <t xml:space="preserve">Finalizado</t>
  </si>
  <si>
    <t xml:space="preserve">NOGALES LEON LUIS GUSTAVO;#17;#SOTO CORONEL ROBERT STALIN;#344</t>
  </si>
  <si>
    <t xml:space="preserve">AR-04</t>
  </si>
  <si>
    <t xml:space="preserve">IAM - Gestor de identidades interno  (Fase 1)</t>
  </si>
  <si>
    <t xml:space="preserve">"1.1 Integración fuentes autoritativas: SSFF / NERM
1.2 Integración sistemas conectados: Bancs, Siglo21, RHDS, Logiflow
1.3 Integración sistemas no conectados - Service Now
1.4 Construcción Worflows ABM usuarios
1.5 Construcción Roles de Acceso"
1.6. Eliminar dependencias WSO2 - Desacoplar aplicaciones que usan la plataforma WSO2 (Servicios Omnicanalidad, login central, motor de transferencias, SGG, Portal 8)
Apagado plataforma WSO2</t>
  </si>
  <si>
    <t xml:space="preserve">RAMIREZ ESPINOSA CARLOS ALBERTO;#16;#VERDEZOTO GARCIA ROCIO PIEDAD;#29</t>
  </si>
  <si>
    <t xml:space="preserve">AR-05</t>
  </si>
  <si>
    <t xml:space="preserve">Gestión de Incidentes de Seguridad e Inteligencia de Amenazas - Service Now (Fase2)</t>
  </si>
  <si>
    <t xml:space="preserve">Ajuste funcionalidad SIR &amp; TIP para el equipo de Respuesta a Incidentes usando la plataforma de Service Now y los módulos Secops</t>
  </si>
  <si>
    <t xml:space="preserve">SILVA PROANO SANTIAGO DAVID;#389</t>
  </si>
  <si>
    <t xml:space="preserve">AR-06</t>
  </si>
  <si>
    <t xml:space="preserve">Optimización procedimiento de evaluación de plantilla Línea Base</t>
  </si>
  <si>
    <t xml:space="preserve">Despliegue de los componentes de CIS CAT Pro en Infraestructura On-premise de Banco Pichincha</t>
  </si>
  <si>
    <t xml:space="preserve">POA</t>
  </si>
  <si>
    <t xml:space="preserve">AR-07</t>
  </si>
  <si>
    <t xml:space="preserve">Reestructurar los estandares Windows y Linux para mejorar el proceso de medición de configuraciones de Ciberseguridad</t>
  </si>
  <si>
    <t xml:space="preserve">Creación de estándar para Servidores Members Server, AD Servers y  Windows 2025</t>
  </si>
  <si>
    <t xml:space="preserve">AR-08</t>
  </si>
  <si>
    <t xml:space="preserve">Mejora del proceso de Gestión de Software Utilitario - Integración con el proceso de Software Utilitario de TI (Workplace)</t>
  </si>
  <si>
    <t xml:space="preserve">Integración con el proceso de TI, para gestión centralizada del Software Utilitario de Usuarios Finales</t>
  </si>
  <si>
    <t xml:space="preserve">AR-09</t>
  </si>
  <si>
    <t xml:space="preserve">Mejora Proceso SSDLC</t>
  </si>
  <si>
    <t xml:space="preserve">"Ampliar la cobertura de SAST y DAST
Optimizar el control dinamico con DAST
Acompañar al equipo de Devops a la plataforma de GitHub"</t>
  </si>
  <si>
    <t xml:space="preserve">GUEVARA LOPEZ SALOMON DARIO;#380</t>
  </si>
  <si>
    <t xml:space="preserve">AR-10</t>
  </si>
  <si>
    <t xml:space="preserve">HARDWARE IPS &amp; FIREWALL</t>
  </si>
  <si>
    <t xml:space="preserve">Despliegue de Infraestructura Palo Alto en los siguientes entornos: EnP, Terceros y Filiales</t>
  </si>
  <si>
    <t xml:space="preserve">PUNINA CORDOVA CARINA PRISCILA;#393</t>
  </si>
  <si>
    <t xml:space="preserve">AR-12</t>
  </si>
  <si>
    <t xml:space="preserve">Extender los controles de seguridad Cloud - Firewall Palo Alto Azure (Fase 1 - Azure  Inicio Fase 2)</t>
  </si>
  <si>
    <t xml:space="preserve">Despliegue en Nube Azure de EnP y Productivo</t>
  </si>
  <si>
    <t xml:space="preserve">NOGALES LEON LUIS GUSTAVO;#17</t>
  </si>
  <si>
    <t xml:space="preserve">AR-13</t>
  </si>
  <si>
    <t xml:space="preserve">Gestor de Vulnerabilidades</t>
  </si>
  <si>
    <t xml:space="preserve">Repotenciar el gestor de vulnerabilidades</t>
  </si>
  <si>
    <t xml:space="preserve">Iniciado</t>
  </si>
  <si>
    <t xml:space="preserve">AR-14</t>
  </si>
  <si>
    <t xml:space="preserve">Control de Acceso a Información IRM</t>
  </si>
  <si>
    <t xml:space="preserve">Configuración y publicación de etiquetado de información de Office 365 en formatos de archivos soportados por la herramienta.
Despliegue de agentes Purview en los equipos Windows de maqueta de Banco.</t>
  </si>
  <si>
    <t xml:space="preserve">EXTERNO RODRIGUEZ VARILLAS ABRAHAM JESUS;#390;#EXTERNO RIERA CHAVEZ MARIO ALBERTO;#466</t>
  </si>
  <si>
    <t xml:space="preserve">CD-01</t>
  </si>
  <si>
    <t xml:space="preserve">Despliegue MISP Banco Pichincha en la nube empresarial</t>
  </si>
  <si>
    <t xml:space="preserve">1. Despliegue de MISP en ambiente TEST.</t>
  </si>
  <si>
    <t xml:space="preserve">Ciberdefensa</t>
  </si>
  <si>
    <t xml:space="preserve">2. Despliegue de MISP en ambiente PRODUCCIÓN.</t>
  </si>
  <si>
    <t xml:space="preserve">CD-02</t>
  </si>
  <si>
    <t xml:space="preserve">Integración de Ciberinteligencia y Monitoreo Marca Corporativa</t>
  </si>
  <si>
    <t xml:space="preserve">1. Actualización del instructivo de gestión de ciberinteligencia.</t>
  </si>
  <si>
    <t xml:space="preserve">2. Ejecución de la producción de informes de ciberinteligencia para el área de marca corporativa.</t>
  </si>
  <si>
    <t xml:space="preserve">Conectar los procesos de Ciberinteligencia con el manejo de marca corporativa conceptualizando la relación como área consumidora de los productos de inteligencia relacionadas al monitoreo de marca.</t>
  </si>
  <si>
    <t xml:space="preserve">ZULES ACOSTA FABRICIO ANDRES;#349</t>
  </si>
  <si>
    <t xml:space="preserve">CD-03</t>
  </si>
  <si>
    <t xml:space="preserve">Automatización de actividades en cacería de amenazas</t>
  </si>
  <si>
    <t xml:space="preserve">1. Definición, diseño y despliegue de la automatización de la fase de ejecución de cacería de amenazas para al menos 20 ejercicios con información de 1 plataforma de ciberseguridad (EDR).</t>
  </si>
  <si>
    <t xml:space="preserve">2. Validación, optimización y medición de la automatización de la fase de ejecución de cacería de amenazas para al menos 20 ejercicios con información de 1 plataforma de ciberseguridad (EDR).</t>
  </si>
  <si>
    <t xml:space="preserve">Automatizar la fase de ejecución de cacería de amenazas para al menos 20 ejercicios con información de 1 plataforma de ciberseguridad (EDR).</t>
  </si>
  <si>
    <t xml:space="preserve">CD-04</t>
  </si>
  <si>
    <t xml:space="preserve">Implementación del Dashboard - Normalidad, Alerta y Crisis</t>
  </si>
  <si>
    <t xml:space="preserve">Arquitectura y ambiente Splunk</t>
  </si>
  <si>
    <t xml:space="preserve">Automatización y alertamiento</t>
  </si>
  <si>
    <t xml:space="preserve">Capacitación y adopción</t>
  </si>
  <si>
    <t xml:space="preserve">Cierre del proyecto</t>
  </si>
  <si>
    <t xml:space="preserve">No iniciado</t>
  </si>
  <si>
    <t xml:space="preserve">Construcción del Dashboard</t>
  </si>
  <si>
    <t xml:space="preserve">Definición de umbrales y estados</t>
  </si>
  <si>
    <t xml:space="preserve">Diseño conceptual del Dashboard</t>
  </si>
  <si>
    <t xml:space="preserve">Gobierno y flujo operativo..</t>
  </si>
  <si>
    <t xml:space="preserve">Mejoras y ampliaciones</t>
  </si>
  <si>
    <t xml:space="preserve">Organización y definición de iniciativa</t>
  </si>
  <si>
    <t xml:space="preserve">GOMEZ PRADO SANDRA PATRICIA;#144</t>
  </si>
  <si>
    <t xml:space="preserve">CD-05</t>
  </si>
  <si>
    <t xml:space="preserve">Automatización de actividades de Respuesta a incidentes</t>
  </si>
  <si>
    <t xml:space="preserve">Despliegue en ambiente final- Cierre del proyecto</t>
  </si>
  <si>
    <t xml:space="preserve">Diseño teorico de playbooks</t>
  </si>
  <si>
    <t xml:space="preserve">Estabilización y afinamientos de playbooks en Test</t>
  </si>
  <si>
    <t xml:space="preserve">Implementación y pruebas de playbooks en Test</t>
  </si>
  <si>
    <t xml:space="preserve">Integración de plataformas a XSOAR</t>
  </si>
  <si>
    <t xml:space="preserve">Integración de plataformas a XSOAR Test</t>
  </si>
  <si>
    <t xml:space="preserve">CD-06</t>
  </si>
  <si>
    <t xml:space="preserve">Preparacion y resiliencia operacional ante incidentes críticos</t>
  </si>
  <si>
    <t xml:space="preserve">1er ejercicio preparación</t>
  </si>
  <si>
    <t xml:space="preserve">2do ejercicio preparación</t>
  </si>
  <si>
    <t xml:space="preserve">Capacidad de reestablecer   operaciones con el mínimo impacto (Backups)</t>
  </si>
  <si>
    <t xml:space="preserve">Cierre de iniciativa</t>
  </si>
  <si>
    <t xml:space="preserve">Gobierno (Actualización de instructivos IRT, D&amp;C, CTI)</t>
  </si>
  <si>
    <t xml:space="preserve">Preparacion y comunicación</t>
  </si>
  <si>
    <t xml:space="preserve">CD-07</t>
  </si>
  <si>
    <t xml:space="preserve">Automatización del análisis de monitoreo de plataformas Windows</t>
  </si>
  <si>
    <t xml:space="preserve">1.- Definición de arquitectura de automatización</t>
  </si>
  <si>
    <t xml:space="preserve">2.- Consolidación y normalización de inventario (fuente única)</t>
  </si>
  <si>
    <t xml:space="preserve">3.- Desarrollo de conectores para extracción automatizada</t>
  </si>
  <si>
    <t xml:space="preserve">4.- Motor de correlación y análisis de cumplimiento</t>
  </si>
  <si>
    <t xml:space="preserve">6.- Construcción de indicadores (KPI / KRI )</t>
  </si>
  <si>
    <t xml:space="preserve">7.- Automatización de alertas y notificaciones</t>
  </si>
  <si>
    <t xml:space="preserve">8.- Pruebas piloto y validación de resultados</t>
  </si>
  <si>
    <t xml:space="preserve">9.- Despliegue y estabilización del modelo</t>
  </si>
  <si>
    <t xml:space="preserve">Estaciones de trabajo y servidores Windows, detectados por la plataforma EDR.</t>
  </si>
  <si>
    <t xml:space="preserve">YEPEZ CROW HUGO SANTIAGO;#409</t>
  </si>
  <si>
    <t xml:space="preserve">CD-08</t>
  </si>
  <si>
    <t xml:space="preserve">Estrategia de Automatización e implementación Ola 1</t>
  </si>
  <si>
    <t xml:space="preserve">Automatizaciones 2025,  Contención Radware, Akamai, Checkpoint</t>
  </si>
  <si>
    <t xml:space="preserve">BASTIDAS FLORES DANNY ALEXANDER;#288</t>
  </si>
  <si>
    <t xml:space="preserve">CD-09</t>
  </si>
  <si>
    <t xml:space="preserve">Automatizaciones en triage/respuesta de alertas</t>
  </si>
  <si>
    <t xml:space="preserve">Definición de arquitectura, criterios y priorización de reglas para automatización</t>
  </si>
  <si>
    <t xml:space="preserve">Implementación de automatizaciones - Playbook 1</t>
  </si>
  <si>
    <t xml:space="preserve">Implementación de automatizaciones - Playbook 2</t>
  </si>
  <si>
    <t xml:space="preserve">Implementación de automatizaciones - Playbook 3</t>
  </si>
  <si>
    <t xml:space="preserve">Validacion de herramientas para automatización</t>
  </si>
  <si>
    <t xml:space="preserve">XSOAR pruebas en entorno de TEST</t>
  </si>
  <si>
    <t xml:space="preserve">CD-10</t>
  </si>
  <si>
    <t xml:space="preserve">Definición de proceso de Gestión de vulnerabilidades emergentes</t>
  </si>
  <si>
    <t xml:space="preserve">Definir proceso de gestión de vulnerabilidades emergentes.</t>
  </si>
  <si>
    <t xml:space="preserve">ORTIZ GUTIERREZ VICTOR ULISES;#387</t>
  </si>
  <si>
    <t xml:space="preserve">CD-11</t>
  </si>
  <si>
    <t xml:space="preserve">Afinamiento y convergencia de Procesos SOC</t>
  </si>
  <si>
    <t xml:space="preserve">1. Levantamiento de información</t>
  </si>
  <si>
    <t xml:space="preserve">AYALA NAREA GABRIEL SEBASTIAN;#496</t>
  </si>
  <si>
    <t xml:space="preserve">2. Accionable 1: Panel de seguimiento.</t>
  </si>
  <si>
    <t xml:space="preserve">3. Accionable 2: Activación del proceso de análisis de efectividad de casos de uso</t>
  </si>
  <si>
    <t xml:space="preserve">4. Accionable 3: División de instructivo de Alertas e Incidentes</t>
  </si>
  <si>
    <t xml:space="preserve">6. Accionable 5: Agregación de monitoreos de la plataforma</t>
  </si>
  <si>
    <t xml:space="preserve">7. Accionable 6: Comienzo de utilización por los analistas de la guía de troubleshooting de fuentes</t>
  </si>
  <si>
    <t xml:space="preserve">CD-12</t>
  </si>
  <si>
    <t xml:space="preserve">Optimización del esquema de priorización de alertas de SOC</t>
  </si>
  <si>
    <t xml:space="preserve">Accionable 1: Preparación - Preparación de Base de datos con los campos y tablas separadas</t>
  </si>
  <si>
    <t xml:space="preserve">Accionable 2: Diagnostico 
- Baseline de efectividad (volumen, FP, incidentes, tiempo investigación) 7 meses</t>
  </si>
  <si>
    <t xml:space="preserve">Accionable 3: Modelo de severidad - Definir matriz de scoring (Impacto, Probabilidad, Fidelidad, Explotabilidad) + pesos</t>
  </si>
  <si>
    <t xml:space="preserve">Accionable 4: Recategorización  
- Revisión Bloque 1: reglas Críticas (recategorizar / justificar / correlacionar)
- Revisión Bloque 2: reglas Altas (downgrade a Media si aplica + tuning)</t>
  </si>
  <si>
    <t xml:space="preserve">Accionable 5: Documentación y Difusión 
- Documentación de cambios realizados en producción (cambios severidad + reglas nuevas) + rollback plan</t>
  </si>
  <si>
    <t xml:space="preserve">CD-13</t>
  </si>
  <si>
    <t xml:space="preserve">Automatización de ingesta y cierre de vulnerabilidades en la plataforma SAVI +</t>
  </si>
  <si>
    <t xml:space="preserve">1.1 Integración con Snyk Open Source (SCA) -- Diseño de requerimiento funcional</t>
  </si>
  <si>
    <t xml:space="preserve">SANDOVAL HINOJOSA SANTIAGO ALEJANDRO;#410</t>
  </si>
  <si>
    <t xml:space="preserve">1.2 Integración con Snyk Open Source (SCA) -- Integración del API de Snyk con SAVI</t>
  </si>
  <si>
    <t xml:space="preserve">1.3 Integración con Snyk Open Source (SCA) -- Pruebas funcionales</t>
  </si>
  <si>
    <t xml:space="preserve">1.4 Integración con Snyk Open Source (SCA) -- Paso a producción</t>
  </si>
  <si>
    <t xml:space="preserve">2.1 Integración con Prisma Cloud -- Diseño de requerimiento funcional</t>
  </si>
  <si>
    <t xml:space="preserve">2.2 Integración con Prisma Cloud -- Integración Prisma Cloud con SAVI, se obtiene información de Images, Hosts y Serverless.</t>
  </si>
  <si>
    <t xml:space="preserve">2.3 Integración con Prisma Cloud -- Diseño de los reportes y Dashboards</t>
  </si>
  <si>
    <t xml:space="preserve">2.4 Integración con Prisma Cloud -- Pruebas funcionales</t>
  </si>
  <si>
    <t xml:space="preserve">2.5 Integración con Prisma Cloud -- Paso a producción</t>
  </si>
  <si>
    <t xml:space="preserve">3.1 Integración con Snyk Code (SAST) -- Diseño de requerimiento funcional</t>
  </si>
  <si>
    <t xml:space="preserve">3.2 Integración con Snyk Code (SAST) -- Integración del API de Snyk con SAVI</t>
  </si>
  <si>
    <t xml:space="preserve">3.3 Integración con Snyk Code (SAST) -- Pruebas funcionales</t>
  </si>
  <si>
    <t xml:space="preserve">3.4 Integración con Snyk Code (SAST) -- Paso a producción</t>
  </si>
  <si>
    <t xml:space="preserve">4.1 Integración con StackHawk (DAST) -- Diseño de requerimiento funcional</t>
  </si>
  <si>
    <t xml:space="preserve">4.2 Integración con StackHawk (DAST) -- Integración del API de StackHawk con SAVI</t>
  </si>
  <si>
    <t xml:space="preserve">4.3 Integración con StackHawk (DAST) -- Pruebas funcionales</t>
  </si>
  <si>
    <t xml:space="preserve">4.4 Integración con StackHawk (DAST) -- Paso a producción</t>
  </si>
  <si>
    <t xml:space="preserve">5.1 Integración con CrwodStrike -- Diseño de requerimiento funcional</t>
  </si>
  <si>
    <t xml:space="preserve">No definido</t>
  </si>
  <si>
    <t xml:space="preserve">5.2 Integración con CrwodStrike -- Integración del API de CrowStrike con SAVI</t>
  </si>
  <si>
    <t xml:space="preserve">5.3 Integración con CrwodStrike -- Pruebas funcionales</t>
  </si>
  <si>
    <t xml:space="preserve">5.4 Integración con CrwodStrike -- Paso a producción</t>
  </si>
  <si>
    <t xml:space="preserve">6.1 Integración con YWH -- Diseño del requerimiento funcional</t>
  </si>
  <si>
    <t xml:space="preserve">6.2 Integración con YWH -- Integración del API de YWH con SAVI</t>
  </si>
  <si>
    <t xml:space="preserve">6.3 Integración con YWH -- Pruebas funcionales</t>
  </si>
  <si>
    <t xml:space="preserve">6.4 Integración con YWH -- Paso a producción</t>
  </si>
  <si>
    <t xml:space="preserve">7.1 Integración con Tenable -- Diseño del requerimiento funcional</t>
  </si>
  <si>
    <t xml:space="preserve">7.2 Integración con Tenable -- Integración del API de Tenable con SAVI</t>
  </si>
  <si>
    <t xml:space="preserve">7.3 Integración con Tenable -- Pruebas funcionales</t>
  </si>
  <si>
    <t xml:space="preserve">7.4 Integración con Tenable -- Paso a producción</t>
  </si>
  <si>
    <t xml:space="preserve">CD-14</t>
  </si>
  <si>
    <t xml:space="preserve">Definición de lineamientos para la identificación, remediación y verificación de vulnerabilidades en servicios PaaS.</t>
  </si>
  <si>
    <t xml:space="preserve">Definición del modelo de gestión de vulnerabilidades en servicios PaaS</t>
  </si>
  <si>
    <t xml:space="preserve">CD-15</t>
  </si>
  <si>
    <t xml:space="preserve">Automatización del Proceso de Monitoreo y Generación de Reportes de Cumplimiento de Hardening para Iniciativas / Proyectos</t>
  </si>
  <si>
    <t xml:space="preserve">Carga y normalización de inventarios para servidores Cloud y Onpremise</t>
  </si>
  <si>
    <t xml:space="preserve">Definición del alcance funcional y técnico de la automatización Servidores Windows y Unix Cloud y Onpremise</t>
  </si>
  <si>
    <t xml:space="preserve">ONATE ORTEGA NATHALY CAROLINA;#386</t>
  </si>
  <si>
    <t xml:space="preserve">Documentación, cierre y entrega operativa del proceso automatizado</t>
  </si>
  <si>
    <t xml:space="preserve">Generación de dashboards de cumplimiento para servidores Cloud</t>
  </si>
  <si>
    <t xml:space="preserve">Generación de dashboards de cumplimiento para servidores Onpremise</t>
  </si>
  <si>
    <t xml:space="preserve">Procesamiento y validación de resultados de Línea Base para servidores Cloud</t>
  </si>
  <si>
    <t xml:space="preserve">Procesamiento y validación de resultados de Línea Base para servidores Onpremise</t>
  </si>
  <si>
    <t xml:space="preserve">Programación de la lógica de escaneos para servidores Cloud</t>
  </si>
  <si>
    <t xml:space="preserve">Programación de la lógica de escaneos para servidores Onpremise</t>
  </si>
  <si>
    <t xml:space="preserve">Pruebas integrales, ajustes y validación del proceso automatizado</t>
  </si>
  <si>
    <t xml:space="preserve">ES-01</t>
  </si>
  <si>
    <t xml:space="preserve">Integración de seguimiento de observaciones de Auditoría del SGSI en herramienta de seguimiento de hallazgos</t>
  </si>
  <si>
    <t xml:space="preserve">Actualización del instructivo de gestión de evaluaciones de Seguridad de la Información y Ciberseguridad</t>
  </si>
  <si>
    <t xml:space="preserve">RAMIREZ TENECELA VERONICA ALEXANDRA;#375</t>
  </si>
  <si>
    <t xml:space="preserve">Estrategia y Gobierno</t>
  </si>
  <si>
    <t xml:space="preserve">Integrar las observación de la auditoría del SGSI en la herramienta de seguimiento de hallazgos</t>
  </si>
  <si>
    <t xml:space="preserve">Registrar avances y estado de las observaciones de SGSI en la herramienta de seguimiento de hallazgos</t>
  </si>
  <si>
    <t xml:space="preserve">ES-02</t>
  </si>
  <si>
    <t xml:space="preserve">Elaborar e implementar un modelo de gestión de las políticas de seguridad.</t>
  </si>
  <si>
    <t xml:space="preserve">10. Implementación de la Política de Seguridad Física y Ambiental</t>
  </si>
  <si>
    <t xml:space="preserve">11. Elaboración del Modelo de Gestión de Políticas</t>
  </si>
  <si>
    <t xml:space="preserve">11.1 Elaboración de Fase de validación de cumplimiento</t>
  </si>
  <si>
    <t xml:space="preserve">2. Implementación de la Política de Gestión de Activos de Información</t>
  </si>
  <si>
    <t xml:space="preserve">3. Implementación de la Política de Ciberseguridad de Terceros</t>
  </si>
  <si>
    <t xml:space="preserve">4. Implementación de la Política de Gestión de Accesos y Perfiles</t>
  </si>
  <si>
    <t xml:space="preserve">5. Implementación de la Política de Incidentes de Ciberseguridad</t>
  </si>
  <si>
    <t xml:space="preserve">PINEDA SEGOVIA CLARA VANESSA;#25</t>
  </si>
  <si>
    <t xml:space="preserve">6. Implementación de la Política para la Prevención y Gestión de Ciberfraude y Fraude Externo</t>
  </si>
  <si>
    <t xml:space="preserve">7. Implementación de la Política de Organización Interna de Seguridad de la Información y Ciberseguridad</t>
  </si>
  <si>
    <t xml:space="preserve">8. Implementación de la Política de Seguridad de la Información para la Gestión de Talento Humano</t>
  </si>
  <si>
    <t xml:space="preserve">9. Implementación de la Política de Escritorios y Pantallas Limpias</t>
  </si>
  <si>
    <t xml:space="preserve">Implementación Política de Seguridad de Datos e Información</t>
  </si>
  <si>
    <t xml:space="preserve">ES-03</t>
  </si>
  <si>
    <t xml:space="preserve">Modelo de integración para  el levantamiento, gestión  y clasificación de información.</t>
  </si>
  <si>
    <t xml:space="preserve">"1- Sistematizar la matriz de clasificación de activos de información (desarrollo interno de Ciberseguridad)</t>
  </si>
  <si>
    <t xml:space="preserve">ESCOBAR ERAZO FRANKLIN ANDRES;#299</t>
  </si>
  <si>
    <t xml:space="preserve">2- Establecer flujos de envío de formularios a los dueños de los activos de información (proceso, subproceso, etc)  con el fin de obtener, validar y actualizar la información requerida para la matriz de clasificación de activos.
- Definir el formulario estándar para la revisón y registro de información.
- Automatizar el envío, recepción y registro de información.</t>
  </si>
  <si>
    <t xml:space="preserve">3-Disponibilizar el detalle de la clasificación de información levantada por los diferentes INPUTS establecidos, a los proces de CS según sea requerida.</t>
  </si>
  <si>
    <t xml:space="preserve">4.- Establecer el modelo de operación en conjunto con Riesgos de Ciberseguridad"</t>
  </si>
  <si>
    <t xml:space="preserve">LOZADA SANCHEZ WILLIAM GIOVANNY;#374</t>
  </si>
  <si>
    <t xml:space="preserve">ES-04</t>
  </si>
  <si>
    <t xml:space="preserve">Incorporar lineamientos de CS en la etapa del proceso de compras/ abastecimiento para servicios excluyentes a tecnología donde exista intercambio de información.</t>
  </si>
  <si>
    <t xml:space="preserve">1. Se reformula preguntas para el proceso de calificación SGS, cuestionarios Robusto e Intermedio, en la cual se abordan prioridad en las preguntas y se añaden nuevas
Se adjunta RE_ ACTUALIZACIÓN CUESTIONARIOS DE CALIFICACIÓN EXTERNA- MÓDULO DE SEGURIDAD DE LA INFORMACIÓN</t>
  </si>
  <si>
    <t xml:space="preserve">AVEROS VARGAS JOHANNA ESTEFANIA;#384</t>
  </si>
  <si>
    <t xml:space="preserve">2. Se robustece el formulario de cuestionario del nivel de servicio en la cual se añaden preguntas informativas para determinar que a pesar de no usar un servicio con tecnologia puede existir intercambio de informacion confidencial que no sea enfocado solo a nivel de DP
Evidencia
RE_ DEFINICIÓN CATEGORIA SERVICIO</t>
  </si>
  <si>
    <t xml:space="preserve">3. Los cuestionarios de nivel de servicio son dilegenciadas en conjunto con el equipo de Gestion CS Terceros, al final de cada sesion donde se valide un servicio que no tiene componente tech y tenga nivel de riesgo CS alto se pondra por correo la necesidad de solicitud de valdiccion por parte de Arquitectura
Evidencia: 
NIVEL DE RIESGO SERVICIO - Solicitud de revisión de área especializada</t>
  </si>
  <si>
    <t xml:space="preserve">Verificación interna de atención a los diferentes servicios por parte del equipo de arquitectura de CS</t>
  </si>
  <si>
    <t xml:space="preserve">ES-05</t>
  </si>
  <si>
    <t xml:space="preserve">Implementar las tácticas:  específica de TI, transversal y de recorrido de procesos, para fortalecer la prevención de fuga/exfiltración, mitigando riesgos de exposición accidental o malintencionada y  la detección oportuna de eventos de seguridad en </t>
  </si>
  <si>
    <t xml:space="preserve">CAMPAÑA "LA CONFIANZA SE CUIDA SIEMPRE" para la cultura organizacional en torno a la privacidad de la información y ciberseguridad, generando conciencia, compromiso y comportamientos responsables en todos los colaboradores del banco</t>
  </si>
  <si>
    <t xml:space="preserve">GOBIERNO DE REPOSITORIO DE DATOS (Sharepoint/Onedrive/Carpetas Compartidas), a través de la implementación de un modelo de gobernanza para gestionar, proteger y controlar el acceso a la información en repositorios</t>
  </si>
  <si>
    <t xml:space="preserve">Levantamiento de cronogramas para Iniciativas de Equipo de Protección de Información</t>
  </si>
  <si>
    <t xml:space="preserve">VIDAL BARBA GABRIELA VIRGINIA;#345</t>
  </si>
  <si>
    <t xml:space="preserve">MAM FASE 2 (Gobierno). Implementar la herramienta MAM para usuarios terceros, desarrollando los lineamientos, estándares y procedimientos</t>
  </si>
  <si>
    <t xml:space="preserve">MEJORAS EN PROCESO DLP. Fortalecer el modelo de protección de la información sensible del Banco mediante la redefinición de controles DLP</t>
  </si>
  <si>
    <t xml:space="preserve">PROTECCIÓN DE DATOS SENSIBLES EN BBDD PRIORIZADAS, a través de controles tecnológicos y procesos asociados para proteger datos sensibles en las bases de datos mediante la gestión adecuada de los accesos de usuarios</t>
  </si>
  <si>
    <t xml:space="preserve">RECORRIDO PROCESOS PRIORITARIOS (4), para la identificación de hallazgos/causa raíz relacionadas a fuga y exposición de información</t>
  </si>
  <si>
    <t xml:space="preserve">SFTP FASE 2. Fortalecer la seguridad en la transferencia de archivos dentro de la infraestructura tecnológica de Banco</t>
  </si>
  <si>
    <t xml:space="preserve">ES-06</t>
  </si>
  <si>
    <t xml:space="preserve">Modelo de Seguridad Cloud e IA</t>
  </si>
  <si>
    <t xml:space="preserve">1.	Construcción  del Modelo Seguridad Cloud e IA ( Frameworks de referencia)</t>
  </si>
  <si>
    <t xml:space="preserve">OCHOA OCHOA ARIANA DE LOS ANGELES;#255</t>
  </si>
  <si>
    <t xml:space="preserve">2.	Ejecución del modelo 5 controles  (basado en riegos)</t>
  </si>
  <si>
    <t xml:space="preserve">3.	Modelo de priorización y seguimiento de implementación de controles</t>
  </si>
  <si>
    <t xml:space="preserve">ES-07</t>
  </si>
  <si>
    <t xml:space="preserve">Fortalecer el Modelo de Medición de Madurez NIST CSF 2.0</t>
  </si>
  <si>
    <t xml:space="preserve">1.  Verificar y ajustar el modelo de medición de madurez NIST CSF 2.0. 
2. Modelo de gestión y seguimiento de POA</t>
  </si>
  <si>
    <t xml:space="preserve">3.  Mapeo de iniciativas para validar el aporte en la madurez de NIST CSF 2.0 en el tiempo ( proyecciones)</t>
  </si>
  <si>
    <t xml:space="preserve">4. Automatización parcial del modelo de medición de madurez NIST 2.0"</t>
  </si>
  <si>
    <t xml:space="preserve">ES-08</t>
  </si>
  <si>
    <t xml:space="preserve">Modelo de seguimiento y control de la estrategia de ciberseguridad</t>
  </si>
  <si>
    <t xml:space="preserve">"1. Integración con el modelo de medición de madurez NIST</t>
  </si>
  <si>
    <t xml:space="preserve">GAVILANES MOLINA ANDRES FERNANDO;#56</t>
  </si>
  <si>
    <t xml:space="preserve">2. Cubo 360° de ciberseguridad ( iniciativas capex, opex)</t>
  </si>
  <si>
    <t xml:space="preserve">3. Integración de riesgos, auditorías, Headcount</t>
  </si>
  <si>
    <t xml:space="preserve">ES-09</t>
  </si>
  <si>
    <t xml:space="preserve">Definir Estrategias de reducción de OPEX para años futuros</t>
  </si>
  <si>
    <t xml:space="preserve">2. Consolidación de Plataformas- Microsoft</t>
  </si>
  <si>
    <t xml:space="preserve">3. Auditoría de licenciamiento de plataformas y revisión de alcance del contrato de gestión con Bravco (Operaciones/Plataformas) 
******************************
Acciones:
Levantamiento de información de Licenciamiento de plataformas</t>
  </si>
  <si>
    <t xml:space="preserve">FALCONI NORIEGA MARCO FABRICIO;#20</t>
  </si>
  <si>
    <t xml:space="preserve">4. RFI/POC de Soluciones Biométricas de Analítica Conductual e Inteligencia (Canal Banca Móvil)
4.2.-Cleafy: Ejecución POC en ambiente de TEST, utilizando APP Móvil (Pruebas)lo que incluye ingesta de información desde los dispositivos celulares de pruebas, pruebas de ofensiva para detección RAT, Malware, etc y finalmente la entrega del Informe Final por parte del proveedor Cleafy con los resultados.</t>
  </si>
  <si>
    <t xml:space="preserve">4. RFI/POC de Soluciones Biométricas de Analítica Conductual e Inteligencia (Canal Banca Móvil)
4.3.-LexisNexis: Ejecución POC en ambiente de TEST, utilizando APP Móvil (Pruebas) o equivalente, lo que incluye ingesta de información desde los dispositivos celulares de pruebas, pruebas de ofensiva para detección RAT, Malware, etc y finalmente la entrega del Informe Final por parte del proveedor con los resultados.</t>
  </si>
  <si>
    <t xml:space="preserve">4. RFI/POC de Soluciones Biométricas de Analítica Conductual e Inteligencia (Canal Banca Móvil)
4.4.-Feedzai: Ejecución POC en ambiente de TEST, utilizando APP Móvil (Pruebas) o equivalente lo que incluye ingesta de información desde los dispositivos celulares de pruebas, pruebas de ofensiva para detección RAT, Malware, etc y finalmente la entrega del Informe Final por parte del proveedor con los resultados.</t>
  </si>
  <si>
    <t xml:space="preserve">4. RFI/POC de Soluciones Biométricas de Analítica Conductual e Inteligencia(Canal Banca Móvil)</t>
  </si>
  <si>
    <t xml:space="preserve">4. RFI/POC de Soluciones Biométricas de Analítica Conductual e Inteligencia(Canal Banca Móvil)
4.1.-Ejecución POC en ambiente de TEST, utilizando APP Móvil BP (Pruebas)lo que incluye ingesta de información desde los dispositivos celulares de pruebas, pruebas de ofensiva para detección RAT, Malware, etc y finalmente la entrega del Informe Final por parte del proveedor GroupIB con los resultados.</t>
  </si>
  <si>
    <t xml:space="preserve">5. Servicios de Ciberseguridad: levantar y definir al menos 3 servicios: PSOC, madurez NIST para empresas de grupo, SOC</t>
  </si>
  <si>
    <t xml:space="preserve">Definir la Estrategia de Reducción de OPEX ( para su ejecución al 2027) 
Revisión Caso de Negocio TCS - Identidades y Caso de Negocio de Automatización de controles y presentación a instancias formales con respectiva aprobación.</t>
  </si>
  <si>
    <t xml:space="preserve">OCHOA OCHOA ARIANA DE LOS ANGELES;#255;#EXTERNO MORA QUITO LIZBETH POLETH;#3</t>
  </si>
  <si>
    <t xml:space="preserve">ES-10</t>
  </si>
  <si>
    <t xml:space="preserve">Campaña ¨Prevención de Fraude Clientes¨</t>
  </si>
  <si>
    <t xml:space="preserve">Creación de la estrategia de concientización dirigida a clientes.</t>
  </si>
  <si>
    <t xml:space="preserve">CARVAJAL LEDESMA KARINA LIZETH;#500</t>
  </si>
  <si>
    <t xml:space="preserve">Definición de Brief y temáticas para Feria de CS​</t>
  </si>
  <si>
    <t xml:space="preserve">Ejecución de Feria de Ciberseguridad</t>
  </si>
  <si>
    <t xml:space="preserve">Evaluación de proveedores y propuestas  para Feria​</t>
  </si>
  <si>
    <t xml:space="preserve">Implementación de las actividades definidas en el cronograma de concientización para clientes, que se ejecutará mes a mes partiendo del mes de mayo a diciembre. (Correo electrónico, redes sociales, PRS STUNT partido BSC)</t>
  </si>
  <si>
    <t xml:space="preserve">Presentación de la estrategia a Gerencia de Ciberseguridad y Gerencia de Marketing</t>
  </si>
  <si>
    <t xml:space="preserve">FA-01</t>
  </si>
  <si>
    <t xml:space="preserve">Integración de los siguientes Canales y sus flujos transaccionales al Ecosistema de PFTR (Prevención de fraude en tiempo real)</t>
  </si>
  <si>
    <t xml:space="preserve">'- Canal:  ATM y CNB
- Flujo: Retiros</t>
  </si>
  <si>
    <t xml:space="preserve">Fraude</t>
  </si>
  <si>
    <t xml:space="preserve">'- Canal: Agencias
- Flujo: Transferencias. Pagos.</t>
  </si>
  <si>
    <t xml:space="preserve">'- Canal: DeUna!
- Flujo: Cash Out P2P a BP</t>
  </si>
  <si>
    <t xml:space="preserve">'- Canal: DeUna!
- Flujo: CNB 2.0</t>
  </si>
  <si>
    <t xml:space="preserve">'- Canal: DeUna!
- Flujo: Negocios Directas e interb</t>
  </si>
  <si>
    <t xml:space="preserve">'- Canal: DeUna!
- Flujo: P2M</t>
  </si>
  <si>
    <t xml:space="preserve">'- Canal: DeUna!
- Flujo: P2P Directas</t>
  </si>
  <si>
    <t xml:space="preserve">'- Canal: DeUna!
- Flujo: P2P Interbancarias</t>
  </si>
  <si>
    <t xml:space="preserve">'- Canal: Digital (Banca Móvil y Banca web)
- Flujo: Auth0</t>
  </si>
  <si>
    <t xml:space="preserve">'- Canal: Digital (Banca Móvil y Banca web)
- Flujo: Pago de Servicios</t>
  </si>
  <si>
    <t xml:space="preserve">'- Canal: Digital (Banca Móvil y Banca web)
- Flujo: Transferencias Directas</t>
  </si>
  <si>
    <t xml:space="preserve">'- Canal: Digital (Banca Móvil y Banca web)
- Flujo: Transferencias Interbancarias</t>
  </si>
  <si>
    <t xml:space="preserve">'- Canal: Digital (Banca Móvil)
- Flujo: Botón QR Directas</t>
  </si>
  <si>
    <t xml:space="preserve">'- Canal: Digital (Banca Móvil)
- Flujo: Botón QR Interbancarias</t>
  </si>
  <si>
    <t xml:space="preserve">'- Canal: Digital (Banca Móvil)
- Flujo: Cross Border</t>
  </si>
  <si>
    <t xml:space="preserve">'- Canal: Digital (Banca Móvil)
- Flujo: Retiro de dinero sin tarjetas</t>
  </si>
  <si>
    <t xml:space="preserve">'- Canal: Empresas
- Flujo: Pagos</t>
  </si>
  <si>
    <t xml:space="preserve">'- Producto: Tarjeta de débito 
- Flujo:  Tarjeta Metro Pagos</t>
  </si>
  <si>
    <t xml:space="preserve">'- Producto: Tarjeta de débito 
- Flujo: Pagos con Tarjeta de Debito Digital y fisica</t>
  </si>
  <si>
    <t xml:space="preserve">Disponibilización de la API de Pagos V2</t>
  </si>
  <si>
    <t xml:space="preserve">FA-03</t>
  </si>
  <si>
    <t xml:space="preserve">Diseño de un Framework de Analítica para Gestión de Ciberfraude y Fraude Externo.</t>
  </si>
  <si>
    <t xml:space="preserve">A. Gestión de Indicadores
Framework de Gestión de Reglas/Modelos (actualización)
Q1: Cierre del documento
Q2: Proceso de formalización
Q3: Primera corrida operacional
Q4: Segunda corrida y estabilización</t>
  </si>
  <si>
    <t xml:space="preserve">SUNTAXI CEVALLOS EDISON SANTIAGO;#497</t>
  </si>
  <si>
    <t xml:space="preserve">B. Gestión de Reglas
Metodología de Construcción de Reglas (nuevo)
Inventario de Reglas (actualización)
Q1: Cierre del documento
Q2: Proceso de formalización
Q3: Primera corrida
Q4: Segunda corrida</t>
  </si>
  <si>
    <t xml:space="preserve">C. Gestión de Datos
Actualización del Libro de Dominio de Ciberfraude, mantenimiento y actualización alineado a la operación en tiempo real (RT)
Q1: Actualización de atributos de los sistemas considerados actualmente
Q2: Actualización de definiciones 
Q3: Primera corrida
Q4: Segunda corrida"</t>
  </si>
  <si>
    <t xml:space="preserve">OP-07</t>
  </si>
  <si>
    <t xml:space="preserve">Gobierno XSOAR para automatizaciones (Fase 1)</t>
  </si>
  <si>
    <t xml:space="preserve">  Despliegue de la solución
- Definición de arquitectura
-Despliegue arquitectura ON PREMISE
- Habilitar tenat child BP
- Habilitación de usuario
- Integracion con EntraID
- Gestionar permisos y accesos al XSOAR</t>
  </si>
  <si>
    <t xml:space="preserve">Operaciones</t>
  </si>
  <si>
    <t xml:space="preserve">Capacitación 
-Formación de la plataforma (operaciones, incidentes y desarrollo)</t>
  </si>
  <si>
    <t xml:space="preserve">Definición de pre requisitos
-Definición de roles y responsabilidades
-Mecanismo de priorización de requerimientos funcionales
-Flujo de recepción de requerimientos funcionales</t>
  </si>
  <si>
    <t xml:space="preserve">CEVALLOS GRANJA FRANCISCO DAVID;#364</t>
  </si>
  <si>
    <t xml:space="preserve">Generación de documentación
-Generar el diagrama de flujo.
-Definir plantilla de documentación para desarrollos de automatización
-Documentación de versionamiento
- Implementar repositorio de plantillas</t>
  </si>
  <si>
    <t xml:space="preserve">OP-11</t>
  </si>
  <si>
    <t xml:space="preserve">IAM - Gestor de identidades interno (Fase 1)</t>
  </si>
  <si>
    <t xml:space="preserve">"1.1 Integración fuentes autoritativas: SSFF / NERM
1.2 Integración sistemas conectados: Bancs, Siglo21, RHDS, Logiflow
1.3 Integración sistemas no conectados - Service Now
1.4 Construcción Worflows ABM usuarios
1.5 Construcción Roles de Acceso"</t>
  </si>
  <si>
    <t xml:space="preserve">VERGARA BUSTOS ANA MARIA;#359</t>
  </si>
  <si>
    <t xml:space="preserve">OP-CL-01</t>
  </si>
  <si>
    <t xml:space="preserve">Cumplimiento de Seguridad Cloud en Journey to Cloud</t>
  </si>
  <si>
    <t xml:space="preserve">Definición de indicador “Aplicaciones migradas en el que implementen lineamientos de seguridad Cloud”</t>
  </si>
  <si>
    <t xml:space="preserve">Definir la línea base de controles a cumplir por las aplicaciones  en cloud</t>
  </si>
  <si>
    <t xml:space="preserve">FLORES TERREROS CHRISTIAN PAUL;#22</t>
  </si>
  <si>
    <t xml:space="preserve">Implementación y verificación de línea base de controles cloud</t>
  </si>
  <si>
    <t xml:space="preserve">OP-ID-03</t>
  </si>
  <si>
    <t xml:space="preserve">Casos de Uso como mejora para el control de usuarios privilegiados en sistemas operativos</t>
  </si>
  <si>
    <t xml:space="preserve">Identificar, definir y priorizar los escenarios que requieren la creación de Casos de Uso orientados a alertar actividades privilegiadas (inicio de sesión | modificación de usuarios) dentro de las plataformas de ciberseguridad IPS e ISE.</t>
  </si>
  <si>
    <t xml:space="preserve">Identificar, definir y priorizar los escenarios que requieren la creación de Casos de Uso orientados a alertar actividades privilegiadas (inicio de sesión | modificación de usuarios) dentro de los sistemas operativos de Servidores Unix, y Firewalls.</t>
  </si>
  <si>
    <t xml:space="preserve">Identificar, definir y priorizar los escenarios que requieren la creación de Casos de Uso orientados a alertar actividades privilegiadas (inicio de sesión | modificación de usuarios) dentro de los sistemas operativos de Servidores Windows y Balanceadores F5.</t>
  </si>
  <si>
    <t xml:space="preserve">EXTERNO SAMANIEGO LARA HUGO VINICIO;#503</t>
  </si>
  <si>
    <t xml:space="preserve">Identificar, definir y priorizar los escenarios que requieren la creación de Casos de Uso orientados a alertar actividades privilegiadas (inicio de sesión | modificación de usuarios) dentro de los sistemas operativos del hipervisor VCenter.</t>
  </si>
  <si>
    <t xml:space="preserve">Identificar, definir y priorizar los escenarios que requieren la creación de Casos de Uso orientados a alertar actividades privilegiadas (inicio de sesión | sentencias sensibles) dentro de las instancias de Bases de Datos Oracle (Bancs) y SQL Server.</t>
  </si>
  <si>
    <t xml:space="preserve">OP-ID-06</t>
  </si>
  <si>
    <t xml:space="preserve">Control de accesos en procesos de transferencia de archivos.</t>
  </si>
  <si>
    <t xml:space="preserve">1. Gestión de accesos a rutas SFTP bajo principio de mínimo privilegio. Atender las solicitudes de acceso a rutas SFTP mediante la asignación de permisos específicos de acuerdo con las funciones y necesidades operativas del usuario, garantizando que se habiliten únicamente los accesos requeridos sobre las rutas autorizadas y conforme a la Matriz de Accesos por Grupos. Los permisos pueden incluir lectura, carga, descarga, modificación o eliminación, según la autorización recibida.</t>
  </si>
  <si>
    <t xml:space="preserve">LESCANO RODRIGUEZ DANIEL MARTIN;#502</t>
  </si>
  <si>
    <t xml:space="preserve">2. Control y autorización de nuevas rutas SFTP.
Gestionar la creación de nuevas rutas SFTP únicamente cuando exista la autorización formal del responsable o dueño de la información, registrando la ruta, el grupo asociado y los permisos que correspondan para su posterior administración y control.</t>
  </si>
  <si>
    <t xml:space="preserve">3. Administración y mantenimiento de la matriz de accesos.
Mantener actualizada la Matriz de Accesos a Carpetas por Grupos como fuente oficial para la habilitación, modificación y revocación de permisos sobre rutas SFTP, asegurando la trazabilidad de las autorizaciones y la correcta administración de los accesos otorgados.</t>
  </si>
  <si>
    <t xml:space="preserve">Implementar un control que permita asignar accesos exclusivamente a las rutas SFTP necesarias para cada usuario, aplicando el principio de mínimo privilegio y considerando las funciones, responsabilidades y necesidades operativas comunicadas por los responsables del proceso. Este control se ejecutará con base en la Matriz de accesos a carpetas por grupos, la cual servirá como insumo oficial para la habilitación y mantenimiento de permisos.</t>
  </si>
  <si>
    <t xml:space="preserve">OP-ID-10</t>
  </si>
  <si>
    <t xml:space="preserve">Proyecto PAM - Just in Time</t>
  </si>
  <si>
    <t xml:space="preserve">Hito 2: Identificación de usuarios con acceso a root a los servidores facilitados por TI</t>
  </si>
  <si>
    <t xml:space="preserve">Hito 4 : Pruebas controladas con las torres administrativas, para probar los flujos y asignación de permisos temporales a los servidores en Entorno no Productivo por Servicenow y XSOAR</t>
  </si>
  <si>
    <t xml:space="preserve">Hito 5: Depuración de safes y grupos de AD de Entorno no Productivo, para retiro de acceso de al menos a bancs y capa media con permisos root.</t>
  </si>
  <si>
    <t xml:space="preserve">Hito1 : Implementación del flujo en ServiceNow y XSOAR, para requerimientos, incidentes y cambios  para uso con el usuario root en al menos servidores de bancs y capamedia en Entornos no Productivos.</t>
  </si>
  <si>
    <t xml:space="preserve">UYANA PAUCAR BRYAN HUMBERTO;#49</t>
  </si>
  <si>
    <t xml:space="preserve">Hito3 : Levantamiento y despliegue de usuarios con permisos específicos para las torres administrativas en Entorno no Productivo.</t>
  </si>
  <si>
    <t xml:space="preserve">OP-ID-15</t>
  </si>
  <si>
    <t xml:space="preserve">Mejora y automatización del Gobierno de Accesos Cloud</t>
  </si>
  <si>
    <t xml:space="preserve">Automatización para detección de inactividad de roles</t>
  </si>
  <si>
    <t xml:space="preserve">Automatización para detección de inconsistencia de roles</t>
  </si>
  <si>
    <t xml:space="preserve">VILLACIS DE LA CUEVA ARIEL EDUARDO;#360</t>
  </si>
  <si>
    <t xml:space="preserve">Control usuarios genericos
-Proceso automatizado para expiraciones de credenciales, envío de alertas ​</t>
  </si>
  <si>
    <t xml:space="preserve">Matriz de roles Cloud actualizada + lógica automática de comparación entre línea base y estado actual.</t>
  </si>
  <si>
    <t xml:space="preserve">Modelo de gobernanza para usuarios genéricos
- Documento formal para la creación, control y gobernanza de usuarios genéricos.</t>
  </si>
  <si>
    <t xml:space="preserve">Reportes periódicos y alertas sobre desviaciones detectadas en roles Cloud.</t>
  </si>
  <si>
    <t xml:space="preserve">OP-PL-01</t>
  </si>
  <si>
    <t xml:space="preserve">Actualización BDD Forcepoint de SQL 2017 a SQL 2022</t>
  </si>
  <si>
    <t xml:space="preserve">Hito 1: Reuniones y relevantamiento de información para la migración.</t>
  </si>
  <si>
    <t xml:space="preserve">EXTERNO PALADINES BUSTAMANTE  FERNANDO JAVIER;#498</t>
  </si>
  <si>
    <t xml:space="preserve">Hito 2: Solicitudes de infraestructura e instalación del nuevo motor de BDD. Evidencia: CHG0553869</t>
  </si>
  <si>
    <t xml:space="preserve">Hito 3: Ejecución del control de cambios para el upgrade de la BDD: bpcc-S26-025 Actualización de la versión SQL Server 2017 a 2022 de la BDD de Forcepoint ECBPPRSI94. Evidencia CHG0545048</t>
  </si>
  <si>
    <t xml:space="preserve">OP-PL-02</t>
  </si>
  <si>
    <t xml:space="preserve">Automatización remediación de agentes y actualización de políticas.</t>
  </si>
  <si>
    <t xml:space="preserve">Integración de scripts en Pegasus para ser empleados por API CrowdStrike:
Configurar los scripts validados dentro de la plataforma Pegasus, habilitando la ejecución remota a través del API de CrowdStrike hacia equipos de usuario final.</t>
  </si>
  <si>
    <t xml:space="preserve">Obtención y validación de scripts con fabricantes: 
Realizar el acercamiento formal con los fabricantes de cada agente de seguridad:
- Forcepoint
- Netskope
- Kriptos
para obtener y/o desarrollar los scripts de instalación, desinstalación y actualización de políticas según aplique.
Forcepoint-Netskope-Kriptos --&gt; OK</t>
  </si>
  <si>
    <t xml:space="preserve">DE LA TORRE TRUJILLO ISRAEL SEBASTIAN;#18</t>
  </si>
  <si>
    <t xml:space="preserve">Realizar pruebas para habilitar la herramienta para uso operativo bajo demanda, estableciendo el procedimiento de ejecución.</t>
  </si>
  <si>
    <t xml:space="preserve">OP-PL-04</t>
  </si>
  <si>
    <t xml:space="preserve">Migración de Detect ID a nueva infraestructura y versión de la plataforma (Win Server 2022 / SQL 2022 / v10.0.x)</t>
  </si>
  <si>
    <t xml:space="preserve">Hito 1
Migración de Detect ID en ambiente de Desarrollo</t>
  </si>
  <si>
    <t xml:space="preserve">ZAMBRANO SOLORZANO FRANKLIN STEVEN;#28</t>
  </si>
  <si>
    <t xml:space="preserve">Migración de Detect ID en ambiente de Producción</t>
  </si>
  <si>
    <t xml:space="preserve">Migración de Detect ID en ambiente de Test</t>
  </si>
  <si>
    <t xml:space="preserve">OP-PL-06</t>
  </si>
  <si>
    <t xml:space="preserve">Automatización del proceso de cobertura de agentes de ciberseguridad en equipos de usuario final</t>
  </si>
  <si>
    <t xml:space="preserve">Automatización de reportes y alertas al equipo de Workplace:
Automatizar la generación de reportes y/o alertas dirigidos al equipo de Workplace con el detalle de los equipos identificados fuera de cobertura, facilitando la gestión oportuna de remediación.</t>
  </si>
  <si>
    <t xml:space="preserve">Desarrollo del cálculo automático de cobertura:
Definir los criterios de cobertura por plataforma (Crowdstrike, Netskope, Forcepoint, Kriptos) y desarrollar la lógica de cálculo automático que permita identificar los equipos de usuario final que se encuentran fuera de la cobertura esperada de cada agente.</t>
  </si>
  <si>
    <t xml:space="preserve">HITO 1:
Ingesta y validación de fuentes en Pegasus para obtener el inventario de equipos de usuario final (Desktops, Laptops, Estaciones Digitales, Turneros, VDI) de Banco y Terceros. Ingestar la información de equipos que se registran a la consola de CrowdStrike.</t>
  </si>
  <si>
    <t xml:space="preserve">Matriz de seguimiento de equipos fuera de cobertura:
Levantar una bitácora consolidada de los equipos reportados fuera de cobertura.</t>
  </si>
  <si>
    <t xml:space="preserve">OP-PL-12</t>
  </si>
  <si>
    <t xml:space="preserve">Integración de 5 nuevas fuentes al SIEM Splunk de Banco Pichincha</t>
  </si>
  <si>
    <t xml:space="preserve">Hito 1: Integración de 2 nuevas fuentes en el SIEM durante el Q2</t>
  </si>
  <si>
    <t xml:space="preserve">RISUENO BENITEZ ERICK DAMIAN;#346</t>
  </si>
  <si>
    <t xml:space="preserve">Hito 2: Integración de 2 nuevas fuentes en el SIEM durante el Q3</t>
  </si>
  <si>
    <t xml:space="preserve">Hito 3: Integración de 1 nueva fuente en el SIEM durante el Q4</t>
  </si>
  <si>
    <t xml:space="preserve">OP-PL-13</t>
  </si>
  <si>
    <t xml:space="preserve">Control de acceso a la red para dispositivos MacBook mediante JAMF (Compliance) + ISE</t>
  </si>
  <si>
    <t xml:space="preserve">Hito 1:
Plataforma ISE integrada con MDM JAMF para obtención de compliant de los dispositivos macbook coorporativos.</t>
  </si>
  <si>
    <t xml:space="preserve">Hito 2:
Mensaje de socialización indicando a los usuarios MAC el SSID que debe ser utilizado por los equipos corporativos.</t>
  </si>
  <si>
    <t xml:space="preserve">Hito 3:
Plataforma ISE con política aplicada para que los dispositivos MAC se conecten únicamente a la PAP_BP</t>
  </si>
  <si>
    <t xml:space="preserve">OP-PL-14</t>
  </si>
  <si>
    <t xml:space="preserve">Implementación de 3 nuevas cajas Darktrace (1 modelo Z + 2 modelos XA) en DCP</t>
  </si>
  <si>
    <t xml:space="preserve">HITO 1 
Renovación contrato servicio Darktrace que incluye 3 nuevas cajas: 1 modelo Z + 2 modelos XA.</t>
  </si>
  <si>
    <t xml:space="preserve">HITO 2
Relevamiento de información de conexiones, puertos, capacidad, etc. prerequisitos previos para ingreso al DCP</t>
  </si>
  <si>
    <t xml:space="preserve">HITO 3
Despliegue de las cajas Darktrace, instalación y configuración inicial</t>
  </si>
  <si>
    <t xml:space="preserve">OP-PL-17</t>
  </si>
  <si>
    <t xml:space="preserve">Elaboración de Dashboard gerencial de contratos y presupuesto de plataformas</t>
  </si>
  <si>
    <t xml:space="preserve">HITO 1
Creación de Dashboard: estado de los contratos de todas las plataformas — vencimiento, estado, días restantes, valor y responsable.
**************************************
Acciones:
Se tiene el Dashboard en el aplicativo Cyberbudget, cuenta con información de: 
Elemento
Contrato
Tipo
Gestor
Responsable
Monto
Fecha Vigencia -Dias Restantes
Estado Legal
Id Contrato
Link aplicativo:
https://apps.powerapps.com/play/e/default-f5b0d682-1497-4db0-9019-660035554e72/a/779fa55e-438c-448b-aa8b-115cca357505?tenantId=f5b0d682-1497-4db0-9019-660035554e72&amp;hint=ead81c53-b8e3-4273-84c5-1b9ee91d320b&amp;sourcetime=1752782632764&amp;hideNavBar=true#</t>
  </si>
  <si>
    <t xml:space="preserve">HITO 2
Alertas de renovación anticipadas
***********************************
Se configura las alertas de acuerdo a la siguiente logica:
Reglas de notificación de vencimiento — CyberBudget
Fase 1 — Alertas preventivas (únicas)
Días restantes	Notificación
90 +-1	⚠️ Alerta preventiva
75 +-1	⚠️ Alerta preventiva
Fase 2 — Alertas moderadas (únicas)
Días restantes	Notificación
60 +-1	🟠 Alerta moderada
45 +-1	🟠 Alerta moderada
Fase 3 — Alertas críticas (semanales)
Días restantes	Notificación
30 +-1	🔴 Alerta crítica
23 +-1	🔴 Alerta crítica
16 +-1	🔴 Alerta crítica
9 +-1	🔴 Alerta crítica
2 +-1	🔴 Alerta crítica
Fase 4 — Vencimiento
Días restantes	Notificación
0	⛔ Contrato vencido (última notificación)
Tolerancia: cada hito tiene ±1 día de margen para cubrir fallas del flujo o diferencias horarias.
Total de correos por contrato: máximo 10 notificaciones a lo largo de los 90 días.
¿Cuándo se empieza a notificar? Cuando faltan 90 días para la fecha de vigencia.
¿Cuándo se deja de notificar? El día exacto del vencimiento se envía el último correo indicando que el contrato venció.</t>
  </si>
  <si>
    <t xml:space="preserve">HITO 3
Ejecución del presupuesto de Plataformas vs. lo aprobado mensual por plataforma/categoría.
***********************************
En revisión con Gobierno para tener un reporte consolidado</t>
  </si>
  <si>
    <t xml:space="preserve">OP-PL-18</t>
  </si>
  <si>
    <t xml:space="preserve">Adopción de plataformas de seguridad física al modelo operativo de Plataformas Ciberseguridad</t>
  </si>
  <si>
    <t xml:space="preserve">Hito1:
Recepción formal de las plataformas de seguridad física (8) provenientes del área de Seguridad Física, bajo el checklist estándar de recepción de plataformas firmado por ambas partes como condición obligatoria de inicio. Incorporación al modelo operativo vigente: asignación de administrador responsable, definición de frecuencias, actividades y evidencias requeridas. Incorporación formal de las 3 personas transferidas a la estructura de la Gerencia de Plataformas de Ciberseguridad. El presupuesto de las plataformas se transfiere junto con la responsabilidad operativa.</t>
  </si>
  <si>
    <t xml:space="preserve">OP-PL-19</t>
  </si>
  <si>
    <t xml:space="preserve">Levantamiento y propuesta de esquema de contingencia operativa para el personal de Ciberseguridad</t>
  </si>
  <si>
    <t xml:space="preserve">Coordinar y ejecutar sesiones de trabajo (talleres recurrentes) con Continuidad del Negocio, Tecnología, Seguridad Física, Infraestructura y Ciberdefensa para centralizar la información de contingencia relevante a la operación del personal de Ciberseguridad. Incluye habilitación del repositorio compartido en SharePoint y carga de la información base (actas, guiones, checklists).</t>
  </si>
  <si>
    <t xml:space="preserve">Diseñar el checklist de pruebas funcionales y ejecutar al menos 3 pruebas de contingencia eléctrica con carga mínima en los edificios principales (Centro Financiero / Matriz), validando la operación del video wall del SOC (piso 6), PSOC (piso 5), Command Center de TI (piso 2)</t>
  </si>
  <si>
    <t xml:space="preserve">Generar un informe ejecutivo con los resultados obtenidos de cada prueba de contingencia eléctrica ejecutada, incluyendo: controles validados, resultados por área, hallazgos y conclusiones por ejecución. Complementar con el diagnóstico técnico del estado actual</t>
  </si>
  <si>
    <t xml:space="preserve">Levantar, documentar, actualizar y/o formalizar el proceso de contingencia operativa del área de Ciberseguridad.</t>
  </si>
  <si>
    <t xml:space="preserve">OP-PL-20</t>
  </si>
  <si>
    <t xml:space="preserve">Incremento de Adherencia al Modelo Operativo de Plataformas de Ciberseguridad</t>
  </si>
  <si>
    <t xml:space="preserve">Hito 1:
Modelo Operativo 2026 definido: - agrupadores - actividades - criterios de evaluación  - socialización</t>
  </si>
  <si>
    <t xml:space="preserve">Hito 2:
Modelo en las plataformas medido y acciones de mejora identificadas.</t>
  </si>
  <si>
    <t xml:space="preserve">Hito 3:
Acciones de mejora ejecutadas.</t>
  </si>
  <si>
    <t xml:space="preserve">SF-2026-02</t>
  </si>
  <si>
    <t xml:space="preserve">Programa de Seguridad Ejecutiva</t>
  </si>
  <si>
    <t xml:space="preserve">HITO 1
Consolidar información de rutas de los ejecutivos y mapas de calor del programa de seguridad VIP</t>
  </si>
  <si>
    <t xml:space="preserve">Seguridad física</t>
  </si>
  <si>
    <t xml:space="preserve">HITO 2
Análisis de la información consolidada para generar rutas dinámicas y mapas de calor</t>
  </si>
  <si>
    <t xml:space="preserve">HITO 3
Ejecución de pruebas de rutas dinámicas y mapas de calor</t>
  </si>
  <si>
    <t xml:space="preserve">Uso de software de tráfico y riesgo que calcula rutas aleatorias y seguras diariamente, evitando que el ejecutivo genere patrones predecibles.</t>
  </si>
  <si>
    <t xml:space="preserve">JARAMILLO AMORES RAYMOND ALEXIS;#441</t>
  </si>
  <si>
    <t xml:space="preserve">SF-2026-03</t>
  </si>
  <si>
    <t xml:space="preserve">Sistema de Video Vigilancia con obsolescencia funcional y tecnológica</t>
  </si>
  <si>
    <t xml:space="preserve">Activación de servidores virtuales</t>
  </si>
  <si>
    <t xml:space="preserve">Adjudicación y firma contrato proveedor.</t>
  </si>
  <si>
    <t xml:space="preserve">CAJAMARCA LLIVE CHRISTIAN ROBERTO;#423</t>
  </si>
  <si>
    <t xml:space="preserve">Configuraciones de monitoreo de analíticas</t>
  </si>
  <si>
    <t xml:space="preserve">Implementación de Plataforma</t>
  </si>
  <si>
    <t xml:space="preserve">Importación Equipos</t>
  </si>
  <si>
    <t xml:space="preserve">Instalación cableado estructurado</t>
  </si>
  <si>
    <t xml:space="preserve">Instalación y activación de equipos</t>
  </si>
  <si>
    <t xml:space="preserve">SF-2026-04</t>
  </si>
  <si>
    <t xml:space="preserve">Nuevo modelo operativo para el servicio de vigilancia</t>
  </si>
  <si>
    <t xml:space="preserve">HITO 1 
Aprobación de Adenda de 6 meses</t>
  </si>
  <si>
    <t xml:space="preserve">HITO 2
Elaboración de RFP unificada</t>
  </si>
  <si>
    <t xml:space="preserve">HITO 3
Entrega a compras del nuevo modelo (RFP) para licitación</t>
  </si>
  <si>
    <t xml:space="preserve">Implementar un nuevo modelo operativo estratégico de seguridad escalable y corporativo para la contratacion del servicio de vigilancia privada</t>
  </si>
  <si>
    <t xml:space="preserve">ARELLANO GARCIA HENRY PAUL;#501</t>
  </si>
  <si>
    <t xml:space="preserve">SF-2026-05</t>
  </si>
  <si>
    <t xml:space="preserve">Consolidar información de fuentes de Ciberinteligencia e inteligencia delincuencial (OSINT + Fuentes de inteligencia FP), para generar un boletín para difundir a la organización.</t>
  </si>
  <si>
    <t xml:space="preserve">Entrega de información bimensual, para toma de decisiones</t>
  </si>
  <si>
    <t xml:space="preserve">BASANTES FUENMAYOR ALEXANDER VINICIO;#444</t>
  </si>
  <si>
    <t xml:space="preserve">HITO 1
Solicitud y detalles de intercambio de información, para ir definiendo el esquema del tipo de datos</t>
  </si>
  <si>
    <t xml:space="preserve">HITO 2
Elaborar el diseño del comunicado y formato para primera validación</t>
  </si>
  <si>
    <t xml:space="preserve">Se elaboro documento borrador, para continuar el análisis de la información.</t>
  </si>
  <si>
    <t xml:space="preserve">SF-2026-06</t>
  </si>
  <si>
    <t xml:space="preserve">Softguard: Monitoreo de alertas para el sistema de intrusiones Fase 2</t>
  </si>
  <si>
    <t xml:space="preserve">Activación alta disponibilidad</t>
  </si>
  <si>
    <t xml:space="preserve">Despliegue Alarmnet</t>
  </si>
  <si>
    <t xml:space="preserve">Despliegue Surgard Console​</t>
  </si>
  <si>
    <t xml:space="preserve">Instalación versión Banking Softguard</t>
  </si>
  <si>
    <t xml:space="preserve">Liberación de servidores virtuales</t>
  </si>
  <si>
    <t xml:space="preserve">SF-2026-07</t>
  </si>
  <si>
    <t xml:space="preserve">Implementar  ambiente de test para aplicativos de seguridad física Dynamic Code y Coren</t>
  </si>
  <si>
    <t xml:space="preserve">Asignación de proveedor para soporte en la instalación de aplicación en servidores virtuales de test para las dos plataformas, Dynamic Code y Coren</t>
  </si>
  <si>
    <t xml:space="preserve">Hito 1: Identificar los requerimientos técnicos y funcionales necesarios para la creación del ambiente de pruebas, incluyendo aplicativos involucrados</t>
  </si>
  <si>
    <t xml:space="preserve">ESPINOSA BARAHONA CINDY ALEXANDRA;#419</t>
  </si>
  <si>
    <t xml:space="preserve">Hito 2: Gestionar la solicitud del servidor de pruebas ante las áreas de infraestructura, redes y seguridad.</t>
  </si>
  <si>
    <t xml:space="preserve">Hito 3: Provisionamiento del servidor TEST, Asegurando la correcta asignación de recursos, integración al dominio, configuración base del sistema operativo y cumplimiento de estándares de seguridad.</t>
  </si>
  <si>
    <t xml:space="preserve">HITO4:  Validar el acceso mediante CyberArk para usuario genérico, asegurando control, trazabilidad y cumplimiento de políticas de seguridad.</t>
  </si>
  <si>
    <t xml:space="preserve">Instalación de aplicación en servidores virtuales de tes para las dos plataformas Dynamic Code y Coren.
---------------------------
Asignación de proveedor para soporte en la instalación de aplicación en servidores virtuales de test para las dos plataformas, Dynamic Code y Coren</t>
  </si>
  <si>
    <t xml:space="preserve">SF-2026-08</t>
  </si>
  <si>
    <t xml:space="preserve">PSIM: Incrementar identificación equipos IOTs para deteccion de intrusiones físicas</t>
  </si>
  <si>
    <t xml:space="preserve">Cargar planos 2D de los 538 ATM islas</t>
  </si>
  <si>
    <t xml:space="preserve">Cargar Planos en 2D de las 210 agencias transaccionales</t>
  </si>
  <si>
    <t xml:space="preserve">Monitoreo estado salud IoT</t>
  </si>
  <si>
    <t xml:space="preserve">Monitoreo PSOC Fase 1</t>
  </si>
  <si>
    <t xml:space="preserve">Monitoreo PSOC Fase 2</t>
  </si>
  <si>
    <t xml:space="preserve">Registrar sensores y equipos IoT en planos de agencias</t>
  </si>
  <si>
    <t xml:space="preserve">Registrar sensores y equipos IoT en planos de atms islas</t>
  </si>
  <si>
    <t xml:space="preserve">TR-01</t>
  </si>
  <si>
    <t xml:space="preserve">Cambio de Identidad Biométrica</t>
  </si>
  <si>
    <t xml:space="preserve">Despliegue y masificación (BP y DeUna)</t>
  </si>
  <si>
    <t xml:space="preserve">Tribu Ciberseguridad</t>
  </si>
  <si>
    <t xml:space="preserve">Proceso de abastecimiento y adquisición de herramienta</t>
  </si>
  <si>
    <t xml:space="preserve">Pruebas de Concepto - POC
Al momento se están ejecutando las pruebas de concepto con 3 proveedores que fueron elegidos: Troura - Incode y Veriff.
Para cada caso se realizan Pruebas Funcionales y de Seguridad las cuales cuando se finalicen se generará un documento con el resultado de dichas pruebas con cada proveedor</t>
  </si>
  <si>
    <t xml:space="preserve">MEDRANDA MOREJON SANTIAGO ANDRES;#41</t>
  </si>
  <si>
    <t xml:space="preserve">Gerencia</t>
  </si>
  <si>
    <t xml:space="preserve">Total_Registros</t>
  </si>
  <si>
    <t xml:space="preserve">Finalizados</t>
  </si>
  <si>
    <t xml:space="preserve">Tasa_Cumplimiento_Pct</t>
  </si>
  <si>
    <t xml:space="preserve">Avance_Real_Prom</t>
  </si>
  <si>
    <t xml:space="preserve">Avance_Esperado_Prom</t>
  </si>
  <si>
    <t xml:space="preserve">Gap_prom_pp</t>
  </si>
  <si>
    <t xml:space="preserve">Pct_Cierres_Q4</t>
  </si>
  <si>
    <t xml:space="preserve">No_Iniciado_Q4</t>
  </si>
  <si>
    <t xml:space="preserve">Vencidas</t>
  </si>
  <si>
    <t xml:space="preserve">Veredicto_Ritmo</t>
  </si>
  <si>
    <t xml:space="preserve">MEDIDAS DAX — MODELO POA 2026 (copiar/pegar en Power BI Desktop)</t>
  </si>
  <si>
    <t xml:space="preserve">Medida</t>
  </si>
  <si>
    <t xml:space="preserve">Fórmula DAX</t>
  </si>
  <si>
    <t xml:space="preserve">Descripción</t>
  </si>
  <si>
    <t xml:space="preserve">Total Registros</t>
  </si>
  <si>
    <t xml:space="preserve">Total Registros = COUNTROWS(Datos_POA)</t>
  </si>
  <si>
    <t xml:space="preserve">Total de hitos/registros del POA</t>
  </si>
  <si>
    <t xml:space="preserve">Total Iniciativas</t>
  </si>
  <si>
    <t xml:space="preserve">Total Iniciativas = DISTINCTCOUNT(Datos_POA[Codigo])</t>
  </si>
  <si>
    <t xml:space="preserve">Iniciativas o mejoras únicas (los registros son hitos de estas)</t>
  </si>
  <si>
    <t xml:space="preserve">Promedio Hitos x Iniciativa</t>
  </si>
  <si>
    <t xml:space="preserve">Promedio Hitos x Iniciativa = DIVIDE([Total Registros],[Total Iniciativas])</t>
  </si>
  <si>
    <t xml:space="preserve">Cuántos hitos agrupa en promedio cada iniciativa</t>
  </si>
  <si>
    <t xml:space="preserve">Avance Promedio Real</t>
  </si>
  <si>
    <t xml:space="preserve">Avance Promedio Real = AVERAGE(Datos_POA[Avance_Real_Pct])</t>
  </si>
  <si>
    <t xml:space="preserve">% de avance real promedio</t>
  </si>
  <si>
    <t xml:space="preserve">Avance Promedio Esperado</t>
  </si>
  <si>
    <t xml:space="preserve">Avance Promedio Esperado = AVERAGE(Datos_POA[Avance_Esperado_Pct])</t>
  </si>
  <si>
    <t xml:space="preserve">% de avance que debería existir a la fecha de corte según cronograma</t>
  </si>
  <si>
    <t xml:space="preserve">Brecha vs Plan</t>
  </si>
  <si>
    <t xml:space="preserve">Brecha vs Plan = [Avance Promedio Esperado] - [Avance Promedio Real]</t>
  </si>
  <si>
    <t xml:space="preserve">Puntos porcentuales de atraso frente al plan</t>
  </si>
  <si>
    <t xml:space="preserve">Finalizadas</t>
  </si>
  <si>
    <t xml:space="preserve">Finalizadas = CALCULATE(COUNTROWS(Datos_POA), Datos_POA[Estado] = "Finalizado")</t>
  </si>
  <si>
    <t xml:space="preserve">Actividades cerradas</t>
  </si>
  <si>
    <t xml:space="preserve">En Curso</t>
  </si>
  <si>
    <t xml:space="preserve">En Curso = CALCULATE(COUNTROWS(Datos_POA), Datos_POA[Estado] IN {"En ejecución","Iniciado"})</t>
  </si>
  <si>
    <t xml:space="preserve">Actividades en ejecución o iniciadas</t>
  </si>
  <si>
    <t xml:space="preserve">Sin Iniciar</t>
  </si>
  <si>
    <t xml:space="preserve">Sin Iniciar = CALCULATE(COUNTROWS(Datos_POA), Datos_POA[Estado] = "No iniciado")</t>
  </si>
  <si>
    <t xml:space="preserve">Actividades que no han arrancado</t>
  </si>
  <si>
    <t xml:space="preserve">Tasa de Cumplimiento</t>
  </si>
  <si>
    <t xml:space="preserve">Tasa de Cumplimiento = DIVIDE([Finalizadas], [Total Registros])</t>
  </si>
  <si>
    <t xml:space="preserve">% finalizado sobre el total (formatear como %)</t>
  </si>
  <si>
    <t xml:space="preserve">Verde</t>
  </si>
  <si>
    <t xml:space="preserve">Verde = CALCULATE(COUNTROWS(Datos_POA), Datos_POA[Semaforo] = "Verde")</t>
  </si>
  <si>
    <t xml:space="preserve">Actividades en semáforo verde</t>
  </si>
  <si>
    <t xml:space="preserve">Amarillo</t>
  </si>
  <si>
    <t xml:space="preserve">Amarillo = CALCULATE(COUNTROWS(Datos_POA), Datos_POA[Semaforo] = "Amarillo")</t>
  </si>
  <si>
    <t xml:space="preserve">Actividades en semáforo amarillo</t>
  </si>
  <si>
    <t xml:space="preserve">Rojo</t>
  </si>
  <si>
    <t xml:space="preserve">Rojo = CALCULATE(COUNTROWS(Datos_POA), Datos_POA[Semaforo] = "Rojo")</t>
  </si>
  <si>
    <t xml:space="preserve">Actividades en semáforo rojo</t>
  </si>
  <si>
    <t xml:space="preserve">Vencidas = SUM(Datos_POA[Es_Vencida])</t>
  </si>
  <si>
    <t xml:space="preserve">Fecha_Fin &lt; fecha de corte y Estado &lt;&gt; Finalizado</t>
  </si>
  <si>
    <t xml:space="preserve">Proximas a Vencer 30d</t>
  </si>
  <si>
    <t xml:space="preserve">Proximas a Vencer 30d = SUM(Datos_POA[Es_Proxima_30d])</t>
  </si>
  <si>
    <t xml:space="preserve">Vencen dentro de los próximos 30 días</t>
  </si>
  <si>
    <t xml:space="preserve">Pct Cierres Q4</t>
  </si>
  <si>
    <t xml:space="preserve">Pct Cierres Q4 = DIVIDE(SUM(Datos_POA[Es_Q4]), COUNTROWS(Datos_POA))</t>
  </si>
  <si>
    <t xml:space="preserve">% de registros cuyo cierre planificado cae en Oct-Dic</t>
  </si>
  <si>
    <t xml:space="preserve">Sin Iniciar en Q4</t>
  </si>
  <si>
    <t xml:space="preserve">Sin Iniciar en Q4 = CALCULATE(SUM(Datos_POA[Es_Q4]), Datos_POA[Estado] = "No iniciado")</t>
  </si>
  <si>
    <t xml:space="preserve">Actividades sin iniciar que deben cerrar en el último trimestre</t>
  </si>
  <si>
    <t xml:space="preserve">Fecha Corte (parametro)</t>
  </si>
  <si>
    <t xml:space="preserve">Fecha Corte = DATE(2026,8,24)  -- o usar TODAY() para corte dinámico</t>
  </si>
  <si>
    <t xml:space="preserve">Fecha de referencia del análisis; replicar la misma fecha usada en las columnas calculadas de origen</t>
  </si>
  <si>
    <t xml:space="preserve">Avance Esperado (columna calculada)</t>
  </si>
  <si>
    <t xml:space="preserve">Avance Esperado = 
VAR Inicio = Datos_POA[Fecha_Inicio]
VAR Fin = Datos_POA[Fecha_Fin]
VAR Corte = DATE(2026,8,24)
VAR TotalDias = DATEDIFF(Inicio, Fin, DAY)
VAR Transc = DATEDIFF(Inicio, Corte, DAY)
RETURN IF(TotalDias&gt;0, MIN(100,MAX(0, DIVIDE(Transc,TotalDias)*100)), BLANK())</t>
  </si>
  <si>
    <t xml:space="preserve">Columna calculada equivalente a Avance_Esperado_Pct (ya viene precalculada en el Excel importado)</t>
  </si>
  <si>
    <t xml:space="preserve">Gap (columna calculada)</t>
  </si>
  <si>
    <t xml:space="preserve">Gap = Datos_POA[Avance Esperado] - Datos_POA[Avance_Real_Pct]</t>
  </si>
  <si>
    <t xml:space="preserve">Brecha por registro</t>
  </si>
  <si>
    <t xml:space="preserve">Semaforo (columna calculada)</t>
  </si>
  <si>
    <t xml:space="preserve">Semaforo = 
SWITCH(TRUE(),
  Datos_POA[Estado]="Finalizado","Verde",
  ISBLANK(Datos_POA[Avance Esperado]),"Amarillo",
  Datos_POA[Gap]&lt;=5,"Verde",
  Datos_POA[Gap]&lt;=20,"Amarillo",
  "Rojo")</t>
  </si>
  <si>
    <t xml:space="preserve">Semaforización por registro (ya viene precalculada en el Excel importado)</t>
  </si>
  <si>
    <t xml:space="preserve">Situacion (columna calculada)</t>
  </si>
  <si>
    <t xml:space="preserve">Situacion = 
SWITCH(TRUE(),
  Datos_POA[Estado]="Finalizado", "Completado",
  ISBLANK(Datos_POA[Avance Esperado]), "Sin fecha válida - revisar plazos",
  Datos_POA[Gap]&lt;=5, "En tiempo, según lo planificado",
  Datos_POA[Gap]&lt;=20, "Atraso leve - seguimiento cercano (" &amp; FORMAT(Datos_POA[Gap],"0.0") &amp; " p.p.)",
  "Atraso crítico - requiere intervención (" &amp; FORMAT(Datos_POA[Gap],"0.0") &amp; " p.p.)")</t>
  </si>
  <si>
    <t xml:space="preserve">Misma lógica que Semaforo, pero como etiqueta legible para tarjetas, tooltips y exportes — no reemplaza a Semaforo, lo complementa</t>
  </si>
  <si>
    <t xml:space="preserve">Riesgo Cierre Anual (Nivel)</t>
  </si>
  <si>
    <t xml:space="preserve">Riesgo Cierre Anual = 
VAR RojoPct = DIVIDE([Rojo],[Total Registros])*100
VAR AmarilloPct = DIVIDE([Amarillo],[Total Registros])*100
VAR VencPct = DIVIDE([Vencidas],[Total Registros])*100
VAR DicPct = [Pct Cierres Q4]*100
VAR Score = RojoPct*0.5 + AmarilloPct*0.3 + VencPct*0.2 + DicPct*0.3
RETURN
SWITCH(TRUE(),
  Score&gt;=25 || DicPct&gt;25, "ALTO",
  Score&gt;=12, "MEDIO",
  "BAJO")</t>
  </si>
  <si>
    <t xml:space="preserve">Clasificación compuesta de riesgo de cierre anual (ALTO/MEDIO/BAJO)</t>
  </si>
  <si>
    <t xml:space="preserve">Veredicto Ritmo (por gerencia)</t>
  </si>
  <si>
    <t xml:space="preserve">Veredicto Ritmo = 
VAR GapGer = [Brecha vs Plan]
VAR Q4Ger = [Pct Cierres Q4]*100
RETURN
SWITCH(TRUE(),
  GapGer&lt;=3 &amp;&amp; Q4Ger&lt;=45, "Ejecución constante",
  Q4Ger&gt;55 || GapGer&gt;6, "Carga concentrada al cierre",
  "Ritmo moderado")</t>
  </si>
  <si>
    <t xml:space="preserve">Usar en un visual de matriz/tabla con Gerencia_Responsable en filas</t>
  </si>
  <si>
    <t xml:space="preserve">Iniciativas con Multiples Hitos</t>
  </si>
  <si>
    <t xml:space="preserve">Iniciativas Multi-Hito = 
VAR T = SUMMARIZE(Datos_POA, Datos_POA[Codigo], "NHitos", COUNTROWS(Datos_POA))
RETURN COUNTROWS(FILTER(T,[NHitos]&gt;1))</t>
  </si>
  <si>
    <t xml:space="preserve">Cuántas iniciativas están desagregadas en más de un hito (48 en el corte actual)</t>
  </si>
  <si>
    <t xml:space="preserve">CÓMO USAR ESTE ARCHIVO EN POWER BI DESKTOP</t>
  </si>
  <si>
    <t xml:space="preserve">1. Importar datos</t>
  </si>
  <si>
    <t xml:space="preserve">Abrir Power BI Desktop → Obtener datos → Excel → seleccionar este archivo → cargar las hojas 'Datos_POA' y 'Parametros' (Resumen_Gerencias es opcional, ya que las medidas DAX lo recalculan).</t>
  </si>
  <si>
    <t xml:space="preserve">2. Crear relaciones</t>
  </si>
  <si>
    <t xml:space="preserve">No se requieren relaciones adicionales: todo el análisis parte de una única tabla 'Datos_POA'. Si se agrega una tabla de fechas, relacionarla por 'Fecha_Fin'.</t>
  </si>
  <si>
    <t xml:space="preserve">3. Crear medidas</t>
  </si>
  <si>
    <t xml:space="preserve">Abrir la hoja 'DAX_Medidas' de este archivo y copiar cada fórmula en Modelado → Nueva medida (o Nueva columna, según corresponda) dentro de la tabla Datos_POA.</t>
  </si>
  <si>
    <t xml:space="preserve">4. Construir visuales</t>
  </si>
  <si>
    <t xml:space="preserve">Reproducir los bloques de la lámina PNG: tarjetas KPI (medidas), gráfico de dispersión (Gerencia_Responsable, Pct Cierres Q4, Brecha vs Plan, tamaño=Total Registros), tabla matricial (Gerencia_Responsable en filas), gráfico de barras (Sin Iniciar y Vencidas por gerencia), anillo (Semaforo).</t>
  </si>
  <si>
    <t xml:space="preserve">5. Formato</t>
  </si>
  <si>
    <t xml:space="preserve">Aplicar la paleta corporativa: azul marino #0A185B, amarillo #FCEC7C, verde #3FA772, ámbar #F2A93B, rojo #D6553F, fondo #F4F6F9.</t>
  </si>
  <si>
    <t xml:space="preserve">6. Incrustar el HTML</t>
  </si>
  <si>
    <t xml:space="preserve">Agregar el visual 'HTML Content' (AppSource, gratuito) o 'Web content' nativo de Power BI y pegar/enlazar el archivo Dashboard_POA2026_PowerBI.html incluido en esta entrega para mostrar el resumen ejecutivo dentro del mismo reporte.</t>
  </si>
  <si>
    <t xml:space="preserve">7. Guardar como .pbix</t>
  </si>
  <si>
    <t xml:space="preserve">Guardar el reporte desde Power BI Desktop; se generará el archivo .pbix nativo. Este formato solo puede crearse dentro de Power BI Desktop, por lo que no se entrega prearmado — este Excel + las medidas DAX permiten reconstruirlo en menos de 15 minutos.</t>
  </si>
</sst>
</file>

<file path=xl/styles.xml><?xml version="1.0" encoding="utf-8"?>
<styleSheet xmlns="http://schemas.openxmlformats.org/spreadsheetml/2006/main">
  <numFmts count="4">
    <numFmt numFmtId="164" formatCode="General"/>
    <numFmt numFmtId="165" formatCode="dd/mm/yyyy"/>
    <numFmt numFmtId="166" formatCode="0.0\%"/>
    <numFmt numFmtId="167" formatCode="0.0"/>
  </numFmts>
  <fonts count="15">
    <font>
      <sz val="11"/>
      <color theme="1"/>
      <name val="Calibri"/>
      <family val="2"/>
      <charset val="1"/>
    </font>
    <font>
      <sz val="10"/>
      <name val="Arial"/>
      <family val="0"/>
    </font>
    <font>
      <sz val="10"/>
      <name val="Arial"/>
      <family val="0"/>
    </font>
    <font>
      <sz val="10"/>
      <name val="Arial"/>
      <family val="0"/>
    </font>
    <font>
      <b val="true"/>
      <sz val="14"/>
      <color rgb="FF0A185B"/>
      <name val="Arial"/>
      <family val="0"/>
      <charset val="1"/>
    </font>
    <font>
      <b val="true"/>
      <sz val="10"/>
      <name val="Arial"/>
      <family val="0"/>
      <charset val="1"/>
    </font>
    <font>
      <b val="true"/>
      <sz val="10"/>
      <color rgb="FF0000FF"/>
      <name val="Arial"/>
      <family val="0"/>
      <charset val="1"/>
    </font>
    <font>
      <i val="true"/>
      <sz val="9"/>
      <color rgb="FF5B6472"/>
      <name val="Arial"/>
      <family val="0"/>
      <charset val="1"/>
    </font>
    <font>
      <b val="true"/>
      <sz val="10"/>
      <color rgb="FFFFFFFF"/>
      <name val="Arial"/>
      <family val="0"/>
      <charset val="1"/>
    </font>
    <font>
      <sz val="10"/>
      <color rgb="FF1F3864"/>
      <name val="Arial"/>
      <family val="0"/>
      <charset val="1"/>
    </font>
    <font>
      <b val="true"/>
      <sz val="9.5"/>
      <name val="Arial"/>
      <family val="0"/>
      <charset val="1"/>
    </font>
    <font>
      <sz val="9"/>
      <name val="Consolas"/>
      <family val="0"/>
      <charset val="1"/>
    </font>
    <font>
      <sz val="9"/>
      <color rgb="FF5B6472"/>
      <name val="Arial"/>
      <family val="0"/>
      <charset val="1"/>
    </font>
    <font>
      <b val="true"/>
      <sz val="10"/>
      <color rgb="FF0A185B"/>
      <name val="Arial"/>
      <family val="0"/>
      <charset val="1"/>
    </font>
    <font>
      <sz val="9.5"/>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0A185B"/>
        <bgColor rgb="FF000080"/>
      </patternFill>
    </fill>
  </fills>
  <borders count="2">
    <border diagonalUp="false" diagonalDown="false">
      <left/>
      <right/>
      <top/>
      <bottom/>
      <diagonal/>
    </border>
    <border diagonalUp="false" diagonalDown="false">
      <left style="thin">
        <color rgb="FFE3E7EF"/>
      </left>
      <right style="thin">
        <color rgb="FFE3E7EF"/>
      </right>
      <top style="thin">
        <color rgb="FFE3E7EF"/>
      </top>
      <bottom style="thin">
        <color rgb="FFE3E7E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A185B"/>
      <rgbColor rgb="FF808000"/>
      <rgbColor rgb="FF800080"/>
      <rgbColor rgb="FF008080"/>
      <rgbColor rgb="FFC0C0C0"/>
      <rgbColor rgb="FF808080"/>
      <rgbColor rgb="FF9999FF"/>
      <rgbColor rgb="FF993366"/>
      <rgbColor rgb="FFFFFFCC"/>
      <rgbColor rgb="FFE3E7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472"/>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6"/>
  </cols>
  <sheetData>
    <row r="1" customFormat="false" ht="17.35" hidden="false" customHeight="false" outlineLevel="0" collapsed="false">
      <c r="A1" s="1" t="s">
        <v>0</v>
      </c>
    </row>
    <row r="3" customFormat="false" ht="15" hidden="false" customHeight="false" outlineLevel="0" collapsed="false">
      <c r="A3" s="2" t="s">
        <v>1</v>
      </c>
      <c r="B3" s="3" t="n">
        <v>46258</v>
      </c>
    </row>
    <row r="4" customFormat="false" ht="15" hidden="false" customHeight="false" outlineLevel="0" collapsed="false">
      <c r="A4" s="0" t="s">
        <v>2</v>
      </c>
      <c r="B4" s="4" t="n">
        <v>5</v>
      </c>
    </row>
    <row r="5" customFormat="false" ht="15" hidden="false" customHeight="false" outlineLevel="0" collapsed="false">
      <c r="A5" s="0" t="s">
        <v>3</v>
      </c>
      <c r="B5" s="4" t="n">
        <v>20</v>
      </c>
    </row>
    <row r="6" customFormat="false" ht="15" hidden="false" customHeight="false" outlineLevel="0" collapsed="false">
      <c r="A6" s="0" t="s">
        <v>4</v>
      </c>
      <c r="B6" s="4" t="n">
        <v>55</v>
      </c>
    </row>
    <row r="7" customFormat="false" ht="15" hidden="false" customHeight="false" outlineLevel="0" collapsed="false">
      <c r="A7" s="0" t="s">
        <v>5</v>
      </c>
      <c r="B7" s="4" t="n">
        <v>6</v>
      </c>
    </row>
    <row r="9" customFormat="false" ht="22.35" hidden="false" customHeight="true" outlineLevel="0" collapsed="false">
      <c r="A9" s="5" t="s">
        <v>6</v>
      </c>
      <c r="B9" s="5"/>
      <c r="C9" s="5"/>
      <c r="D9" s="5"/>
      <c r="E9" s="5"/>
      <c r="F9" s="5"/>
    </row>
  </sheetData>
  <mergeCells count="1">
    <mergeCell ref="A9:F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2"/>
    <col collapsed="false" customWidth="true" hidden="false" outlineLevel="0" max="3" min="3" style="0" width="50"/>
    <col collapsed="false" customWidth="true" hidden="false" outlineLevel="0" max="5" min="4" style="0" width="12"/>
    <col collapsed="false" customWidth="true" hidden="false" outlineLevel="0" max="6" min="6" style="0" width="13"/>
    <col collapsed="false" customWidth="true" hidden="false" outlineLevel="0" max="7" min="7" style="0" width="15"/>
    <col collapsed="false" customWidth="true" hidden="false" outlineLevel="0" max="8" min="8" style="0" width="9"/>
    <col collapsed="false" customWidth="true" hidden="false" outlineLevel="0" max="9" min="9" style="0" width="10"/>
    <col collapsed="false" customWidth="true" hidden="false" outlineLevel="0" max="10" min="10" style="0" width="42"/>
    <col collapsed="false" customWidth="true" hidden="false" outlineLevel="0" max="11" min="11" style="0" width="14"/>
    <col collapsed="false" customWidth="true" hidden="false" outlineLevel="0" max="12" min="12" style="0" width="26"/>
    <col collapsed="false" customWidth="true" hidden="false" outlineLevel="0" max="13" min="13" style="0" width="20"/>
    <col collapsed="false" customWidth="true" hidden="false" outlineLevel="0" max="14" min="14" style="0" width="12"/>
    <col collapsed="false" customWidth="true" hidden="false" outlineLevel="0" max="15" min="15" style="0" width="8"/>
    <col collapsed="false" customWidth="true" hidden="false" outlineLevel="0" max="16" min="16" style="0" width="10"/>
    <col collapsed="false" customWidth="true" hidden="false" outlineLevel="0" max="17" min="17" style="0" width="12"/>
  </cols>
  <sheetData>
    <row r="1" customFormat="false" ht="30" hidden="false" customHeight="true" outlineLevel="0" collapsed="false">
      <c r="A1" s="6" t="s">
        <v>7</v>
      </c>
      <c r="B1" s="6" t="s">
        <v>8</v>
      </c>
      <c r="C1" s="6" t="s">
        <v>9</v>
      </c>
      <c r="D1" s="6" t="s">
        <v>10</v>
      </c>
      <c r="E1" s="6" t="s">
        <v>11</v>
      </c>
      <c r="F1" s="6" t="s">
        <v>12</v>
      </c>
      <c r="G1" s="6" t="s">
        <v>13</v>
      </c>
      <c r="H1" s="6" t="s">
        <v>14</v>
      </c>
      <c r="I1" s="6" t="s">
        <v>15</v>
      </c>
      <c r="J1" s="6" t="s">
        <v>16</v>
      </c>
      <c r="K1" s="6" t="s">
        <v>17</v>
      </c>
      <c r="L1" s="6" t="s">
        <v>18</v>
      </c>
      <c r="M1" s="6" t="s">
        <v>19</v>
      </c>
      <c r="N1" s="6" t="s">
        <v>20</v>
      </c>
      <c r="O1" s="6" t="s">
        <v>21</v>
      </c>
      <c r="P1" s="6" t="s">
        <v>22</v>
      </c>
      <c r="Q1" s="6" t="s">
        <v>23</v>
      </c>
    </row>
    <row r="2" customFormat="false" ht="15" hidden="false" customHeight="false" outlineLevel="0" collapsed="false">
      <c r="A2" s="7" t="s">
        <v>24</v>
      </c>
      <c r="B2" s="7" t="s">
        <v>25</v>
      </c>
      <c r="C2" s="8" t="s">
        <v>26</v>
      </c>
      <c r="D2" s="9" t="n">
        <v>45383</v>
      </c>
      <c r="E2" s="9" t="n">
        <v>46689</v>
      </c>
      <c r="F2" s="10" t="n">
        <v>35</v>
      </c>
      <c r="G2" s="11" t="n">
        <f aca="false">IF(OR(D2="",E2="",E2&lt;=D2),"",MIN(100,MAX(0,(Parametros!$B$3-D2)/(E2-D2)*100)))</f>
        <v>66.9984686064318</v>
      </c>
      <c r="H2" s="12" t="n">
        <f aca="false">IF(G2="","",G2-F2)</f>
        <v>31.9984686064318</v>
      </c>
      <c r="I2" s="13" t="str">
        <f aca="false">IF(K2="Finalizado","Verde",IF(G2="","Amarillo",IF(H2&lt;=Parametros!$B$4,"Verde",IF(H2&lt;=Parametros!$B$5,"Amarillo","Rojo"))))</f>
        <v>Rojo</v>
      </c>
      <c r="J2" s="14" t="str">
        <f aca="false">IF(K2="Finalizado","Completado",IF(G2="","Sin fecha válida - revisar plazos",IF(H2&lt;=Parametros!$B$4,"En tiempo, según lo planificado",IF(H2&lt;=Parametros!$B$5,"Atraso leve - seguimiento cercano ("&amp;TEXT(H2,"0.0")&amp;" p.p.)","Atraso crítico - requiere intervención ("&amp;TEXT(H2,"0.0")&amp;" p.p.)"))))</f>
        <v>Atraso crítico - requiere intervención (32.0 p.p.)</v>
      </c>
      <c r="K2" s="7" t="s">
        <v>27</v>
      </c>
      <c r="L2" s="7" t="s">
        <v>28</v>
      </c>
      <c r="M2" s="7" t="s">
        <v>29</v>
      </c>
      <c r="N2" s="7" t="s">
        <v>30</v>
      </c>
      <c r="O2" s="13" t="n">
        <f aca="false">IF(AND(E2&lt;&gt;"",YEAR(E2)=YEAR(Parametros!$B$3),MONTH(E2)&gt;=10),1,0)</f>
        <v>0</v>
      </c>
      <c r="P2" s="13" t="n">
        <f aca="false">IF(AND(E2&lt;Parametros!$B$3,K2&lt;&gt;"Finalizado"),1,0)</f>
        <v>0</v>
      </c>
      <c r="Q2" s="13" t="n">
        <f aca="false">IF(AND(E2&gt;=Parametros!$B$3,E2&lt;=Parametros!$B$3+30,K2&lt;&gt;"Finalizado"),1,0)</f>
        <v>0</v>
      </c>
    </row>
    <row r="3" customFormat="false" ht="15" hidden="false" customHeight="false" outlineLevel="0" collapsed="false">
      <c r="A3" s="7" t="s">
        <v>31</v>
      </c>
      <c r="B3" s="7" t="s">
        <v>32</v>
      </c>
      <c r="C3" s="7" t="s">
        <v>33</v>
      </c>
      <c r="D3" s="9" t="n">
        <v>45658</v>
      </c>
      <c r="E3" s="9" t="n">
        <v>46387</v>
      </c>
      <c r="F3" s="10" t="n">
        <v>80</v>
      </c>
      <c r="G3" s="11" t="n">
        <f aca="false">IF(OR(D3="",E3="",E3&lt;=D3),"",MIN(100,MAX(0,(Parametros!$B$3-D3)/(E3-D3)*100)))</f>
        <v>82.3045267489712</v>
      </c>
      <c r="H3" s="12" t="n">
        <f aca="false">IF(G3="","",G3-F3)</f>
        <v>2.3045267489712</v>
      </c>
      <c r="I3" s="13" t="str">
        <f aca="false">IF(K3="Finalizado","Verde",IF(G3="","Amarillo",IF(H3&lt;=Parametros!$B$4,"Verde",IF(H3&lt;=Parametros!$B$5,"Amarillo","Rojo"))))</f>
        <v>Verde</v>
      </c>
      <c r="J3" s="14" t="str">
        <f aca="false">IF(K3="Finalizado","Completado",IF(G3="","Sin fecha válida - revisar plazos",IF(H3&lt;=Parametros!$B$4,"En tiempo, según lo planificado",IF(H3&lt;=Parametros!$B$5,"Atraso leve - seguimiento cercano ("&amp;TEXT(H3,"0.0")&amp;" p.p.)","Atraso crítico - requiere intervención ("&amp;TEXT(H3,"0.0")&amp;" p.p.)"))))</f>
        <v>En tiempo, según lo planificado</v>
      </c>
      <c r="K3" s="7" t="s">
        <v>27</v>
      </c>
      <c r="L3" s="7" t="s">
        <v>34</v>
      </c>
      <c r="M3" s="7" t="s">
        <v>29</v>
      </c>
      <c r="N3" s="7" t="s">
        <v>30</v>
      </c>
      <c r="O3" s="13" t="n">
        <f aca="false">IF(AND(E3&lt;&gt;"",YEAR(E3)=YEAR(Parametros!$B$3),MONTH(E3)&gt;=10),1,0)</f>
        <v>1</v>
      </c>
      <c r="P3" s="13" t="n">
        <f aca="false">IF(AND(E3&lt;Parametros!$B$3,K3&lt;&gt;"Finalizado"),1,0)</f>
        <v>0</v>
      </c>
      <c r="Q3" s="13" t="n">
        <f aca="false">IF(AND(E3&gt;=Parametros!$B$3,E3&lt;=Parametros!$B$3+30,K3&lt;&gt;"Finalizado"),1,0)</f>
        <v>0</v>
      </c>
    </row>
    <row r="4" customFormat="false" ht="15" hidden="false" customHeight="false" outlineLevel="0" collapsed="false">
      <c r="A4" s="7" t="s">
        <v>35</v>
      </c>
      <c r="B4" s="7" t="s">
        <v>36</v>
      </c>
      <c r="C4" s="8" t="s">
        <v>37</v>
      </c>
      <c r="D4" s="9" t="n">
        <v>45566</v>
      </c>
      <c r="E4" s="9" t="n">
        <v>46111</v>
      </c>
      <c r="F4" s="10" t="n">
        <v>100</v>
      </c>
      <c r="G4" s="11" t="n">
        <f aca="false">IF(OR(D4="",E4="",E4&lt;=D4),"",MIN(100,MAX(0,(Parametros!$B$3-D4)/(E4-D4)*100)))</f>
        <v>100</v>
      </c>
      <c r="H4" s="12" t="n">
        <f aca="false">IF(G4="","",G4-F4)</f>
        <v>0</v>
      </c>
      <c r="I4" s="13" t="str">
        <f aca="false">IF(K4="Finalizado","Verde",IF(G4="","Amarillo",IF(H4&lt;=Parametros!$B$4,"Verde",IF(H4&lt;=Parametros!$B$5,"Amarillo","Rojo"))))</f>
        <v>Verde</v>
      </c>
      <c r="J4" s="14" t="str">
        <f aca="false">IF(K4="Finalizado","Completado",IF(G4="","Sin fecha válida - revisar plazos",IF(H4&lt;=Parametros!$B$4,"En tiempo, según lo planificado",IF(H4&lt;=Parametros!$B$5,"Atraso leve - seguimiento cercano ("&amp;TEXT(H4,"0.0")&amp;" p.p.)","Atraso crítico - requiere intervención ("&amp;TEXT(H4,"0.0")&amp;" p.p.)"))))</f>
        <v>Completado</v>
      </c>
      <c r="K4" s="7" t="s">
        <v>38</v>
      </c>
      <c r="L4" s="7" t="s">
        <v>39</v>
      </c>
      <c r="M4" s="7" t="s">
        <v>29</v>
      </c>
      <c r="N4" s="7" t="s">
        <v>30</v>
      </c>
      <c r="O4" s="13" t="n">
        <f aca="false">IF(AND(E4&lt;&gt;"",YEAR(E4)=YEAR(Parametros!$B$3),MONTH(E4)&gt;=10),1,0)</f>
        <v>0</v>
      </c>
      <c r="P4" s="13" t="n">
        <f aca="false">IF(AND(E4&lt;Parametros!$B$3,K4&lt;&gt;"Finalizado"),1,0)</f>
        <v>0</v>
      </c>
      <c r="Q4" s="13" t="n">
        <f aca="false">IF(AND(E4&gt;=Parametros!$B$3,E4&lt;=Parametros!$B$3+30,K4&lt;&gt;"Finalizado"),1,0)</f>
        <v>0</v>
      </c>
    </row>
    <row r="5" customFormat="false" ht="15" hidden="false" customHeight="false" outlineLevel="0" collapsed="false">
      <c r="A5" s="7" t="s">
        <v>40</v>
      </c>
      <c r="B5" s="7" t="s">
        <v>41</v>
      </c>
      <c r="C5" s="8" t="s">
        <v>42</v>
      </c>
      <c r="D5" s="9" t="n">
        <v>45383</v>
      </c>
      <c r="E5" s="9" t="n">
        <v>46111</v>
      </c>
      <c r="F5" s="10" t="n">
        <v>100</v>
      </c>
      <c r="G5" s="11" t="n">
        <f aca="false">IF(OR(D5="",E5="",E5&lt;=D5),"",MIN(100,MAX(0,(Parametros!$B$3-D5)/(E5-D5)*100)))</f>
        <v>100</v>
      </c>
      <c r="H5" s="12" t="n">
        <f aca="false">IF(G5="","",G5-F5)</f>
        <v>0</v>
      </c>
      <c r="I5" s="13" t="str">
        <f aca="false">IF(K5="Finalizado","Verde",IF(G5="","Amarillo",IF(H5&lt;=Parametros!$B$4,"Verde",IF(H5&lt;=Parametros!$B$5,"Amarillo","Rojo"))))</f>
        <v>Verde</v>
      </c>
      <c r="J5" s="14" t="str">
        <f aca="false">IF(K5="Finalizado","Completado",IF(G5="","Sin fecha válida - revisar plazos",IF(H5&lt;=Parametros!$B$4,"En tiempo, según lo planificado",IF(H5&lt;=Parametros!$B$5,"Atraso leve - seguimiento cercano ("&amp;TEXT(H5,"0.0")&amp;" p.p.)","Atraso crítico - requiere intervención ("&amp;TEXT(H5,"0.0")&amp;" p.p.)"))))</f>
        <v>Completado</v>
      </c>
      <c r="K5" s="7" t="s">
        <v>38</v>
      </c>
      <c r="L5" s="7" t="s">
        <v>43</v>
      </c>
      <c r="M5" s="7" t="s">
        <v>29</v>
      </c>
      <c r="N5" s="7" t="s">
        <v>30</v>
      </c>
      <c r="O5" s="13" t="n">
        <f aca="false">IF(AND(E5&lt;&gt;"",YEAR(E5)=YEAR(Parametros!$B$3),MONTH(E5)&gt;=10),1,0)</f>
        <v>0</v>
      </c>
      <c r="P5" s="13" t="n">
        <f aca="false">IF(AND(E5&lt;Parametros!$B$3,K5&lt;&gt;"Finalizado"),1,0)</f>
        <v>0</v>
      </c>
      <c r="Q5" s="13" t="n">
        <f aca="false">IF(AND(E5&gt;=Parametros!$B$3,E5&lt;=Parametros!$B$3+30,K5&lt;&gt;"Finalizado"),1,0)</f>
        <v>0</v>
      </c>
    </row>
    <row r="6" customFormat="false" ht="15" hidden="false" customHeight="false" outlineLevel="0" collapsed="false">
      <c r="A6" s="7" t="s">
        <v>44</v>
      </c>
      <c r="B6" s="7" t="s">
        <v>45</v>
      </c>
      <c r="C6" s="7" t="s">
        <v>46</v>
      </c>
      <c r="D6" s="9" t="n">
        <v>45383</v>
      </c>
      <c r="E6" s="9" t="n">
        <v>46202</v>
      </c>
      <c r="F6" s="10" t="n">
        <v>89</v>
      </c>
      <c r="G6" s="11" t="n">
        <f aca="false">IF(OR(D6="",E6="",E6&lt;=D6),"",MIN(100,MAX(0,(Parametros!$B$3-D6)/(E6-D6)*100)))</f>
        <v>100</v>
      </c>
      <c r="H6" s="12" t="n">
        <f aca="false">IF(G6="","",G6-F6)</f>
        <v>11</v>
      </c>
      <c r="I6" s="13" t="str">
        <f aca="false">IF(K6="Finalizado","Verde",IF(G6="","Amarillo",IF(H6&lt;=Parametros!$B$4,"Verde",IF(H6&lt;=Parametros!$B$5,"Amarillo","Rojo"))))</f>
        <v>Amarillo</v>
      </c>
      <c r="J6" s="14" t="str">
        <f aca="false">IF(K6="Finalizado","Completado",IF(G6="","Sin fecha válida - revisar plazos",IF(H6&lt;=Parametros!$B$4,"En tiempo, según lo planificado",IF(H6&lt;=Parametros!$B$5,"Atraso leve - seguimiento cercano ("&amp;TEXT(H6,"0.0")&amp;" p.p.)","Atraso crítico - requiere intervención ("&amp;TEXT(H6,"0.0")&amp;" p.p.)"))))</f>
        <v>Atraso leve - seguimiento cercano (11.0 p.p.)</v>
      </c>
      <c r="K6" s="7" t="s">
        <v>27</v>
      </c>
      <c r="L6" s="7" t="s">
        <v>47</v>
      </c>
      <c r="M6" s="7" t="s">
        <v>29</v>
      </c>
      <c r="N6" s="7" t="s">
        <v>30</v>
      </c>
      <c r="O6" s="13" t="n">
        <f aca="false">IF(AND(E6&lt;&gt;"",YEAR(E6)=YEAR(Parametros!$B$3),MONTH(E6)&gt;=10),1,0)</f>
        <v>0</v>
      </c>
      <c r="P6" s="13" t="n">
        <f aca="false">IF(AND(E6&lt;Parametros!$B$3,K6&lt;&gt;"Finalizado"),1,0)</f>
        <v>1</v>
      </c>
      <c r="Q6" s="13" t="n">
        <f aca="false">IF(AND(E6&gt;=Parametros!$B$3,E6&lt;=Parametros!$B$3+30,K6&lt;&gt;"Finalizado"),1,0)</f>
        <v>0</v>
      </c>
    </row>
    <row r="7" customFormat="false" ht="15" hidden="false" customHeight="false" outlineLevel="0" collapsed="false">
      <c r="A7" s="7" t="s">
        <v>48</v>
      </c>
      <c r="B7" s="7" t="s">
        <v>49</v>
      </c>
      <c r="C7" s="7" t="s">
        <v>50</v>
      </c>
      <c r="D7" s="9" t="n">
        <v>46027</v>
      </c>
      <c r="E7" s="9" t="n">
        <v>46295</v>
      </c>
      <c r="F7" s="10" t="n">
        <v>90</v>
      </c>
      <c r="G7" s="11" t="n">
        <f aca="false">IF(OR(D7="",E7="",E7&lt;=D7),"",MIN(100,MAX(0,(Parametros!$B$3-D7)/(E7-D7)*100)))</f>
        <v>86.1940298507463</v>
      </c>
      <c r="H7" s="12" t="n">
        <f aca="false">IF(G7="","",G7-F7)</f>
        <v>-3.80597014925374</v>
      </c>
      <c r="I7" s="13" t="str">
        <f aca="false">IF(K7="Finalizado","Verde",IF(G7="","Amarillo",IF(H7&lt;=Parametros!$B$4,"Verde",IF(H7&lt;=Parametros!$B$5,"Amarillo","Rojo"))))</f>
        <v>Verde</v>
      </c>
      <c r="J7" s="14" t="str">
        <f aca="false">IF(K7="Finalizado","Completado",IF(G7="","Sin fecha válida - revisar plazos",IF(H7&lt;=Parametros!$B$4,"En tiempo, según lo planificado",IF(H7&lt;=Parametros!$B$5,"Atraso leve - seguimiento cercano ("&amp;TEXT(H7,"0.0")&amp;" p.p.)","Atraso crítico - requiere intervención ("&amp;TEXT(H7,"0.0")&amp;" p.p.)"))))</f>
        <v>En tiempo, según lo planificado</v>
      </c>
      <c r="K7" s="7" t="s">
        <v>27</v>
      </c>
      <c r="L7" s="7" t="s">
        <v>47</v>
      </c>
      <c r="M7" s="7" t="s">
        <v>29</v>
      </c>
      <c r="N7" s="7" t="s">
        <v>51</v>
      </c>
      <c r="O7" s="13" t="n">
        <f aca="false">IF(AND(E7&lt;&gt;"",YEAR(E7)=YEAR(Parametros!$B$3),MONTH(E7)&gt;=10),1,0)</f>
        <v>0</v>
      </c>
      <c r="P7" s="13" t="n">
        <f aca="false">IF(AND(E7&lt;Parametros!$B$3,K7&lt;&gt;"Finalizado"),1,0)</f>
        <v>0</v>
      </c>
      <c r="Q7" s="13" t="n">
        <f aca="false">IF(AND(E7&gt;=Parametros!$B$3,E7&lt;=Parametros!$B$3+30,K7&lt;&gt;"Finalizado"),1,0)</f>
        <v>0</v>
      </c>
    </row>
    <row r="8" customFormat="false" ht="15" hidden="false" customHeight="false" outlineLevel="0" collapsed="false">
      <c r="A8" s="7" t="s">
        <v>52</v>
      </c>
      <c r="B8" s="7" t="s">
        <v>53</v>
      </c>
      <c r="C8" s="7" t="s">
        <v>54</v>
      </c>
      <c r="D8" s="9" t="n">
        <v>46027</v>
      </c>
      <c r="E8" s="9" t="n">
        <v>46234</v>
      </c>
      <c r="F8" s="10" t="n">
        <v>100</v>
      </c>
      <c r="G8" s="11" t="n">
        <f aca="false">IF(OR(D8="",E8="",E8&lt;=D8),"",MIN(100,MAX(0,(Parametros!$B$3-D8)/(E8-D8)*100)))</f>
        <v>100</v>
      </c>
      <c r="H8" s="12" t="n">
        <f aca="false">IF(G8="","",G8-F8)</f>
        <v>0</v>
      </c>
      <c r="I8" s="13" t="str">
        <f aca="false">IF(K8="Finalizado","Verde",IF(G8="","Amarillo",IF(H8&lt;=Parametros!$B$4,"Verde",IF(H8&lt;=Parametros!$B$5,"Amarillo","Rojo"))))</f>
        <v>Verde</v>
      </c>
      <c r="J8" s="14" t="str">
        <f aca="false">IF(K8="Finalizado","Completado",IF(G8="","Sin fecha válida - revisar plazos",IF(H8&lt;=Parametros!$B$4,"En tiempo, según lo planificado",IF(H8&lt;=Parametros!$B$5,"Atraso leve - seguimiento cercano ("&amp;TEXT(H8,"0.0")&amp;" p.p.)","Atraso crítico - requiere intervención ("&amp;TEXT(H8,"0.0")&amp;" p.p.)"))))</f>
        <v>Completado</v>
      </c>
      <c r="K8" s="7" t="s">
        <v>38</v>
      </c>
      <c r="L8" s="7" t="s">
        <v>47</v>
      </c>
      <c r="M8" s="7" t="s">
        <v>29</v>
      </c>
      <c r="N8" s="7" t="s">
        <v>51</v>
      </c>
      <c r="O8" s="13" t="n">
        <f aca="false">IF(AND(E8&lt;&gt;"",YEAR(E8)=YEAR(Parametros!$B$3),MONTH(E8)&gt;=10),1,0)</f>
        <v>0</v>
      </c>
      <c r="P8" s="13" t="n">
        <f aca="false">IF(AND(E8&lt;Parametros!$B$3,K8&lt;&gt;"Finalizado"),1,0)</f>
        <v>0</v>
      </c>
      <c r="Q8" s="13" t="n">
        <f aca="false">IF(AND(E8&gt;=Parametros!$B$3,E8&lt;=Parametros!$B$3+30,K8&lt;&gt;"Finalizado"),1,0)</f>
        <v>0</v>
      </c>
    </row>
    <row r="9" customFormat="false" ht="15" hidden="false" customHeight="false" outlineLevel="0" collapsed="false">
      <c r="A9" s="7" t="s">
        <v>55</v>
      </c>
      <c r="B9" s="7" t="s">
        <v>56</v>
      </c>
      <c r="C9" s="7" t="s">
        <v>57</v>
      </c>
      <c r="D9" s="9" t="n">
        <v>46027</v>
      </c>
      <c r="E9" s="9" t="n">
        <v>46234</v>
      </c>
      <c r="F9" s="10" t="n">
        <v>100</v>
      </c>
      <c r="G9" s="11" t="n">
        <f aca="false">IF(OR(D9="",E9="",E9&lt;=D9),"",MIN(100,MAX(0,(Parametros!$B$3-D9)/(E9-D9)*100)))</f>
        <v>100</v>
      </c>
      <c r="H9" s="12" t="n">
        <f aca="false">IF(G9="","",G9-F9)</f>
        <v>0</v>
      </c>
      <c r="I9" s="13" t="str">
        <f aca="false">IF(K9="Finalizado","Verde",IF(G9="","Amarillo",IF(H9&lt;=Parametros!$B$4,"Verde",IF(H9&lt;=Parametros!$B$5,"Amarillo","Rojo"))))</f>
        <v>Verde</v>
      </c>
      <c r="J9" s="14" t="str">
        <f aca="false">IF(K9="Finalizado","Completado",IF(G9="","Sin fecha válida - revisar plazos",IF(H9&lt;=Parametros!$B$4,"En tiempo, según lo planificado",IF(H9&lt;=Parametros!$B$5,"Atraso leve - seguimiento cercano ("&amp;TEXT(H9,"0.0")&amp;" p.p.)","Atraso crítico - requiere intervención ("&amp;TEXT(H9,"0.0")&amp;" p.p.)"))))</f>
        <v>Completado</v>
      </c>
      <c r="K9" s="7" t="s">
        <v>38</v>
      </c>
      <c r="L9" s="7" t="s">
        <v>47</v>
      </c>
      <c r="M9" s="7" t="s">
        <v>29</v>
      </c>
      <c r="N9" s="7" t="s">
        <v>51</v>
      </c>
      <c r="O9" s="13" t="n">
        <f aca="false">IF(AND(E9&lt;&gt;"",YEAR(E9)=YEAR(Parametros!$B$3),MONTH(E9)&gt;=10),1,0)</f>
        <v>0</v>
      </c>
      <c r="P9" s="13" t="n">
        <f aca="false">IF(AND(E9&lt;Parametros!$B$3,K9&lt;&gt;"Finalizado"),1,0)</f>
        <v>0</v>
      </c>
      <c r="Q9" s="13" t="n">
        <f aca="false">IF(AND(E9&gt;=Parametros!$B$3,E9&lt;=Parametros!$B$3+30,K9&lt;&gt;"Finalizado"),1,0)</f>
        <v>0</v>
      </c>
    </row>
    <row r="10" customFormat="false" ht="15" hidden="false" customHeight="false" outlineLevel="0" collapsed="false">
      <c r="A10" s="7" t="s">
        <v>58</v>
      </c>
      <c r="B10" s="7" t="s">
        <v>59</v>
      </c>
      <c r="C10" s="8" t="s">
        <v>60</v>
      </c>
      <c r="D10" s="9" t="n">
        <v>45719</v>
      </c>
      <c r="E10" s="9" t="n">
        <v>46568</v>
      </c>
      <c r="F10" s="10" t="n">
        <v>58</v>
      </c>
      <c r="G10" s="11" t="n">
        <f aca="false">IF(OR(D10="",E10="",E10&lt;=D10),"",MIN(100,MAX(0,(Parametros!$B$3-D10)/(E10-D10)*100)))</f>
        <v>63.4864546525324</v>
      </c>
      <c r="H10" s="12" t="n">
        <f aca="false">IF(G10="","",G10-F10)</f>
        <v>5.48645465253239</v>
      </c>
      <c r="I10" s="13" t="str">
        <f aca="false">IF(K10="Finalizado","Verde",IF(G10="","Amarillo",IF(H10&lt;=Parametros!$B$4,"Verde",IF(H10&lt;=Parametros!$B$5,"Amarillo","Rojo"))))</f>
        <v>Amarillo</v>
      </c>
      <c r="J10" s="14" t="str">
        <f aca="false">IF(K10="Finalizado","Completado",IF(G10="","Sin fecha válida - revisar plazos",IF(H10&lt;=Parametros!$B$4,"En tiempo, según lo planificado",IF(H10&lt;=Parametros!$B$5,"Atraso leve - seguimiento cercano ("&amp;TEXT(H10,"0.0")&amp;" p.p.)","Atraso crítico - requiere intervención ("&amp;TEXT(H10,"0.0")&amp;" p.p.)"))))</f>
        <v>Atraso leve - seguimiento cercano (5.5 p.p.)</v>
      </c>
      <c r="K10" s="7" t="s">
        <v>27</v>
      </c>
      <c r="L10" s="7" t="s">
        <v>61</v>
      </c>
      <c r="M10" s="7" t="s">
        <v>29</v>
      </c>
      <c r="N10" s="7" t="s">
        <v>51</v>
      </c>
      <c r="O10" s="13" t="n">
        <f aca="false">IF(AND(E10&lt;&gt;"",YEAR(E10)=YEAR(Parametros!$B$3),MONTH(E10)&gt;=10),1,0)</f>
        <v>0</v>
      </c>
      <c r="P10" s="13" t="n">
        <f aca="false">IF(AND(E10&lt;Parametros!$B$3,K10&lt;&gt;"Finalizado"),1,0)</f>
        <v>0</v>
      </c>
      <c r="Q10" s="13" t="n">
        <f aca="false">IF(AND(E10&gt;=Parametros!$B$3,E10&lt;=Parametros!$B$3+30,K10&lt;&gt;"Finalizado"),1,0)</f>
        <v>0</v>
      </c>
    </row>
    <row r="11" customFormat="false" ht="15" hidden="false" customHeight="false" outlineLevel="0" collapsed="false">
      <c r="A11" s="7" t="s">
        <v>62</v>
      </c>
      <c r="B11" s="7" t="s">
        <v>63</v>
      </c>
      <c r="C11" s="7" t="s">
        <v>64</v>
      </c>
      <c r="D11" s="9" t="n">
        <v>45366</v>
      </c>
      <c r="E11" s="9" t="n">
        <v>46965</v>
      </c>
      <c r="F11" s="10" t="n">
        <v>60</v>
      </c>
      <c r="G11" s="11" t="n">
        <f aca="false">IF(OR(D11="",E11="",E11&lt;=D11),"",MIN(100,MAX(0,(Parametros!$B$3-D11)/(E11-D11)*100)))</f>
        <v>55.7848655409631</v>
      </c>
      <c r="H11" s="12" t="n">
        <f aca="false">IF(G11="","",G11-F11)</f>
        <v>-4.2151344590369</v>
      </c>
      <c r="I11" s="13" t="str">
        <f aca="false">IF(K11="Finalizado","Verde",IF(G11="","Amarillo",IF(H11&lt;=Parametros!$B$4,"Verde",IF(H11&lt;=Parametros!$B$5,"Amarillo","Rojo"))))</f>
        <v>Verde</v>
      </c>
      <c r="J11" s="14" t="str">
        <f aca="false">IF(K11="Finalizado","Completado",IF(G11="","Sin fecha válida - revisar plazos",IF(H11&lt;=Parametros!$B$4,"En tiempo, según lo planificado",IF(H11&lt;=Parametros!$B$5,"Atraso leve - seguimiento cercano ("&amp;TEXT(H11,"0.0")&amp;" p.p.)","Atraso crítico - requiere intervención ("&amp;TEXT(H11,"0.0")&amp;" p.p.)"))))</f>
        <v>En tiempo, según lo planificado</v>
      </c>
      <c r="K11" s="7" t="s">
        <v>27</v>
      </c>
      <c r="L11" s="7" t="s">
        <v>65</v>
      </c>
      <c r="M11" s="7" t="s">
        <v>29</v>
      </c>
      <c r="N11" s="7" t="s">
        <v>30</v>
      </c>
      <c r="O11" s="13" t="n">
        <f aca="false">IF(AND(E11&lt;&gt;"",YEAR(E11)=YEAR(Parametros!$B$3),MONTH(E11)&gt;=10),1,0)</f>
        <v>0</v>
      </c>
      <c r="P11" s="13" t="n">
        <f aca="false">IF(AND(E11&lt;Parametros!$B$3,K11&lt;&gt;"Finalizado"),1,0)</f>
        <v>0</v>
      </c>
      <c r="Q11" s="13" t="n">
        <f aca="false">IF(AND(E11&gt;=Parametros!$B$3,E11&lt;=Parametros!$B$3+30,K11&lt;&gt;"Finalizado"),1,0)</f>
        <v>0</v>
      </c>
    </row>
    <row r="12" customFormat="false" ht="15" hidden="false" customHeight="false" outlineLevel="0" collapsed="false">
      <c r="A12" s="7" t="s">
        <v>66</v>
      </c>
      <c r="B12" s="7" t="s">
        <v>67</v>
      </c>
      <c r="C12" s="7" t="s">
        <v>68</v>
      </c>
      <c r="D12" s="9" t="n">
        <v>46037</v>
      </c>
      <c r="E12" s="9" t="n">
        <v>46387</v>
      </c>
      <c r="F12" s="10" t="n">
        <v>100</v>
      </c>
      <c r="G12" s="11" t="n">
        <f aca="false">IF(OR(D12="",E12="",E12&lt;=D12),"",MIN(100,MAX(0,(Parametros!$B$3-D12)/(E12-D12)*100)))</f>
        <v>63.1428571428571</v>
      </c>
      <c r="H12" s="12" t="n">
        <f aca="false">IF(G12="","",G12-F12)</f>
        <v>-36.8571428571429</v>
      </c>
      <c r="I12" s="13" t="str">
        <f aca="false">IF(K12="Finalizado","Verde",IF(G12="","Amarillo",IF(H12&lt;=Parametros!$B$4,"Verde",IF(H12&lt;=Parametros!$B$5,"Amarillo","Rojo"))))</f>
        <v>Verde</v>
      </c>
      <c r="J12" s="14" t="str">
        <f aca="false">IF(K12="Finalizado","Completado",IF(G12="","Sin fecha válida - revisar plazos",IF(H12&lt;=Parametros!$B$4,"En tiempo, según lo planificado",IF(H12&lt;=Parametros!$B$5,"Atraso leve - seguimiento cercano ("&amp;TEXT(H12,"0.0")&amp;" p.p.)","Atraso crítico - requiere intervención ("&amp;TEXT(H12,"0.0")&amp;" p.p.)"))))</f>
        <v>Completado</v>
      </c>
      <c r="K12" s="7" t="s">
        <v>38</v>
      </c>
      <c r="L12" s="7" t="s">
        <v>69</v>
      </c>
      <c r="M12" s="7" t="s">
        <v>29</v>
      </c>
      <c r="N12" s="7" t="s">
        <v>30</v>
      </c>
      <c r="O12" s="13" t="n">
        <f aca="false">IF(AND(E12&lt;&gt;"",YEAR(E12)=YEAR(Parametros!$B$3),MONTH(E12)&gt;=10),1,0)</f>
        <v>1</v>
      </c>
      <c r="P12" s="13" t="n">
        <f aca="false">IF(AND(E12&lt;Parametros!$B$3,K12&lt;&gt;"Finalizado"),1,0)</f>
        <v>0</v>
      </c>
      <c r="Q12" s="13" t="n">
        <f aca="false">IF(AND(E12&gt;=Parametros!$B$3,E12&lt;=Parametros!$B$3+30,K12&lt;&gt;"Finalizado"),1,0)</f>
        <v>0</v>
      </c>
    </row>
    <row r="13" customFormat="false" ht="15" hidden="false" customHeight="false" outlineLevel="0" collapsed="false">
      <c r="A13" s="7" t="s">
        <v>70</v>
      </c>
      <c r="B13" s="7" t="s">
        <v>71</v>
      </c>
      <c r="C13" s="7" t="s">
        <v>72</v>
      </c>
      <c r="D13" s="9" t="n">
        <v>46037</v>
      </c>
      <c r="E13" s="9" t="n">
        <v>46387</v>
      </c>
      <c r="F13" s="10" t="n">
        <v>10</v>
      </c>
      <c r="G13" s="11" t="n">
        <f aca="false">IF(OR(D13="",E13="",E13&lt;=D13),"",MIN(100,MAX(0,(Parametros!$B$3-D13)/(E13-D13)*100)))</f>
        <v>63.1428571428571</v>
      </c>
      <c r="H13" s="12" t="n">
        <f aca="false">IF(G13="","",G13-F13)</f>
        <v>53.1428571428571</v>
      </c>
      <c r="I13" s="13" t="str">
        <f aca="false">IF(K13="Finalizado","Verde",IF(G13="","Amarillo",IF(H13&lt;=Parametros!$B$4,"Verde",IF(H13&lt;=Parametros!$B$5,"Amarillo","Rojo"))))</f>
        <v>Rojo</v>
      </c>
      <c r="J13" s="14" t="str">
        <f aca="false">IF(K13="Finalizado","Completado",IF(G13="","Sin fecha válida - revisar plazos",IF(H13&lt;=Parametros!$B$4,"En tiempo, según lo planificado",IF(H13&lt;=Parametros!$B$5,"Atraso leve - seguimiento cercano ("&amp;TEXT(H13,"0.0")&amp;" p.p.)","Atraso crítico - requiere intervención ("&amp;TEXT(H13,"0.0")&amp;" p.p.)"))))</f>
        <v>Atraso crítico - requiere intervención (53.1 p.p.)</v>
      </c>
      <c r="K13" s="7" t="s">
        <v>73</v>
      </c>
      <c r="L13" s="7" t="s">
        <v>69</v>
      </c>
      <c r="M13" s="7" t="s">
        <v>29</v>
      </c>
      <c r="N13" s="7" t="s">
        <v>30</v>
      </c>
      <c r="O13" s="13" t="n">
        <f aca="false">IF(AND(E13&lt;&gt;"",YEAR(E13)=YEAR(Parametros!$B$3),MONTH(E13)&gt;=10),1,0)</f>
        <v>1</v>
      </c>
      <c r="P13" s="13" t="n">
        <f aca="false">IF(AND(E13&lt;Parametros!$B$3,K13&lt;&gt;"Finalizado"),1,0)</f>
        <v>0</v>
      </c>
      <c r="Q13" s="13" t="n">
        <f aca="false">IF(AND(E13&gt;=Parametros!$B$3,E13&lt;=Parametros!$B$3+30,K13&lt;&gt;"Finalizado"),1,0)</f>
        <v>0</v>
      </c>
    </row>
    <row r="14" customFormat="false" ht="15" hidden="false" customHeight="false" outlineLevel="0" collapsed="false">
      <c r="A14" s="7" t="s">
        <v>74</v>
      </c>
      <c r="B14" s="7" t="s">
        <v>75</v>
      </c>
      <c r="C14" s="8" t="s">
        <v>76</v>
      </c>
      <c r="D14" s="9" t="n">
        <v>45658</v>
      </c>
      <c r="E14" s="9" t="n">
        <v>46111</v>
      </c>
      <c r="F14" s="10" t="n">
        <v>98</v>
      </c>
      <c r="G14" s="11" t="n">
        <f aca="false">IF(OR(D14="",E14="",E14&lt;=D14),"",MIN(100,MAX(0,(Parametros!$B$3-D14)/(E14-D14)*100)))</f>
        <v>100</v>
      </c>
      <c r="H14" s="12" t="n">
        <f aca="false">IF(G14="","",G14-F14)</f>
        <v>2</v>
      </c>
      <c r="I14" s="13" t="str">
        <f aca="false">IF(K14="Finalizado","Verde",IF(G14="","Amarillo",IF(H14&lt;=Parametros!$B$4,"Verde",IF(H14&lt;=Parametros!$B$5,"Amarillo","Rojo"))))</f>
        <v>Verde</v>
      </c>
      <c r="J14" s="14" t="str">
        <f aca="false">IF(K14="Finalizado","Completado",IF(G14="","Sin fecha válida - revisar plazos",IF(H14&lt;=Parametros!$B$4,"En tiempo, según lo planificado",IF(H14&lt;=Parametros!$B$5,"Atraso leve - seguimiento cercano ("&amp;TEXT(H14,"0.0")&amp;" p.p.)","Atraso crítico - requiere intervención ("&amp;TEXT(H14,"0.0")&amp;" p.p.)"))))</f>
        <v>En tiempo, según lo planificado</v>
      </c>
      <c r="K14" s="7" t="s">
        <v>27</v>
      </c>
      <c r="L14" s="7" t="s">
        <v>77</v>
      </c>
      <c r="M14" s="7" t="s">
        <v>29</v>
      </c>
      <c r="N14" s="7" t="s">
        <v>51</v>
      </c>
      <c r="O14" s="13" t="n">
        <f aca="false">IF(AND(E14&lt;&gt;"",YEAR(E14)=YEAR(Parametros!$B$3),MONTH(E14)&gt;=10),1,0)</f>
        <v>0</v>
      </c>
      <c r="P14" s="13" t="n">
        <f aca="false">IF(AND(E14&lt;Parametros!$B$3,K14&lt;&gt;"Finalizado"),1,0)</f>
        <v>1</v>
      </c>
      <c r="Q14" s="13" t="n">
        <f aca="false">IF(AND(E14&gt;=Parametros!$B$3,E14&lt;=Parametros!$B$3+30,K14&lt;&gt;"Finalizado"),1,0)</f>
        <v>0</v>
      </c>
    </row>
    <row r="15" customFormat="false" ht="15" hidden="false" customHeight="false" outlineLevel="0" collapsed="false">
      <c r="A15" s="7" t="s">
        <v>78</v>
      </c>
      <c r="B15" s="7" t="s">
        <v>79</v>
      </c>
      <c r="C15" s="7" t="s">
        <v>80</v>
      </c>
      <c r="D15" s="9" t="n">
        <v>46023</v>
      </c>
      <c r="E15" s="9" t="n">
        <v>46173</v>
      </c>
      <c r="F15" s="10" t="n">
        <v>100</v>
      </c>
      <c r="G15" s="11" t="n">
        <f aca="false">IF(OR(D15="",E15="",E15&lt;=D15),"",MIN(100,MAX(0,(Parametros!$B$3-D15)/(E15-D15)*100)))</f>
        <v>100</v>
      </c>
      <c r="H15" s="12" t="n">
        <f aca="false">IF(G15="","",G15-F15)</f>
        <v>0</v>
      </c>
      <c r="I15" s="13" t="str">
        <f aca="false">IF(K15="Finalizado","Verde",IF(G15="","Amarillo",IF(H15&lt;=Parametros!$B$4,"Verde",IF(H15&lt;=Parametros!$B$5,"Amarillo","Rojo"))))</f>
        <v>Verde</v>
      </c>
      <c r="J15" s="14" t="str">
        <f aca="false">IF(K15="Finalizado","Completado",IF(G15="","Sin fecha válida - revisar plazos",IF(H15&lt;=Parametros!$B$4,"En tiempo, según lo planificado",IF(H15&lt;=Parametros!$B$5,"Atraso leve - seguimiento cercano ("&amp;TEXT(H15,"0.0")&amp;" p.p.)","Atraso crítico - requiere intervención ("&amp;TEXT(H15,"0.0")&amp;" p.p.)"))))</f>
        <v>Completado</v>
      </c>
      <c r="K15" s="7" t="s">
        <v>38</v>
      </c>
      <c r="L15" s="7"/>
      <c r="M15" s="7" t="s">
        <v>81</v>
      </c>
      <c r="N15" s="7" t="s">
        <v>51</v>
      </c>
      <c r="O15" s="13" t="n">
        <f aca="false">IF(AND(E15&lt;&gt;"",YEAR(E15)=YEAR(Parametros!$B$3),MONTH(E15)&gt;=10),1,0)</f>
        <v>0</v>
      </c>
      <c r="P15" s="13" t="n">
        <f aca="false">IF(AND(E15&lt;Parametros!$B$3,K15&lt;&gt;"Finalizado"),1,0)</f>
        <v>0</v>
      </c>
      <c r="Q15" s="13" t="n">
        <f aca="false">IF(AND(E15&gt;=Parametros!$B$3,E15&lt;=Parametros!$B$3+30,K15&lt;&gt;"Finalizado"),1,0)</f>
        <v>0</v>
      </c>
    </row>
    <row r="16" customFormat="false" ht="15" hidden="false" customHeight="false" outlineLevel="0" collapsed="false">
      <c r="A16" s="7" t="s">
        <v>78</v>
      </c>
      <c r="B16" s="7" t="s">
        <v>79</v>
      </c>
      <c r="C16" s="7" t="s">
        <v>82</v>
      </c>
      <c r="D16" s="9" t="n">
        <v>46174</v>
      </c>
      <c r="E16" s="9" t="n">
        <v>46387</v>
      </c>
      <c r="F16" s="10" t="n">
        <v>50</v>
      </c>
      <c r="G16" s="11" t="n">
        <f aca="false">IF(OR(D16="",E16="",E16&lt;=D16),"",MIN(100,MAX(0,(Parametros!$B$3-D16)/(E16-D16)*100)))</f>
        <v>39.4366197183099</v>
      </c>
      <c r="H16" s="12" t="n">
        <f aca="false">IF(G16="","",G16-F16)</f>
        <v>-10.5633802816901</v>
      </c>
      <c r="I16" s="13" t="str">
        <f aca="false">IF(K16="Finalizado","Verde",IF(G16="","Amarillo",IF(H16&lt;=Parametros!$B$4,"Verde",IF(H16&lt;=Parametros!$B$5,"Amarillo","Rojo"))))</f>
        <v>Verde</v>
      </c>
      <c r="J16" s="14" t="str">
        <f aca="false">IF(K16="Finalizado","Completado",IF(G16="","Sin fecha válida - revisar plazos",IF(H16&lt;=Parametros!$B$4,"En tiempo, según lo planificado",IF(H16&lt;=Parametros!$B$5,"Atraso leve - seguimiento cercano ("&amp;TEXT(H16,"0.0")&amp;" p.p.)","Atraso crítico - requiere intervención ("&amp;TEXT(H16,"0.0")&amp;" p.p.)"))))</f>
        <v>En tiempo, según lo planificado</v>
      </c>
      <c r="K16" s="7" t="s">
        <v>27</v>
      </c>
      <c r="L16" s="7"/>
      <c r="M16" s="7" t="s">
        <v>81</v>
      </c>
      <c r="N16" s="7" t="s">
        <v>51</v>
      </c>
      <c r="O16" s="13" t="n">
        <f aca="false">IF(AND(E16&lt;&gt;"",YEAR(E16)=YEAR(Parametros!$B$3),MONTH(E16)&gt;=10),1,0)</f>
        <v>1</v>
      </c>
      <c r="P16" s="13" t="n">
        <f aca="false">IF(AND(E16&lt;Parametros!$B$3,K16&lt;&gt;"Finalizado"),1,0)</f>
        <v>0</v>
      </c>
      <c r="Q16" s="13" t="n">
        <f aca="false">IF(AND(E16&gt;=Parametros!$B$3,E16&lt;=Parametros!$B$3+30,K16&lt;&gt;"Finalizado"),1,0)</f>
        <v>0</v>
      </c>
    </row>
    <row r="17" customFormat="false" ht="15" hidden="false" customHeight="false" outlineLevel="0" collapsed="false">
      <c r="A17" s="7" t="s">
        <v>83</v>
      </c>
      <c r="B17" s="7" t="s">
        <v>84</v>
      </c>
      <c r="C17" s="7" t="s">
        <v>85</v>
      </c>
      <c r="D17" s="9" t="n">
        <v>46023</v>
      </c>
      <c r="E17" s="9" t="n">
        <v>46142</v>
      </c>
      <c r="F17" s="10" t="n">
        <v>100</v>
      </c>
      <c r="G17" s="11" t="n">
        <f aca="false">IF(OR(D17="",E17="",E17&lt;=D17),"",MIN(100,MAX(0,(Parametros!$B$3-D17)/(E17-D17)*100)))</f>
        <v>100</v>
      </c>
      <c r="H17" s="12" t="n">
        <f aca="false">IF(G17="","",G17-F17)</f>
        <v>0</v>
      </c>
      <c r="I17" s="13" t="str">
        <f aca="false">IF(K17="Finalizado","Verde",IF(G17="","Amarillo",IF(H17&lt;=Parametros!$B$4,"Verde",IF(H17&lt;=Parametros!$B$5,"Amarillo","Rojo"))))</f>
        <v>Verde</v>
      </c>
      <c r="J17" s="14" t="str">
        <f aca="false">IF(K17="Finalizado","Completado",IF(G17="","Sin fecha válida - revisar plazos",IF(H17&lt;=Parametros!$B$4,"En tiempo, según lo planificado",IF(H17&lt;=Parametros!$B$5,"Atraso leve - seguimiento cercano ("&amp;TEXT(H17,"0.0")&amp;" p.p.)","Atraso crítico - requiere intervención ("&amp;TEXT(H17,"0.0")&amp;" p.p.)"))))</f>
        <v>Completado</v>
      </c>
      <c r="K17" s="7" t="s">
        <v>38</v>
      </c>
      <c r="L17" s="7"/>
      <c r="M17" s="7" t="s">
        <v>81</v>
      </c>
      <c r="N17" s="7" t="s">
        <v>51</v>
      </c>
      <c r="O17" s="13" t="n">
        <f aca="false">IF(AND(E17&lt;&gt;"",YEAR(E17)=YEAR(Parametros!$B$3),MONTH(E17)&gt;=10),1,0)</f>
        <v>0</v>
      </c>
      <c r="P17" s="13" t="n">
        <f aca="false">IF(AND(E17&lt;Parametros!$B$3,K17&lt;&gt;"Finalizado"),1,0)</f>
        <v>0</v>
      </c>
      <c r="Q17" s="13" t="n">
        <f aca="false">IF(AND(E17&gt;=Parametros!$B$3,E17&lt;=Parametros!$B$3+30,K17&lt;&gt;"Finalizado"),1,0)</f>
        <v>0</v>
      </c>
    </row>
    <row r="18" customFormat="false" ht="15" hidden="false" customHeight="false" outlineLevel="0" collapsed="false">
      <c r="A18" s="7" t="s">
        <v>83</v>
      </c>
      <c r="B18" s="7" t="s">
        <v>84</v>
      </c>
      <c r="C18" s="7" t="s">
        <v>86</v>
      </c>
      <c r="D18" s="9" t="n">
        <v>46143</v>
      </c>
      <c r="E18" s="9" t="n">
        <v>46387</v>
      </c>
      <c r="F18" s="10" t="n">
        <v>25</v>
      </c>
      <c r="G18" s="11" t="n">
        <f aca="false">IF(OR(D18="",E18="",E18&lt;=D18),"",MIN(100,MAX(0,(Parametros!$B$3-D18)/(E18-D18)*100)))</f>
        <v>47.1311475409836</v>
      </c>
      <c r="H18" s="12" t="n">
        <f aca="false">IF(G18="","",G18-F18)</f>
        <v>22.1311475409836</v>
      </c>
      <c r="I18" s="13" t="str">
        <f aca="false">IF(K18="Finalizado","Verde",IF(G18="","Amarillo",IF(H18&lt;=Parametros!$B$4,"Verde",IF(H18&lt;=Parametros!$B$5,"Amarillo","Rojo"))))</f>
        <v>Rojo</v>
      </c>
      <c r="J18" s="14" t="str">
        <f aca="false">IF(K18="Finalizado","Completado",IF(G18="","Sin fecha válida - revisar plazos",IF(H18&lt;=Parametros!$B$4,"En tiempo, según lo planificado",IF(H18&lt;=Parametros!$B$5,"Atraso leve - seguimiento cercano ("&amp;TEXT(H18,"0.0")&amp;" p.p.)","Atraso crítico - requiere intervención ("&amp;TEXT(H18,"0.0")&amp;" p.p.)"))))</f>
        <v>Atraso crítico - requiere intervención (22.1 p.p.)</v>
      </c>
      <c r="K18" s="7" t="s">
        <v>27</v>
      </c>
      <c r="L18" s="7"/>
      <c r="M18" s="7" t="s">
        <v>81</v>
      </c>
      <c r="N18" s="7" t="s">
        <v>51</v>
      </c>
      <c r="O18" s="13" t="n">
        <f aca="false">IF(AND(E18&lt;&gt;"",YEAR(E18)=YEAR(Parametros!$B$3),MONTH(E18)&gt;=10),1,0)</f>
        <v>1</v>
      </c>
      <c r="P18" s="13" t="n">
        <f aca="false">IF(AND(E18&lt;Parametros!$B$3,K18&lt;&gt;"Finalizado"),1,0)</f>
        <v>0</v>
      </c>
      <c r="Q18" s="13" t="n">
        <f aca="false">IF(AND(E18&gt;=Parametros!$B$3,E18&lt;=Parametros!$B$3+30,K18&lt;&gt;"Finalizado"),1,0)</f>
        <v>0</v>
      </c>
    </row>
    <row r="19" customFormat="false" ht="15" hidden="false" customHeight="false" outlineLevel="0" collapsed="false">
      <c r="A19" s="7" t="s">
        <v>83</v>
      </c>
      <c r="B19" s="7" t="s">
        <v>84</v>
      </c>
      <c r="C19" s="7" t="s">
        <v>87</v>
      </c>
      <c r="D19" s="9" t="n">
        <v>46023</v>
      </c>
      <c r="E19" s="9" t="n">
        <v>46387</v>
      </c>
      <c r="F19" s="10" t="n">
        <v>62.5</v>
      </c>
      <c r="G19" s="11" t="n">
        <f aca="false">IF(OR(D19="",E19="",E19&lt;=D19),"",MIN(100,MAX(0,(Parametros!$B$3-D19)/(E19-D19)*100)))</f>
        <v>64.5604395604396</v>
      </c>
      <c r="H19" s="12" t="n">
        <f aca="false">IF(G19="","",G19-F19)</f>
        <v>2.06043956043956</v>
      </c>
      <c r="I19" s="13" t="str">
        <f aca="false">IF(K19="Finalizado","Verde",IF(G19="","Amarillo",IF(H19&lt;=Parametros!$B$4,"Verde",IF(H19&lt;=Parametros!$B$5,"Amarillo","Rojo"))))</f>
        <v>Verde</v>
      </c>
      <c r="J19" s="14" t="str">
        <f aca="false">IF(K19="Finalizado","Completado",IF(G19="","Sin fecha válida - revisar plazos",IF(H19&lt;=Parametros!$B$4,"En tiempo, según lo planificado",IF(H19&lt;=Parametros!$B$5,"Atraso leve - seguimiento cercano ("&amp;TEXT(H19,"0.0")&amp;" p.p.)","Atraso crítico - requiere intervención ("&amp;TEXT(H19,"0.0")&amp;" p.p.)"))))</f>
        <v>En tiempo, según lo planificado</v>
      </c>
      <c r="K19" s="7" t="s">
        <v>27</v>
      </c>
      <c r="L19" s="7" t="s">
        <v>88</v>
      </c>
      <c r="M19" s="7" t="s">
        <v>81</v>
      </c>
      <c r="N19" s="7" t="s">
        <v>51</v>
      </c>
      <c r="O19" s="13" t="n">
        <f aca="false">IF(AND(E19&lt;&gt;"",YEAR(E19)=YEAR(Parametros!$B$3),MONTH(E19)&gt;=10),1,0)</f>
        <v>1</v>
      </c>
      <c r="P19" s="13" t="n">
        <f aca="false">IF(AND(E19&lt;Parametros!$B$3,K19&lt;&gt;"Finalizado"),1,0)</f>
        <v>0</v>
      </c>
      <c r="Q19" s="13" t="n">
        <f aca="false">IF(AND(E19&gt;=Parametros!$B$3,E19&lt;=Parametros!$B$3+30,K19&lt;&gt;"Finalizado"),1,0)</f>
        <v>0</v>
      </c>
    </row>
    <row r="20" customFormat="false" ht="15" hidden="false" customHeight="false" outlineLevel="0" collapsed="false">
      <c r="A20" s="7" t="s">
        <v>89</v>
      </c>
      <c r="B20" s="7" t="s">
        <v>90</v>
      </c>
      <c r="C20" s="7" t="s">
        <v>91</v>
      </c>
      <c r="D20" s="9" t="n">
        <v>46023</v>
      </c>
      <c r="E20" s="9" t="n">
        <v>46203</v>
      </c>
      <c r="F20" s="10" t="n">
        <v>100</v>
      </c>
      <c r="G20" s="11" t="n">
        <f aca="false">IF(OR(D20="",E20="",E20&lt;=D20),"",MIN(100,MAX(0,(Parametros!$B$3-D20)/(E20-D20)*100)))</f>
        <v>100</v>
      </c>
      <c r="H20" s="12" t="n">
        <f aca="false">IF(G20="","",G20-F20)</f>
        <v>0</v>
      </c>
      <c r="I20" s="13" t="str">
        <f aca="false">IF(K20="Finalizado","Verde",IF(G20="","Amarillo",IF(H20&lt;=Parametros!$B$4,"Verde",IF(H20&lt;=Parametros!$B$5,"Amarillo","Rojo"))))</f>
        <v>Verde</v>
      </c>
      <c r="J20" s="14" t="str">
        <f aca="false">IF(K20="Finalizado","Completado",IF(G20="","Sin fecha válida - revisar plazos",IF(H20&lt;=Parametros!$B$4,"En tiempo, según lo planificado",IF(H20&lt;=Parametros!$B$5,"Atraso leve - seguimiento cercano ("&amp;TEXT(H20,"0.0")&amp;" p.p.)","Atraso crítico - requiere intervención ("&amp;TEXT(H20,"0.0")&amp;" p.p.)"))))</f>
        <v>Completado</v>
      </c>
      <c r="K20" s="7" t="s">
        <v>38</v>
      </c>
      <c r="L20" s="7"/>
      <c r="M20" s="7" t="s">
        <v>81</v>
      </c>
      <c r="N20" s="7" t="s">
        <v>51</v>
      </c>
      <c r="O20" s="13" t="n">
        <f aca="false">IF(AND(E20&lt;&gt;"",YEAR(E20)=YEAR(Parametros!$B$3),MONTH(E20)&gt;=10),1,0)</f>
        <v>0</v>
      </c>
      <c r="P20" s="13" t="n">
        <f aca="false">IF(AND(E20&lt;Parametros!$B$3,K20&lt;&gt;"Finalizado"),1,0)</f>
        <v>0</v>
      </c>
      <c r="Q20" s="13" t="n">
        <f aca="false">IF(AND(E20&gt;=Parametros!$B$3,E20&lt;=Parametros!$B$3+30,K20&lt;&gt;"Finalizado"),1,0)</f>
        <v>0</v>
      </c>
    </row>
    <row r="21" customFormat="false" ht="15" hidden="false" customHeight="false" outlineLevel="0" collapsed="false">
      <c r="A21" s="7" t="s">
        <v>89</v>
      </c>
      <c r="B21" s="7" t="s">
        <v>90</v>
      </c>
      <c r="C21" s="7" t="s">
        <v>92</v>
      </c>
      <c r="D21" s="9" t="n">
        <v>46204</v>
      </c>
      <c r="E21" s="9" t="n">
        <v>46387</v>
      </c>
      <c r="F21" s="10" t="n">
        <v>15</v>
      </c>
      <c r="G21" s="11" t="n">
        <f aca="false">IF(OR(D21="",E21="",E21&lt;=D21),"",MIN(100,MAX(0,(Parametros!$B$3-D21)/(E21-D21)*100)))</f>
        <v>29.5081967213115</v>
      </c>
      <c r="H21" s="12" t="n">
        <f aca="false">IF(G21="","",G21-F21)</f>
        <v>14.5081967213115</v>
      </c>
      <c r="I21" s="13" t="str">
        <f aca="false">IF(K21="Finalizado","Verde",IF(G21="","Amarillo",IF(H21&lt;=Parametros!$B$4,"Verde",IF(H21&lt;=Parametros!$B$5,"Amarillo","Rojo"))))</f>
        <v>Amarillo</v>
      </c>
      <c r="J21" s="14" t="str">
        <f aca="false">IF(K21="Finalizado","Completado",IF(G21="","Sin fecha válida - revisar plazos",IF(H21&lt;=Parametros!$B$4,"En tiempo, según lo planificado",IF(H21&lt;=Parametros!$B$5,"Atraso leve - seguimiento cercano ("&amp;TEXT(H21,"0.0")&amp;" p.p.)","Atraso crítico - requiere intervención ("&amp;TEXT(H21,"0.0")&amp;" p.p.)"))))</f>
        <v>Atraso leve - seguimiento cercano (14.5 p.p.)</v>
      </c>
      <c r="K21" s="7" t="s">
        <v>27</v>
      </c>
      <c r="L21" s="7"/>
      <c r="M21" s="7" t="s">
        <v>81</v>
      </c>
      <c r="N21" s="7" t="s">
        <v>51</v>
      </c>
      <c r="O21" s="13" t="n">
        <f aca="false">IF(AND(E21&lt;&gt;"",YEAR(E21)=YEAR(Parametros!$B$3),MONTH(E21)&gt;=10),1,0)</f>
        <v>1</v>
      </c>
      <c r="P21" s="13" t="n">
        <f aca="false">IF(AND(E21&lt;Parametros!$B$3,K21&lt;&gt;"Finalizado"),1,0)</f>
        <v>0</v>
      </c>
      <c r="Q21" s="13" t="n">
        <f aca="false">IF(AND(E21&gt;=Parametros!$B$3,E21&lt;=Parametros!$B$3+30,K21&lt;&gt;"Finalizado"),1,0)</f>
        <v>0</v>
      </c>
    </row>
    <row r="22" customFormat="false" ht="15" hidden="false" customHeight="false" outlineLevel="0" collapsed="false">
      <c r="A22" s="7" t="s">
        <v>89</v>
      </c>
      <c r="B22" s="7" t="s">
        <v>90</v>
      </c>
      <c r="C22" s="7" t="s">
        <v>93</v>
      </c>
      <c r="D22" s="9" t="n">
        <v>46023</v>
      </c>
      <c r="E22" s="9" t="n">
        <v>46387</v>
      </c>
      <c r="F22" s="10" t="n">
        <v>57.5</v>
      </c>
      <c r="G22" s="11" t="n">
        <f aca="false">IF(OR(D22="",E22="",E22&lt;=D22),"",MIN(100,MAX(0,(Parametros!$B$3-D22)/(E22-D22)*100)))</f>
        <v>64.5604395604396</v>
      </c>
      <c r="H22" s="12" t="n">
        <f aca="false">IF(G22="","",G22-F22)</f>
        <v>7.06043956043956</v>
      </c>
      <c r="I22" s="13" t="str">
        <f aca="false">IF(K22="Finalizado","Verde",IF(G22="","Amarillo",IF(H22&lt;=Parametros!$B$4,"Verde",IF(H22&lt;=Parametros!$B$5,"Amarillo","Rojo"))))</f>
        <v>Amarillo</v>
      </c>
      <c r="J22" s="14" t="str">
        <f aca="false">IF(K22="Finalizado","Completado",IF(G22="","Sin fecha válida - revisar plazos",IF(H22&lt;=Parametros!$B$4,"En tiempo, según lo planificado",IF(H22&lt;=Parametros!$B$5,"Atraso leve - seguimiento cercano ("&amp;TEXT(H22,"0.0")&amp;" p.p.)","Atraso crítico - requiere intervención ("&amp;TEXT(H22,"0.0")&amp;" p.p.)"))))</f>
        <v>Atraso leve - seguimiento cercano (7.1 p.p.)</v>
      </c>
      <c r="K22" s="7" t="s">
        <v>27</v>
      </c>
      <c r="L22" s="7" t="s">
        <v>88</v>
      </c>
      <c r="M22" s="7" t="s">
        <v>81</v>
      </c>
      <c r="N22" s="7" t="s">
        <v>51</v>
      </c>
      <c r="O22" s="13" t="n">
        <f aca="false">IF(AND(E22&lt;&gt;"",YEAR(E22)=YEAR(Parametros!$B$3),MONTH(E22)&gt;=10),1,0)</f>
        <v>1</v>
      </c>
      <c r="P22" s="13" t="n">
        <f aca="false">IF(AND(E22&lt;Parametros!$B$3,K22&lt;&gt;"Finalizado"),1,0)</f>
        <v>0</v>
      </c>
      <c r="Q22" s="13" t="n">
        <f aca="false">IF(AND(E22&gt;=Parametros!$B$3,E22&lt;=Parametros!$B$3+30,K22&lt;&gt;"Finalizado"),1,0)</f>
        <v>0</v>
      </c>
    </row>
    <row r="23" customFormat="false" ht="15" hidden="false" customHeight="false" outlineLevel="0" collapsed="false">
      <c r="A23" s="7" t="s">
        <v>94</v>
      </c>
      <c r="B23" s="7" t="s">
        <v>95</v>
      </c>
      <c r="C23" s="7" t="s">
        <v>96</v>
      </c>
      <c r="D23" s="9" t="n">
        <v>46078</v>
      </c>
      <c r="E23" s="9" t="n">
        <v>46087</v>
      </c>
      <c r="F23" s="10" t="n">
        <v>100</v>
      </c>
      <c r="G23" s="11" t="n">
        <f aca="false">IF(OR(D23="",E23="",E23&lt;=D23),"",MIN(100,MAX(0,(Parametros!$B$3-D23)/(E23-D23)*100)))</f>
        <v>100</v>
      </c>
      <c r="H23" s="12" t="n">
        <f aca="false">IF(G23="","",G23-F23)</f>
        <v>0</v>
      </c>
      <c r="I23" s="13" t="str">
        <f aca="false">IF(K23="Finalizado","Verde",IF(G23="","Amarillo",IF(H23&lt;=Parametros!$B$4,"Verde",IF(H23&lt;=Parametros!$B$5,"Amarillo","Rojo"))))</f>
        <v>Verde</v>
      </c>
      <c r="J23" s="14" t="str">
        <f aca="false">IF(K23="Finalizado","Completado",IF(G23="","Sin fecha válida - revisar plazos",IF(H23&lt;=Parametros!$B$4,"En tiempo, según lo planificado",IF(H23&lt;=Parametros!$B$5,"Atraso leve - seguimiento cercano ("&amp;TEXT(H23,"0.0")&amp;" p.p.)","Atraso crítico - requiere intervención ("&amp;TEXT(H23,"0.0")&amp;" p.p.)"))))</f>
        <v>Completado</v>
      </c>
      <c r="K23" s="7" t="s">
        <v>38</v>
      </c>
      <c r="L23" s="7"/>
      <c r="M23" s="7" t="s">
        <v>81</v>
      </c>
      <c r="N23" s="7" t="s">
        <v>51</v>
      </c>
      <c r="O23" s="13" t="n">
        <f aca="false">IF(AND(E23&lt;&gt;"",YEAR(E23)=YEAR(Parametros!$B$3),MONTH(E23)&gt;=10),1,0)</f>
        <v>0</v>
      </c>
      <c r="P23" s="13" t="n">
        <f aca="false">IF(AND(E23&lt;Parametros!$B$3,K23&lt;&gt;"Finalizado"),1,0)</f>
        <v>0</v>
      </c>
      <c r="Q23" s="13" t="n">
        <f aca="false">IF(AND(E23&gt;=Parametros!$B$3,E23&lt;=Parametros!$B$3+30,K23&lt;&gt;"Finalizado"),1,0)</f>
        <v>0</v>
      </c>
    </row>
    <row r="24" customFormat="false" ht="15" hidden="false" customHeight="false" outlineLevel="0" collapsed="false">
      <c r="A24" s="7" t="s">
        <v>94</v>
      </c>
      <c r="B24" s="7" t="s">
        <v>95</v>
      </c>
      <c r="C24" s="7" t="s">
        <v>97</v>
      </c>
      <c r="D24" s="9" t="n">
        <v>46222</v>
      </c>
      <c r="E24" s="9" t="n">
        <v>46276</v>
      </c>
      <c r="F24" s="10" t="n">
        <v>25</v>
      </c>
      <c r="G24" s="11" t="n">
        <f aca="false">IF(OR(D24="",E24="",E24&lt;=D24),"",MIN(100,MAX(0,(Parametros!$B$3-D24)/(E24-D24)*100)))</f>
        <v>66.6666666666667</v>
      </c>
      <c r="H24" s="12" t="n">
        <f aca="false">IF(G24="","",G24-F24)</f>
        <v>41.6666666666667</v>
      </c>
      <c r="I24" s="13" t="str">
        <f aca="false">IF(K24="Finalizado","Verde",IF(G24="","Amarillo",IF(H24&lt;=Parametros!$B$4,"Verde",IF(H24&lt;=Parametros!$B$5,"Amarillo","Rojo"))))</f>
        <v>Rojo</v>
      </c>
      <c r="J24" s="14" t="str">
        <f aca="false">IF(K24="Finalizado","Completado",IF(G24="","Sin fecha válida - revisar plazos",IF(H24&lt;=Parametros!$B$4,"En tiempo, según lo planificado",IF(H24&lt;=Parametros!$B$5,"Atraso leve - seguimiento cercano ("&amp;TEXT(H24,"0.0")&amp;" p.p.)","Atraso crítico - requiere intervención ("&amp;TEXT(H24,"0.0")&amp;" p.p.)"))))</f>
        <v>Atraso crítico - requiere intervención (41.7 p.p.)</v>
      </c>
      <c r="K24" s="7" t="s">
        <v>27</v>
      </c>
      <c r="L24" s="7"/>
      <c r="M24" s="7" t="s">
        <v>81</v>
      </c>
      <c r="N24" s="7" t="s">
        <v>51</v>
      </c>
      <c r="O24" s="13" t="n">
        <f aca="false">IF(AND(E24&lt;&gt;"",YEAR(E24)=YEAR(Parametros!$B$3),MONTH(E24)&gt;=10),1,0)</f>
        <v>0</v>
      </c>
      <c r="P24" s="13" t="n">
        <f aca="false">IF(AND(E24&lt;Parametros!$B$3,K24&lt;&gt;"Finalizado"),1,0)</f>
        <v>0</v>
      </c>
      <c r="Q24" s="13" t="n">
        <f aca="false">IF(AND(E24&gt;=Parametros!$B$3,E24&lt;=Parametros!$B$3+30,K24&lt;&gt;"Finalizado"),1,0)</f>
        <v>1</v>
      </c>
    </row>
    <row r="25" customFormat="false" ht="15" hidden="false" customHeight="false" outlineLevel="0" collapsed="false">
      <c r="A25" s="7" t="s">
        <v>94</v>
      </c>
      <c r="B25" s="7" t="s">
        <v>95</v>
      </c>
      <c r="C25" s="7" t="s">
        <v>98</v>
      </c>
      <c r="D25" s="9" t="n">
        <v>46155</v>
      </c>
      <c r="E25" s="9" t="n">
        <v>46164</v>
      </c>
      <c r="F25" s="10" t="n">
        <v>100</v>
      </c>
      <c r="G25" s="11" t="n">
        <f aca="false">IF(OR(D25="",E25="",E25&lt;=D25),"",MIN(100,MAX(0,(Parametros!$B$3-D25)/(E25-D25)*100)))</f>
        <v>100</v>
      </c>
      <c r="H25" s="12" t="n">
        <f aca="false">IF(G25="","",G25-F25)</f>
        <v>0</v>
      </c>
      <c r="I25" s="13" t="str">
        <f aca="false">IF(K25="Finalizado","Verde",IF(G25="","Amarillo",IF(H25&lt;=Parametros!$B$4,"Verde",IF(H25&lt;=Parametros!$B$5,"Amarillo","Rojo"))))</f>
        <v>Verde</v>
      </c>
      <c r="J25" s="14" t="str">
        <f aca="false">IF(K25="Finalizado","Completado",IF(G25="","Sin fecha válida - revisar plazos",IF(H25&lt;=Parametros!$B$4,"En tiempo, según lo planificado",IF(H25&lt;=Parametros!$B$5,"Atraso leve - seguimiento cercano ("&amp;TEXT(H25,"0.0")&amp;" p.p.)","Atraso crítico - requiere intervención ("&amp;TEXT(H25,"0.0")&amp;" p.p.)"))))</f>
        <v>Completado</v>
      </c>
      <c r="K25" s="7" t="s">
        <v>38</v>
      </c>
      <c r="L25" s="7"/>
      <c r="M25" s="7" t="s">
        <v>81</v>
      </c>
      <c r="N25" s="7" t="s">
        <v>51</v>
      </c>
      <c r="O25" s="13" t="n">
        <f aca="false">IF(AND(E25&lt;&gt;"",YEAR(E25)=YEAR(Parametros!$B$3),MONTH(E25)&gt;=10),1,0)</f>
        <v>0</v>
      </c>
      <c r="P25" s="13" t="n">
        <f aca="false">IF(AND(E25&lt;Parametros!$B$3,K25&lt;&gt;"Finalizado"),1,0)</f>
        <v>0</v>
      </c>
      <c r="Q25" s="13" t="n">
        <f aca="false">IF(AND(E25&gt;=Parametros!$B$3,E25&lt;=Parametros!$B$3+30,K25&lt;&gt;"Finalizado"),1,0)</f>
        <v>0</v>
      </c>
    </row>
    <row r="26" customFormat="false" ht="15" hidden="false" customHeight="false" outlineLevel="0" collapsed="false">
      <c r="A26" s="7" t="s">
        <v>94</v>
      </c>
      <c r="B26" s="7" t="s">
        <v>95</v>
      </c>
      <c r="C26" s="7" t="s">
        <v>99</v>
      </c>
      <c r="D26" s="9" t="n">
        <v>46266</v>
      </c>
      <c r="E26" s="9" t="n">
        <v>46295</v>
      </c>
      <c r="F26" s="10" t="n">
        <v>0</v>
      </c>
      <c r="G26" s="11" t="n">
        <f aca="false">IF(OR(D26="",E26="",E26&lt;=D26),"",MIN(100,MAX(0,(Parametros!$B$3-D26)/(E26-D26)*100)))</f>
        <v>0</v>
      </c>
      <c r="H26" s="12" t="n">
        <f aca="false">IF(G26="","",G26-F26)</f>
        <v>0</v>
      </c>
      <c r="I26" s="13" t="str">
        <f aca="false">IF(K26="Finalizado","Verde",IF(G26="","Amarillo",IF(H26&lt;=Parametros!$B$4,"Verde",IF(H26&lt;=Parametros!$B$5,"Amarillo","Rojo"))))</f>
        <v>Verde</v>
      </c>
      <c r="J26" s="14" t="str">
        <f aca="false">IF(K26="Finalizado","Completado",IF(G26="","Sin fecha válida - revisar plazos",IF(H26&lt;=Parametros!$B$4,"En tiempo, según lo planificado",IF(H26&lt;=Parametros!$B$5,"Atraso leve - seguimiento cercano ("&amp;TEXT(H26,"0.0")&amp;" p.p.)","Atraso crítico - requiere intervención ("&amp;TEXT(H26,"0.0")&amp;" p.p.)"))))</f>
        <v>En tiempo, según lo planificado</v>
      </c>
      <c r="K26" s="7" t="s">
        <v>100</v>
      </c>
      <c r="L26" s="7"/>
      <c r="M26" s="7" t="s">
        <v>81</v>
      </c>
      <c r="N26" s="7" t="s">
        <v>51</v>
      </c>
      <c r="O26" s="13" t="n">
        <f aca="false">IF(AND(E26&lt;&gt;"",YEAR(E26)=YEAR(Parametros!$B$3),MONTH(E26)&gt;=10),1,0)</f>
        <v>0</v>
      </c>
      <c r="P26" s="13" t="n">
        <f aca="false">IF(AND(E26&lt;Parametros!$B$3,K26&lt;&gt;"Finalizado"),1,0)</f>
        <v>0</v>
      </c>
      <c r="Q26" s="13" t="n">
        <f aca="false">IF(AND(E26&gt;=Parametros!$B$3,E26&lt;=Parametros!$B$3+30,K26&lt;&gt;"Finalizado"),1,0)</f>
        <v>0</v>
      </c>
    </row>
    <row r="27" customFormat="false" ht="15" hidden="false" customHeight="false" outlineLevel="0" collapsed="false">
      <c r="A27" s="7" t="s">
        <v>94</v>
      </c>
      <c r="B27" s="7" t="s">
        <v>95</v>
      </c>
      <c r="C27" s="7" t="s">
        <v>101</v>
      </c>
      <c r="D27" s="9" t="n">
        <v>46084</v>
      </c>
      <c r="E27" s="9" t="n">
        <v>46115</v>
      </c>
      <c r="F27" s="10" t="n">
        <v>100</v>
      </c>
      <c r="G27" s="11" t="n">
        <f aca="false">IF(OR(D27="",E27="",E27&lt;=D27),"",MIN(100,MAX(0,(Parametros!$B$3-D27)/(E27-D27)*100)))</f>
        <v>100</v>
      </c>
      <c r="H27" s="12" t="n">
        <f aca="false">IF(G27="","",G27-F27)</f>
        <v>0</v>
      </c>
      <c r="I27" s="13" t="str">
        <f aca="false">IF(K27="Finalizado","Verde",IF(G27="","Amarillo",IF(H27&lt;=Parametros!$B$4,"Verde",IF(H27&lt;=Parametros!$B$5,"Amarillo","Rojo"))))</f>
        <v>Verde</v>
      </c>
      <c r="J27" s="14" t="str">
        <f aca="false">IF(K27="Finalizado","Completado",IF(G27="","Sin fecha válida - revisar plazos",IF(H27&lt;=Parametros!$B$4,"En tiempo, según lo planificado",IF(H27&lt;=Parametros!$B$5,"Atraso leve - seguimiento cercano ("&amp;TEXT(H27,"0.0")&amp;" p.p.)","Atraso crítico - requiere intervención ("&amp;TEXT(H27,"0.0")&amp;" p.p.)"))))</f>
        <v>Completado</v>
      </c>
      <c r="K27" s="7" t="s">
        <v>38</v>
      </c>
      <c r="L27" s="7"/>
      <c r="M27" s="7" t="s">
        <v>81</v>
      </c>
      <c r="N27" s="7" t="s">
        <v>51</v>
      </c>
      <c r="O27" s="13" t="n">
        <f aca="false">IF(AND(E27&lt;&gt;"",YEAR(E27)=YEAR(Parametros!$B$3),MONTH(E27)&gt;=10),1,0)</f>
        <v>0</v>
      </c>
      <c r="P27" s="13" t="n">
        <f aca="false">IF(AND(E27&lt;Parametros!$B$3,K27&lt;&gt;"Finalizado"),1,0)</f>
        <v>0</v>
      </c>
      <c r="Q27" s="13" t="n">
        <f aca="false">IF(AND(E27&gt;=Parametros!$B$3,E27&lt;=Parametros!$B$3+30,K27&lt;&gt;"Finalizado"),1,0)</f>
        <v>0</v>
      </c>
    </row>
    <row r="28" customFormat="false" ht="15" hidden="false" customHeight="false" outlineLevel="0" collapsed="false">
      <c r="A28" s="7" t="s">
        <v>94</v>
      </c>
      <c r="B28" s="7" t="s">
        <v>95</v>
      </c>
      <c r="C28" s="7" t="s">
        <v>102</v>
      </c>
      <c r="D28" s="9" t="n">
        <v>46118</v>
      </c>
      <c r="E28" s="9" t="n">
        <v>46157</v>
      </c>
      <c r="F28" s="10" t="n">
        <v>100</v>
      </c>
      <c r="G28" s="11" t="n">
        <f aca="false">IF(OR(D28="",E28="",E28&lt;=D28),"",MIN(100,MAX(0,(Parametros!$B$3-D28)/(E28-D28)*100)))</f>
        <v>100</v>
      </c>
      <c r="H28" s="12" t="n">
        <f aca="false">IF(G28="","",G28-F28)</f>
        <v>0</v>
      </c>
      <c r="I28" s="13" t="str">
        <f aca="false">IF(K28="Finalizado","Verde",IF(G28="","Amarillo",IF(H28&lt;=Parametros!$B$4,"Verde",IF(H28&lt;=Parametros!$B$5,"Amarillo","Rojo"))))</f>
        <v>Verde</v>
      </c>
      <c r="J28" s="14" t="str">
        <f aca="false">IF(K28="Finalizado","Completado",IF(G28="","Sin fecha válida - revisar plazos",IF(H28&lt;=Parametros!$B$4,"En tiempo, según lo planificado",IF(H28&lt;=Parametros!$B$5,"Atraso leve - seguimiento cercano ("&amp;TEXT(H28,"0.0")&amp;" p.p.)","Atraso crítico - requiere intervención ("&amp;TEXT(H28,"0.0")&amp;" p.p.)"))))</f>
        <v>Completado</v>
      </c>
      <c r="K28" s="7" t="s">
        <v>38</v>
      </c>
      <c r="L28" s="7"/>
      <c r="M28" s="7" t="s">
        <v>81</v>
      </c>
      <c r="N28" s="7" t="s">
        <v>51</v>
      </c>
      <c r="O28" s="13" t="n">
        <f aca="false">IF(AND(E28&lt;&gt;"",YEAR(E28)=YEAR(Parametros!$B$3),MONTH(E28)&gt;=10),1,0)</f>
        <v>0</v>
      </c>
      <c r="P28" s="13" t="n">
        <f aca="false">IF(AND(E28&lt;Parametros!$B$3,K28&lt;&gt;"Finalizado"),1,0)</f>
        <v>0</v>
      </c>
      <c r="Q28" s="13" t="n">
        <f aca="false">IF(AND(E28&gt;=Parametros!$B$3,E28&lt;=Parametros!$B$3+30,K28&lt;&gt;"Finalizado"),1,0)</f>
        <v>0</v>
      </c>
    </row>
    <row r="29" customFormat="false" ht="15" hidden="false" customHeight="false" outlineLevel="0" collapsed="false">
      <c r="A29" s="7" t="s">
        <v>94</v>
      </c>
      <c r="B29" s="7" t="s">
        <v>95</v>
      </c>
      <c r="C29" s="7" t="s">
        <v>103</v>
      </c>
      <c r="D29" s="9" t="n">
        <v>46078</v>
      </c>
      <c r="E29" s="9" t="n">
        <v>46094</v>
      </c>
      <c r="F29" s="10" t="n">
        <v>100</v>
      </c>
      <c r="G29" s="11" t="n">
        <f aca="false">IF(OR(D29="",E29="",E29&lt;=D29),"",MIN(100,MAX(0,(Parametros!$B$3-D29)/(E29-D29)*100)))</f>
        <v>100</v>
      </c>
      <c r="H29" s="12" t="n">
        <f aca="false">IF(G29="","",G29-F29)</f>
        <v>0</v>
      </c>
      <c r="I29" s="13" t="str">
        <f aca="false">IF(K29="Finalizado","Verde",IF(G29="","Amarillo",IF(H29&lt;=Parametros!$B$4,"Verde",IF(H29&lt;=Parametros!$B$5,"Amarillo","Rojo"))))</f>
        <v>Verde</v>
      </c>
      <c r="J29" s="14" t="str">
        <f aca="false">IF(K29="Finalizado","Completado",IF(G29="","Sin fecha válida - revisar plazos",IF(H29&lt;=Parametros!$B$4,"En tiempo, según lo planificado",IF(H29&lt;=Parametros!$B$5,"Atraso leve - seguimiento cercano ("&amp;TEXT(H29,"0.0")&amp;" p.p.)","Atraso crítico - requiere intervención ("&amp;TEXT(H29,"0.0")&amp;" p.p.)"))))</f>
        <v>Completado</v>
      </c>
      <c r="K29" s="7" t="s">
        <v>38</v>
      </c>
      <c r="L29" s="7"/>
      <c r="M29" s="7" t="s">
        <v>81</v>
      </c>
      <c r="N29" s="7" t="s">
        <v>51</v>
      </c>
      <c r="O29" s="13" t="n">
        <f aca="false">IF(AND(E29&lt;&gt;"",YEAR(E29)=YEAR(Parametros!$B$3),MONTH(E29)&gt;=10),1,0)</f>
        <v>0</v>
      </c>
      <c r="P29" s="13" t="n">
        <f aca="false">IF(AND(E29&lt;Parametros!$B$3,K29&lt;&gt;"Finalizado"),1,0)</f>
        <v>0</v>
      </c>
      <c r="Q29" s="13" t="n">
        <f aca="false">IF(AND(E29&gt;=Parametros!$B$3,E29&lt;=Parametros!$B$3+30,K29&lt;&gt;"Finalizado"),1,0)</f>
        <v>0</v>
      </c>
    </row>
    <row r="30" customFormat="false" ht="15" hidden="false" customHeight="false" outlineLevel="0" collapsed="false">
      <c r="A30" s="7" t="s">
        <v>94</v>
      </c>
      <c r="B30" s="7" t="s">
        <v>95</v>
      </c>
      <c r="C30" s="7" t="s">
        <v>104</v>
      </c>
      <c r="D30" s="9" t="n">
        <v>46258</v>
      </c>
      <c r="E30" s="9" t="n">
        <v>46276</v>
      </c>
      <c r="F30" s="10" t="n">
        <v>0</v>
      </c>
      <c r="G30" s="11" t="n">
        <f aca="false">IF(OR(D30="",E30="",E30&lt;=D30),"",MIN(100,MAX(0,(Parametros!$B$3-D30)/(E30-D30)*100)))</f>
        <v>0</v>
      </c>
      <c r="H30" s="12" t="n">
        <f aca="false">IF(G30="","",G30-F30)</f>
        <v>0</v>
      </c>
      <c r="I30" s="13" t="str">
        <f aca="false">IF(K30="Finalizado","Verde",IF(G30="","Amarillo",IF(H30&lt;=Parametros!$B$4,"Verde",IF(H30&lt;=Parametros!$B$5,"Amarillo","Rojo"))))</f>
        <v>Verde</v>
      </c>
      <c r="J30" s="14" t="str">
        <f aca="false">IF(K30="Finalizado","Completado",IF(G30="","Sin fecha válida - revisar plazos",IF(H30&lt;=Parametros!$B$4,"En tiempo, según lo planificado",IF(H30&lt;=Parametros!$B$5,"Atraso leve - seguimiento cercano ("&amp;TEXT(H30,"0.0")&amp;" p.p.)","Atraso crítico - requiere intervención ("&amp;TEXT(H30,"0.0")&amp;" p.p.)"))))</f>
        <v>En tiempo, según lo planificado</v>
      </c>
      <c r="K30" s="7" t="s">
        <v>100</v>
      </c>
      <c r="L30" s="7"/>
      <c r="M30" s="7" t="s">
        <v>81</v>
      </c>
      <c r="N30" s="7" t="s">
        <v>51</v>
      </c>
      <c r="O30" s="13" t="n">
        <f aca="false">IF(AND(E30&lt;&gt;"",YEAR(E30)=YEAR(Parametros!$B$3),MONTH(E30)&gt;=10),1,0)</f>
        <v>0</v>
      </c>
      <c r="P30" s="13" t="n">
        <f aca="false">IF(AND(E30&lt;Parametros!$B$3,K30&lt;&gt;"Finalizado"),1,0)</f>
        <v>0</v>
      </c>
      <c r="Q30" s="13" t="n">
        <f aca="false">IF(AND(E30&gt;=Parametros!$B$3,E30&lt;=Parametros!$B$3+30,K30&lt;&gt;"Finalizado"),1,0)</f>
        <v>1</v>
      </c>
    </row>
    <row r="31" customFormat="false" ht="15" hidden="false" customHeight="false" outlineLevel="0" collapsed="false">
      <c r="A31" s="7" t="s">
        <v>94</v>
      </c>
      <c r="B31" s="7" t="s">
        <v>95</v>
      </c>
      <c r="C31" s="7" t="s">
        <v>105</v>
      </c>
      <c r="D31" s="9" t="n">
        <v>46160</v>
      </c>
      <c r="E31" s="9" t="n">
        <v>46272</v>
      </c>
      <c r="F31" s="10" t="n">
        <v>68</v>
      </c>
      <c r="G31" s="11" t="n">
        <f aca="false">IF(OR(D31="",E31="",E31&lt;=D31),"",MIN(100,MAX(0,(Parametros!$B$3-D31)/(E31-D31)*100)))</f>
        <v>87.5</v>
      </c>
      <c r="H31" s="12" t="n">
        <f aca="false">IF(G31="","",G31-F31)</f>
        <v>19.5</v>
      </c>
      <c r="I31" s="13" t="str">
        <f aca="false">IF(K31="Finalizado","Verde",IF(G31="","Amarillo",IF(H31&lt;=Parametros!$B$4,"Verde",IF(H31&lt;=Parametros!$B$5,"Amarillo","Rojo"))))</f>
        <v>Amarillo</v>
      </c>
      <c r="J31" s="14" t="str">
        <f aca="false">IF(K31="Finalizado","Completado",IF(G31="","Sin fecha válida - revisar plazos",IF(H31&lt;=Parametros!$B$4,"En tiempo, según lo planificado",IF(H31&lt;=Parametros!$B$5,"Atraso leve - seguimiento cercano ("&amp;TEXT(H31,"0.0")&amp;" p.p.)","Atraso crítico - requiere intervención ("&amp;TEXT(H31,"0.0")&amp;" p.p.)"))))</f>
        <v>Atraso leve - seguimiento cercano (19.5 p.p.)</v>
      </c>
      <c r="K31" s="7" t="s">
        <v>27</v>
      </c>
      <c r="L31" s="7"/>
      <c r="M31" s="7" t="s">
        <v>81</v>
      </c>
      <c r="N31" s="7" t="s">
        <v>51</v>
      </c>
      <c r="O31" s="13" t="n">
        <f aca="false">IF(AND(E31&lt;&gt;"",YEAR(E31)=YEAR(Parametros!$B$3),MONTH(E31)&gt;=10),1,0)</f>
        <v>0</v>
      </c>
      <c r="P31" s="13" t="n">
        <f aca="false">IF(AND(E31&lt;Parametros!$B$3,K31&lt;&gt;"Finalizado"),1,0)</f>
        <v>0</v>
      </c>
      <c r="Q31" s="13" t="n">
        <f aca="false">IF(AND(E31&gt;=Parametros!$B$3,E31&lt;=Parametros!$B$3+30,K31&lt;&gt;"Finalizado"),1,0)</f>
        <v>1</v>
      </c>
    </row>
    <row r="32" customFormat="false" ht="15" hidden="false" customHeight="false" outlineLevel="0" collapsed="false">
      <c r="A32" s="7" t="s">
        <v>94</v>
      </c>
      <c r="B32" s="7" t="s">
        <v>95</v>
      </c>
      <c r="C32" s="7" t="s">
        <v>106</v>
      </c>
      <c r="D32" s="9" t="n">
        <v>46063</v>
      </c>
      <c r="E32" s="9" t="n">
        <v>46078</v>
      </c>
      <c r="F32" s="10" t="n">
        <v>100</v>
      </c>
      <c r="G32" s="11" t="n">
        <f aca="false">IF(OR(D32="",E32="",E32&lt;=D32),"",MIN(100,MAX(0,(Parametros!$B$3-D32)/(E32-D32)*100)))</f>
        <v>100</v>
      </c>
      <c r="H32" s="12" t="n">
        <f aca="false">IF(G32="","",G32-F32)</f>
        <v>0</v>
      </c>
      <c r="I32" s="13" t="str">
        <f aca="false">IF(K32="Finalizado","Verde",IF(G32="","Amarillo",IF(H32&lt;=Parametros!$B$4,"Verde",IF(H32&lt;=Parametros!$B$5,"Amarillo","Rojo"))))</f>
        <v>Verde</v>
      </c>
      <c r="J32" s="14" t="str">
        <f aca="false">IF(K32="Finalizado","Completado",IF(G32="","Sin fecha válida - revisar plazos",IF(H32&lt;=Parametros!$B$4,"En tiempo, según lo planificado",IF(H32&lt;=Parametros!$B$5,"Atraso leve - seguimiento cercano ("&amp;TEXT(H32,"0.0")&amp;" p.p.)","Atraso crítico - requiere intervención ("&amp;TEXT(H32,"0.0")&amp;" p.p.)"))))</f>
        <v>Completado</v>
      </c>
      <c r="K32" s="7" t="s">
        <v>38</v>
      </c>
      <c r="L32" s="7" t="s">
        <v>107</v>
      </c>
      <c r="M32" s="7" t="s">
        <v>81</v>
      </c>
      <c r="N32" s="7" t="s">
        <v>51</v>
      </c>
      <c r="O32" s="13" t="n">
        <f aca="false">IF(AND(E32&lt;&gt;"",YEAR(E32)=YEAR(Parametros!$B$3),MONTH(E32)&gt;=10),1,0)</f>
        <v>0</v>
      </c>
      <c r="P32" s="13" t="n">
        <f aca="false">IF(AND(E32&lt;Parametros!$B$3,K32&lt;&gt;"Finalizado"),1,0)</f>
        <v>0</v>
      </c>
      <c r="Q32" s="13" t="n">
        <f aca="false">IF(AND(E32&gt;=Parametros!$B$3,E32&lt;=Parametros!$B$3+30,K32&lt;&gt;"Finalizado"),1,0)</f>
        <v>0</v>
      </c>
    </row>
    <row r="33" customFormat="false" ht="15" hidden="false" customHeight="false" outlineLevel="0" collapsed="false">
      <c r="A33" s="7" t="s">
        <v>108</v>
      </c>
      <c r="B33" s="7" t="s">
        <v>109</v>
      </c>
      <c r="C33" s="7" t="s">
        <v>110</v>
      </c>
      <c r="D33" s="9" t="n">
        <v>46329</v>
      </c>
      <c r="E33" s="9" t="n">
        <v>46349</v>
      </c>
      <c r="F33" s="10" t="n">
        <v>0</v>
      </c>
      <c r="G33" s="11" t="n">
        <f aca="false">IF(OR(D33="",E33="",E33&lt;=D33),"",MIN(100,MAX(0,(Parametros!$B$3-D33)/(E33-D33)*100)))</f>
        <v>0</v>
      </c>
      <c r="H33" s="12" t="n">
        <f aca="false">IF(G33="","",G33-F33)</f>
        <v>0</v>
      </c>
      <c r="I33" s="13" t="str">
        <f aca="false">IF(K33="Finalizado","Verde",IF(G33="","Amarillo",IF(H33&lt;=Parametros!$B$4,"Verde",IF(H33&lt;=Parametros!$B$5,"Amarillo","Rojo"))))</f>
        <v>Verde</v>
      </c>
      <c r="J33" s="14" t="str">
        <f aca="false">IF(K33="Finalizado","Completado",IF(G33="","Sin fecha válida - revisar plazos",IF(H33&lt;=Parametros!$B$4,"En tiempo, según lo planificado",IF(H33&lt;=Parametros!$B$5,"Atraso leve - seguimiento cercano ("&amp;TEXT(H33,"0.0")&amp;" p.p.)","Atraso crítico - requiere intervención ("&amp;TEXT(H33,"0.0")&amp;" p.p.)"))))</f>
        <v>En tiempo, según lo planificado</v>
      </c>
      <c r="K33" s="7" t="s">
        <v>100</v>
      </c>
      <c r="L33" s="7"/>
      <c r="M33" s="7" t="s">
        <v>81</v>
      </c>
      <c r="N33" s="7" t="s">
        <v>51</v>
      </c>
      <c r="O33" s="13" t="n">
        <f aca="false">IF(AND(E33&lt;&gt;"",YEAR(E33)=YEAR(Parametros!$B$3),MONTH(E33)&gt;=10),1,0)</f>
        <v>1</v>
      </c>
      <c r="P33" s="13" t="n">
        <f aca="false">IF(AND(E33&lt;Parametros!$B$3,K33&lt;&gt;"Finalizado"),1,0)</f>
        <v>0</v>
      </c>
      <c r="Q33" s="13" t="n">
        <f aca="false">IF(AND(E33&gt;=Parametros!$B$3,E33&lt;=Parametros!$B$3+30,K33&lt;&gt;"Finalizado"),1,0)</f>
        <v>0</v>
      </c>
    </row>
    <row r="34" customFormat="false" ht="15" hidden="false" customHeight="false" outlineLevel="0" collapsed="false">
      <c r="A34" s="7" t="s">
        <v>108</v>
      </c>
      <c r="B34" s="7" t="s">
        <v>109</v>
      </c>
      <c r="C34" s="7" t="s">
        <v>111</v>
      </c>
      <c r="D34" s="9" t="n">
        <v>46149</v>
      </c>
      <c r="E34" s="9" t="n">
        <v>46209</v>
      </c>
      <c r="F34" s="10" t="n">
        <v>100</v>
      </c>
      <c r="G34" s="11" t="n">
        <f aca="false">IF(OR(D34="",E34="",E34&lt;=D34),"",MIN(100,MAX(0,(Parametros!$B$3-D34)/(E34-D34)*100)))</f>
        <v>100</v>
      </c>
      <c r="H34" s="12" t="n">
        <f aca="false">IF(G34="","",G34-F34)</f>
        <v>0</v>
      </c>
      <c r="I34" s="13" t="str">
        <f aca="false">IF(K34="Finalizado","Verde",IF(G34="","Amarillo",IF(H34&lt;=Parametros!$B$4,"Verde",IF(H34&lt;=Parametros!$B$5,"Amarillo","Rojo"))))</f>
        <v>Verde</v>
      </c>
      <c r="J34" s="14" t="str">
        <f aca="false">IF(K34="Finalizado","Completado",IF(G34="","Sin fecha válida - revisar plazos",IF(H34&lt;=Parametros!$B$4,"En tiempo, según lo planificado",IF(H34&lt;=Parametros!$B$5,"Atraso leve - seguimiento cercano ("&amp;TEXT(H34,"0.0")&amp;" p.p.)","Atraso crítico - requiere intervención ("&amp;TEXT(H34,"0.0")&amp;" p.p.)"))))</f>
        <v>Completado</v>
      </c>
      <c r="K34" s="7" t="s">
        <v>38</v>
      </c>
      <c r="L34" s="7"/>
      <c r="M34" s="7" t="s">
        <v>81</v>
      </c>
      <c r="N34" s="7" t="s">
        <v>51</v>
      </c>
      <c r="O34" s="13" t="n">
        <f aca="false">IF(AND(E34&lt;&gt;"",YEAR(E34)=YEAR(Parametros!$B$3),MONTH(E34)&gt;=10),1,0)</f>
        <v>0</v>
      </c>
      <c r="P34" s="13" t="n">
        <f aca="false">IF(AND(E34&lt;Parametros!$B$3,K34&lt;&gt;"Finalizado"),1,0)</f>
        <v>0</v>
      </c>
      <c r="Q34" s="13" t="n">
        <f aca="false">IF(AND(E34&gt;=Parametros!$B$3,E34&lt;=Parametros!$B$3+30,K34&lt;&gt;"Finalizado"),1,0)</f>
        <v>0</v>
      </c>
    </row>
    <row r="35" customFormat="false" ht="15" hidden="false" customHeight="false" outlineLevel="0" collapsed="false">
      <c r="A35" s="7" t="s">
        <v>108</v>
      </c>
      <c r="B35" s="7" t="s">
        <v>109</v>
      </c>
      <c r="C35" s="7" t="s">
        <v>112</v>
      </c>
      <c r="D35" s="9" t="n">
        <v>46269</v>
      </c>
      <c r="E35" s="9" t="n">
        <v>46329</v>
      </c>
      <c r="F35" s="10" t="n">
        <v>0</v>
      </c>
      <c r="G35" s="11" t="n">
        <f aca="false">IF(OR(D35="",E35="",E35&lt;=D35),"",MIN(100,MAX(0,(Parametros!$B$3-D35)/(E35-D35)*100)))</f>
        <v>0</v>
      </c>
      <c r="H35" s="12" t="n">
        <f aca="false">IF(G35="","",G35-F35)</f>
        <v>0</v>
      </c>
      <c r="I35" s="13" t="str">
        <f aca="false">IF(K35="Finalizado","Verde",IF(G35="","Amarillo",IF(H35&lt;=Parametros!$B$4,"Verde",IF(H35&lt;=Parametros!$B$5,"Amarillo","Rojo"))))</f>
        <v>Verde</v>
      </c>
      <c r="J35" s="14" t="str">
        <f aca="false">IF(K35="Finalizado","Completado",IF(G35="","Sin fecha válida - revisar plazos",IF(H35&lt;=Parametros!$B$4,"En tiempo, según lo planificado",IF(H35&lt;=Parametros!$B$5,"Atraso leve - seguimiento cercano ("&amp;TEXT(H35,"0.0")&amp;" p.p.)","Atraso crítico - requiere intervención ("&amp;TEXT(H35,"0.0")&amp;" p.p.)"))))</f>
        <v>En tiempo, según lo planificado</v>
      </c>
      <c r="K35" s="7" t="s">
        <v>100</v>
      </c>
      <c r="L35" s="7"/>
      <c r="M35" s="7" t="s">
        <v>81</v>
      </c>
      <c r="N35" s="7" t="s">
        <v>51</v>
      </c>
      <c r="O35" s="13" t="n">
        <f aca="false">IF(AND(E35&lt;&gt;"",YEAR(E35)=YEAR(Parametros!$B$3),MONTH(E35)&gt;=10),1,0)</f>
        <v>1</v>
      </c>
      <c r="P35" s="13" t="n">
        <f aca="false">IF(AND(E35&lt;Parametros!$B$3,K35&lt;&gt;"Finalizado"),1,0)</f>
        <v>0</v>
      </c>
      <c r="Q35" s="13" t="n">
        <f aca="false">IF(AND(E35&gt;=Parametros!$B$3,E35&lt;=Parametros!$B$3+30,K35&lt;&gt;"Finalizado"),1,0)</f>
        <v>0</v>
      </c>
    </row>
    <row r="36" customFormat="false" ht="15" hidden="false" customHeight="false" outlineLevel="0" collapsed="false">
      <c r="A36" s="7" t="s">
        <v>108</v>
      </c>
      <c r="B36" s="7" t="s">
        <v>109</v>
      </c>
      <c r="C36" s="7" t="s">
        <v>113</v>
      </c>
      <c r="D36" s="9" t="n">
        <v>46209</v>
      </c>
      <c r="E36" s="9" t="n">
        <v>46269</v>
      </c>
      <c r="F36" s="10" t="n">
        <v>44</v>
      </c>
      <c r="G36" s="11" t="n">
        <f aca="false">IF(OR(D36="",E36="",E36&lt;=D36),"",MIN(100,MAX(0,(Parametros!$B$3-D36)/(E36-D36)*100)))</f>
        <v>81.6666666666667</v>
      </c>
      <c r="H36" s="12" t="n">
        <f aca="false">IF(G36="","",G36-F36)</f>
        <v>37.6666666666667</v>
      </c>
      <c r="I36" s="13" t="str">
        <f aca="false">IF(K36="Finalizado","Verde",IF(G36="","Amarillo",IF(H36&lt;=Parametros!$B$4,"Verde",IF(H36&lt;=Parametros!$B$5,"Amarillo","Rojo"))))</f>
        <v>Rojo</v>
      </c>
      <c r="J36" s="14" t="str">
        <f aca="false">IF(K36="Finalizado","Completado",IF(G36="","Sin fecha válida - revisar plazos",IF(H36&lt;=Parametros!$B$4,"En tiempo, según lo planificado",IF(H36&lt;=Parametros!$B$5,"Atraso leve - seguimiento cercano ("&amp;TEXT(H36,"0.0")&amp;" p.p.)","Atraso crítico - requiere intervención ("&amp;TEXT(H36,"0.0")&amp;" p.p.)"))))</f>
        <v>Atraso crítico - requiere intervención (37.7 p.p.)</v>
      </c>
      <c r="K36" s="7" t="s">
        <v>27</v>
      </c>
      <c r="L36" s="7"/>
      <c r="M36" s="7" t="s">
        <v>81</v>
      </c>
      <c r="N36" s="7" t="s">
        <v>51</v>
      </c>
      <c r="O36" s="13" t="n">
        <f aca="false">IF(AND(E36&lt;&gt;"",YEAR(E36)=YEAR(Parametros!$B$3),MONTH(E36)&gt;=10),1,0)</f>
        <v>0</v>
      </c>
      <c r="P36" s="13" t="n">
        <f aca="false">IF(AND(E36&lt;Parametros!$B$3,K36&lt;&gt;"Finalizado"),1,0)</f>
        <v>0</v>
      </c>
      <c r="Q36" s="13" t="n">
        <f aca="false">IF(AND(E36&gt;=Parametros!$B$3,E36&lt;=Parametros!$B$3+30,K36&lt;&gt;"Finalizado"),1,0)</f>
        <v>1</v>
      </c>
    </row>
    <row r="37" customFormat="false" ht="15" hidden="false" customHeight="false" outlineLevel="0" collapsed="false">
      <c r="A37" s="7" t="s">
        <v>108</v>
      </c>
      <c r="B37" s="7" t="s">
        <v>109</v>
      </c>
      <c r="C37" s="7" t="s">
        <v>114</v>
      </c>
      <c r="D37" s="9" t="n">
        <v>46147</v>
      </c>
      <c r="E37" s="9" t="n">
        <v>46192</v>
      </c>
      <c r="F37" s="10" t="n">
        <v>100</v>
      </c>
      <c r="G37" s="11" t="n">
        <f aca="false">IF(OR(D37="",E37="",E37&lt;=D37),"",MIN(100,MAX(0,(Parametros!$B$3-D37)/(E37-D37)*100)))</f>
        <v>100</v>
      </c>
      <c r="H37" s="12" t="n">
        <f aca="false">IF(G37="","",G37-F37)</f>
        <v>0</v>
      </c>
      <c r="I37" s="13" t="str">
        <f aca="false">IF(K37="Finalizado","Verde",IF(G37="","Amarillo",IF(H37&lt;=Parametros!$B$4,"Verde",IF(H37&lt;=Parametros!$B$5,"Amarillo","Rojo"))))</f>
        <v>Verde</v>
      </c>
      <c r="J37" s="14" t="str">
        <f aca="false">IF(K37="Finalizado","Completado",IF(G37="","Sin fecha válida - revisar plazos",IF(H37&lt;=Parametros!$B$4,"En tiempo, según lo planificado",IF(H37&lt;=Parametros!$B$5,"Atraso leve - seguimiento cercano ("&amp;TEXT(H37,"0.0")&amp;" p.p.)","Atraso crítico - requiere intervención ("&amp;TEXT(H37,"0.0")&amp;" p.p.)"))))</f>
        <v>Completado</v>
      </c>
      <c r="K37" s="7" t="s">
        <v>38</v>
      </c>
      <c r="L37" s="7"/>
      <c r="M37" s="7" t="s">
        <v>81</v>
      </c>
      <c r="N37" s="7" t="s">
        <v>51</v>
      </c>
      <c r="O37" s="13" t="n">
        <f aca="false">IF(AND(E37&lt;&gt;"",YEAR(E37)=YEAR(Parametros!$B$3),MONTH(E37)&gt;=10),1,0)</f>
        <v>0</v>
      </c>
      <c r="P37" s="13" t="n">
        <f aca="false">IF(AND(E37&lt;Parametros!$B$3,K37&lt;&gt;"Finalizado"),1,0)</f>
        <v>0</v>
      </c>
      <c r="Q37" s="13" t="n">
        <f aca="false">IF(AND(E37&gt;=Parametros!$B$3,E37&lt;=Parametros!$B$3+30,K37&lt;&gt;"Finalizado"),1,0)</f>
        <v>0</v>
      </c>
    </row>
    <row r="38" customFormat="false" ht="15" hidden="false" customHeight="false" outlineLevel="0" collapsed="false">
      <c r="A38" s="7" t="s">
        <v>108</v>
      </c>
      <c r="B38" s="7" t="s">
        <v>109</v>
      </c>
      <c r="C38" s="7" t="s">
        <v>115</v>
      </c>
      <c r="D38" s="9" t="n">
        <v>46147</v>
      </c>
      <c r="E38" s="9" t="n">
        <v>46162</v>
      </c>
      <c r="F38" s="10" t="n">
        <v>100</v>
      </c>
      <c r="G38" s="11" t="n">
        <f aca="false">IF(OR(D38="",E38="",E38&lt;=D38),"",MIN(100,MAX(0,(Parametros!$B$3-D38)/(E38-D38)*100)))</f>
        <v>100</v>
      </c>
      <c r="H38" s="12" t="n">
        <f aca="false">IF(G38="","",G38-F38)</f>
        <v>0</v>
      </c>
      <c r="I38" s="13" t="str">
        <f aca="false">IF(K38="Finalizado","Verde",IF(G38="","Amarillo",IF(H38&lt;=Parametros!$B$4,"Verde",IF(H38&lt;=Parametros!$B$5,"Amarillo","Rojo"))))</f>
        <v>Verde</v>
      </c>
      <c r="J38" s="14" t="str">
        <f aca="false">IF(K38="Finalizado","Completado",IF(G38="","Sin fecha válida - revisar plazos",IF(H38&lt;=Parametros!$B$4,"En tiempo, según lo planificado",IF(H38&lt;=Parametros!$B$5,"Atraso leve - seguimiento cercano ("&amp;TEXT(H38,"0.0")&amp;" p.p.)","Atraso crítico - requiere intervención ("&amp;TEXT(H38,"0.0")&amp;" p.p.)"))))</f>
        <v>Completado</v>
      </c>
      <c r="K38" s="7" t="s">
        <v>38</v>
      </c>
      <c r="L38" s="7"/>
      <c r="M38" s="7" t="s">
        <v>81</v>
      </c>
      <c r="N38" s="7" t="s">
        <v>51</v>
      </c>
      <c r="O38" s="13" t="n">
        <f aca="false">IF(AND(E38&lt;&gt;"",YEAR(E38)=YEAR(Parametros!$B$3),MONTH(E38)&gt;=10),1,0)</f>
        <v>0</v>
      </c>
      <c r="P38" s="13" t="n">
        <f aca="false">IF(AND(E38&lt;Parametros!$B$3,K38&lt;&gt;"Finalizado"),1,0)</f>
        <v>0</v>
      </c>
      <c r="Q38" s="13" t="n">
        <f aca="false">IF(AND(E38&gt;=Parametros!$B$3,E38&lt;=Parametros!$B$3+30,K38&lt;&gt;"Finalizado"),1,0)</f>
        <v>0</v>
      </c>
    </row>
    <row r="39" customFormat="false" ht="15" hidden="false" customHeight="false" outlineLevel="0" collapsed="false">
      <c r="A39" s="7" t="s">
        <v>108</v>
      </c>
      <c r="B39" s="7" t="s">
        <v>109</v>
      </c>
      <c r="C39" s="7" t="s">
        <v>106</v>
      </c>
      <c r="D39" s="9" t="n">
        <v>46083</v>
      </c>
      <c r="E39" s="9" t="n">
        <v>46121</v>
      </c>
      <c r="F39" s="10" t="n">
        <v>100</v>
      </c>
      <c r="G39" s="11" t="n">
        <f aca="false">IF(OR(D39="",E39="",E39&lt;=D39),"",MIN(100,MAX(0,(Parametros!$B$3-D39)/(E39-D39)*100)))</f>
        <v>100</v>
      </c>
      <c r="H39" s="12" t="n">
        <f aca="false">IF(G39="","",G39-F39)</f>
        <v>0</v>
      </c>
      <c r="I39" s="13" t="str">
        <f aca="false">IF(K39="Finalizado","Verde",IF(G39="","Amarillo",IF(H39&lt;=Parametros!$B$4,"Verde",IF(H39&lt;=Parametros!$B$5,"Amarillo","Rojo"))))</f>
        <v>Verde</v>
      </c>
      <c r="J39" s="14" t="str">
        <f aca="false">IF(K39="Finalizado","Completado",IF(G39="","Sin fecha válida - revisar plazos",IF(H39&lt;=Parametros!$B$4,"En tiempo, según lo planificado",IF(H39&lt;=Parametros!$B$5,"Atraso leve - seguimiento cercano ("&amp;TEXT(H39,"0.0")&amp;" p.p.)","Atraso crítico - requiere intervención ("&amp;TEXT(H39,"0.0")&amp;" p.p.)"))))</f>
        <v>Completado</v>
      </c>
      <c r="K39" s="7" t="s">
        <v>38</v>
      </c>
      <c r="L39" s="7" t="s">
        <v>107</v>
      </c>
      <c r="M39" s="7" t="s">
        <v>81</v>
      </c>
      <c r="N39" s="7" t="s">
        <v>51</v>
      </c>
      <c r="O39" s="13" t="n">
        <f aca="false">IF(AND(E39&lt;&gt;"",YEAR(E39)=YEAR(Parametros!$B$3),MONTH(E39)&gt;=10),1,0)</f>
        <v>0</v>
      </c>
      <c r="P39" s="13" t="n">
        <f aca="false">IF(AND(E39&lt;Parametros!$B$3,K39&lt;&gt;"Finalizado"),1,0)</f>
        <v>0</v>
      </c>
      <c r="Q39" s="13" t="n">
        <f aca="false">IF(AND(E39&gt;=Parametros!$B$3,E39&lt;=Parametros!$B$3+30,K39&lt;&gt;"Finalizado"),1,0)</f>
        <v>0</v>
      </c>
    </row>
    <row r="40" customFormat="false" ht="15" hidden="false" customHeight="false" outlineLevel="0" collapsed="false">
      <c r="A40" s="7" t="s">
        <v>116</v>
      </c>
      <c r="B40" s="7" t="s">
        <v>117</v>
      </c>
      <c r="C40" s="7" t="s">
        <v>118</v>
      </c>
      <c r="D40" s="9" t="n">
        <v>46202</v>
      </c>
      <c r="E40" s="9" t="n">
        <v>46262</v>
      </c>
      <c r="F40" s="10" t="n">
        <v>83</v>
      </c>
      <c r="G40" s="11" t="n">
        <f aca="false">IF(OR(D40="",E40="",E40&lt;=D40),"",MIN(100,MAX(0,(Parametros!$B$3-D40)/(E40-D40)*100)))</f>
        <v>93.3333333333333</v>
      </c>
      <c r="H40" s="12" t="n">
        <f aca="false">IF(G40="","",G40-F40)</f>
        <v>10.3333333333333</v>
      </c>
      <c r="I40" s="13" t="str">
        <f aca="false">IF(K40="Finalizado","Verde",IF(G40="","Amarillo",IF(H40&lt;=Parametros!$B$4,"Verde",IF(H40&lt;=Parametros!$B$5,"Amarillo","Rojo"))))</f>
        <v>Amarillo</v>
      </c>
      <c r="J40" s="14" t="str">
        <f aca="false">IF(K40="Finalizado","Completado",IF(G40="","Sin fecha válida - revisar plazos",IF(H40&lt;=Parametros!$B$4,"En tiempo, según lo planificado",IF(H40&lt;=Parametros!$B$5,"Atraso leve - seguimiento cercano ("&amp;TEXT(H40,"0.0")&amp;" p.p.)","Atraso crítico - requiere intervención ("&amp;TEXT(H40,"0.0")&amp;" p.p.)"))))</f>
        <v>Atraso leve - seguimiento cercano (10.3 p.p.)</v>
      </c>
      <c r="K40" s="7" t="s">
        <v>27</v>
      </c>
      <c r="L40" s="7"/>
      <c r="M40" s="7" t="s">
        <v>81</v>
      </c>
      <c r="N40" s="7" t="s">
        <v>51</v>
      </c>
      <c r="O40" s="13" t="n">
        <f aca="false">IF(AND(E40&lt;&gt;"",YEAR(E40)=YEAR(Parametros!$B$3),MONTH(E40)&gt;=10),1,0)</f>
        <v>0</v>
      </c>
      <c r="P40" s="13" t="n">
        <f aca="false">IF(AND(E40&lt;Parametros!$B$3,K40&lt;&gt;"Finalizado"),1,0)</f>
        <v>0</v>
      </c>
      <c r="Q40" s="13" t="n">
        <f aca="false">IF(AND(E40&gt;=Parametros!$B$3,E40&lt;=Parametros!$B$3+30,K40&lt;&gt;"Finalizado"),1,0)</f>
        <v>1</v>
      </c>
    </row>
    <row r="41" customFormat="false" ht="15" hidden="false" customHeight="false" outlineLevel="0" collapsed="false">
      <c r="A41" s="7" t="s">
        <v>116</v>
      </c>
      <c r="B41" s="7" t="s">
        <v>117</v>
      </c>
      <c r="C41" s="7" t="s">
        <v>119</v>
      </c>
      <c r="D41" s="9" t="n">
        <v>46301</v>
      </c>
      <c r="E41" s="9" t="n">
        <v>46353</v>
      </c>
      <c r="F41" s="10" t="n">
        <v>0</v>
      </c>
      <c r="G41" s="11" t="n">
        <f aca="false">IF(OR(D41="",E41="",E41&lt;=D41),"",MIN(100,MAX(0,(Parametros!$B$3-D41)/(E41-D41)*100)))</f>
        <v>0</v>
      </c>
      <c r="H41" s="12" t="n">
        <f aca="false">IF(G41="","",G41-F41)</f>
        <v>0</v>
      </c>
      <c r="I41" s="13" t="str">
        <f aca="false">IF(K41="Finalizado","Verde",IF(G41="","Amarillo",IF(H41&lt;=Parametros!$B$4,"Verde",IF(H41&lt;=Parametros!$B$5,"Amarillo","Rojo"))))</f>
        <v>Verde</v>
      </c>
      <c r="J41" s="14" t="str">
        <f aca="false">IF(K41="Finalizado","Completado",IF(G41="","Sin fecha válida - revisar plazos",IF(H41&lt;=Parametros!$B$4,"En tiempo, según lo planificado",IF(H41&lt;=Parametros!$B$5,"Atraso leve - seguimiento cercano ("&amp;TEXT(H41,"0.0")&amp;" p.p.)","Atraso crítico - requiere intervención ("&amp;TEXT(H41,"0.0")&amp;" p.p.)"))))</f>
        <v>En tiempo, según lo planificado</v>
      </c>
      <c r="K41" s="7" t="s">
        <v>100</v>
      </c>
      <c r="L41" s="7"/>
      <c r="M41" s="7" t="s">
        <v>81</v>
      </c>
      <c r="N41" s="7" t="s">
        <v>51</v>
      </c>
      <c r="O41" s="13" t="n">
        <f aca="false">IF(AND(E41&lt;&gt;"",YEAR(E41)=YEAR(Parametros!$B$3),MONTH(E41)&gt;=10),1,0)</f>
        <v>1</v>
      </c>
      <c r="P41" s="13" t="n">
        <f aca="false">IF(AND(E41&lt;Parametros!$B$3,K41&lt;&gt;"Finalizado"),1,0)</f>
        <v>0</v>
      </c>
      <c r="Q41" s="13" t="n">
        <f aca="false">IF(AND(E41&gt;=Parametros!$B$3,E41&lt;=Parametros!$B$3+30,K41&lt;&gt;"Finalizado"),1,0)</f>
        <v>0</v>
      </c>
    </row>
    <row r="42" customFormat="false" ht="15" hidden="false" customHeight="false" outlineLevel="0" collapsed="false">
      <c r="A42" s="7" t="s">
        <v>116</v>
      </c>
      <c r="B42" s="7" t="s">
        <v>117</v>
      </c>
      <c r="C42" s="7" t="s">
        <v>120</v>
      </c>
      <c r="D42" s="9" t="n">
        <v>46174</v>
      </c>
      <c r="E42" s="9" t="n">
        <v>46265</v>
      </c>
      <c r="F42" s="10" t="n">
        <v>67</v>
      </c>
      <c r="G42" s="11" t="n">
        <f aca="false">IF(OR(D42="",E42="",E42&lt;=D42),"",MIN(100,MAX(0,(Parametros!$B$3-D42)/(E42-D42)*100)))</f>
        <v>92.3076923076923</v>
      </c>
      <c r="H42" s="12" t="n">
        <f aca="false">IF(G42="","",G42-F42)</f>
        <v>25.3076923076923</v>
      </c>
      <c r="I42" s="13" t="str">
        <f aca="false">IF(K42="Finalizado","Verde",IF(G42="","Amarillo",IF(H42&lt;=Parametros!$B$4,"Verde",IF(H42&lt;=Parametros!$B$5,"Amarillo","Rojo"))))</f>
        <v>Rojo</v>
      </c>
      <c r="J42" s="14" t="str">
        <f aca="false">IF(K42="Finalizado","Completado",IF(G42="","Sin fecha válida - revisar plazos",IF(H42&lt;=Parametros!$B$4,"En tiempo, según lo planificado",IF(H42&lt;=Parametros!$B$5,"Atraso leve - seguimiento cercano ("&amp;TEXT(H42,"0.0")&amp;" p.p.)","Atraso crítico - requiere intervención ("&amp;TEXT(H42,"0.0")&amp;" p.p.)"))))</f>
        <v>Atraso crítico - requiere intervención (25.3 p.p.)</v>
      </c>
      <c r="K42" s="7" t="s">
        <v>27</v>
      </c>
      <c r="L42" s="7"/>
      <c r="M42" s="7" t="s">
        <v>81</v>
      </c>
      <c r="N42" s="7" t="s">
        <v>51</v>
      </c>
      <c r="O42" s="13" t="n">
        <f aca="false">IF(AND(E42&lt;&gt;"",YEAR(E42)=YEAR(Parametros!$B$3),MONTH(E42)&gt;=10),1,0)</f>
        <v>0</v>
      </c>
      <c r="P42" s="13" t="n">
        <f aca="false">IF(AND(E42&lt;Parametros!$B$3,K42&lt;&gt;"Finalizado"),1,0)</f>
        <v>0</v>
      </c>
      <c r="Q42" s="13" t="n">
        <f aca="false">IF(AND(E42&gt;=Parametros!$B$3,E42&lt;=Parametros!$B$3+30,K42&lt;&gt;"Finalizado"),1,0)</f>
        <v>1</v>
      </c>
    </row>
    <row r="43" customFormat="false" ht="15" hidden="false" customHeight="false" outlineLevel="0" collapsed="false">
      <c r="A43" s="7" t="s">
        <v>116</v>
      </c>
      <c r="B43" s="7" t="s">
        <v>117</v>
      </c>
      <c r="C43" s="7" t="s">
        <v>121</v>
      </c>
      <c r="D43" s="9" t="n">
        <v>46370</v>
      </c>
      <c r="E43" s="9" t="n">
        <v>46386</v>
      </c>
      <c r="F43" s="10" t="n">
        <v>0</v>
      </c>
      <c r="G43" s="11" t="n">
        <f aca="false">IF(OR(D43="",E43="",E43&lt;=D43),"",MIN(100,MAX(0,(Parametros!$B$3-D43)/(E43-D43)*100)))</f>
        <v>0</v>
      </c>
      <c r="H43" s="12" t="n">
        <f aca="false">IF(G43="","",G43-F43)</f>
        <v>0</v>
      </c>
      <c r="I43" s="13" t="str">
        <f aca="false">IF(K43="Finalizado","Verde",IF(G43="","Amarillo",IF(H43&lt;=Parametros!$B$4,"Verde",IF(H43&lt;=Parametros!$B$5,"Amarillo","Rojo"))))</f>
        <v>Verde</v>
      </c>
      <c r="J43" s="14" t="str">
        <f aca="false">IF(K43="Finalizado","Completado",IF(G43="","Sin fecha válida - revisar plazos",IF(H43&lt;=Parametros!$B$4,"En tiempo, según lo planificado",IF(H43&lt;=Parametros!$B$5,"Atraso leve - seguimiento cercano ("&amp;TEXT(H43,"0.0")&amp;" p.p.)","Atraso crítico - requiere intervención ("&amp;TEXT(H43,"0.0")&amp;" p.p.)"))))</f>
        <v>En tiempo, según lo planificado</v>
      </c>
      <c r="K43" s="7" t="s">
        <v>100</v>
      </c>
      <c r="L43" s="7"/>
      <c r="M43" s="7" t="s">
        <v>81</v>
      </c>
      <c r="N43" s="7" t="s">
        <v>51</v>
      </c>
      <c r="O43" s="13" t="n">
        <f aca="false">IF(AND(E43&lt;&gt;"",YEAR(E43)=YEAR(Parametros!$B$3),MONTH(E43)&gt;=10),1,0)</f>
        <v>1</v>
      </c>
      <c r="P43" s="13" t="n">
        <f aca="false">IF(AND(E43&lt;Parametros!$B$3,K43&lt;&gt;"Finalizado"),1,0)</f>
        <v>0</v>
      </c>
      <c r="Q43" s="13" t="n">
        <f aca="false">IF(AND(E43&gt;=Parametros!$B$3,E43&lt;=Parametros!$B$3+30,K43&lt;&gt;"Finalizado"),1,0)</f>
        <v>0</v>
      </c>
    </row>
    <row r="44" customFormat="false" ht="15" hidden="false" customHeight="false" outlineLevel="0" collapsed="false">
      <c r="A44" s="7" t="s">
        <v>116</v>
      </c>
      <c r="B44" s="7" t="s">
        <v>117</v>
      </c>
      <c r="C44" s="7" t="s">
        <v>122</v>
      </c>
      <c r="D44" s="9" t="n">
        <v>46181</v>
      </c>
      <c r="E44" s="9" t="n">
        <v>46195</v>
      </c>
      <c r="F44" s="10" t="n">
        <v>100</v>
      </c>
      <c r="G44" s="11" t="n">
        <f aca="false">IF(OR(D44="",E44="",E44&lt;=D44),"",MIN(100,MAX(0,(Parametros!$B$3-D44)/(E44-D44)*100)))</f>
        <v>100</v>
      </c>
      <c r="H44" s="12" t="n">
        <f aca="false">IF(G44="","",G44-F44)</f>
        <v>0</v>
      </c>
      <c r="I44" s="13" t="str">
        <f aca="false">IF(K44="Finalizado","Verde",IF(G44="","Amarillo",IF(H44&lt;=Parametros!$B$4,"Verde",IF(H44&lt;=Parametros!$B$5,"Amarillo","Rojo"))))</f>
        <v>Verde</v>
      </c>
      <c r="J44" s="14" t="str">
        <f aca="false">IF(K44="Finalizado","Completado",IF(G44="","Sin fecha válida - revisar plazos",IF(H44&lt;=Parametros!$B$4,"En tiempo, según lo planificado",IF(H44&lt;=Parametros!$B$5,"Atraso leve - seguimiento cercano ("&amp;TEXT(H44,"0.0")&amp;" p.p.)","Atraso crítico - requiere intervención ("&amp;TEXT(H44,"0.0")&amp;" p.p.)"))))</f>
        <v>En tiempo, según lo planificado</v>
      </c>
      <c r="K44" s="7" t="s">
        <v>27</v>
      </c>
      <c r="L44" s="7"/>
      <c r="M44" s="7" t="s">
        <v>81</v>
      </c>
      <c r="N44" s="7" t="s">
        <v>51</v>
      </c>
      <c r="O44" s="13" t="n">
        <f aca="false">IF(AND(E44&lt;&gt;"",YEAR(E44)=YEAR(Parametros!$B$3),MONTH(E44)&gt;=10),1,0)</f>
        <v>0</v>
      </c>
      <c r="P44" s="13" t="n">
        <f aca="false">IF(AND(E44&lt;Parametros!$B$3,K44&lt;&gt;"Finalizado"),1,0)</f>
        <v>1</v>
      </c>
      <c r="Q44" s="13" t="n">
        <f aca="false">IF(AND(E44&gt;=Parametros!$B$3,E44&lt;=Parametros!$B$3+30,K44&lt;&gt;"Finalizado"),1,0)</f>
        <v>0</v>
      </c>
    </row>
    <row r="45" customFormat="false" ht="15" hidden="false" customHeight="false" outlineLevel="0" collapsed="false">
      <c r="A45" s="7" t="s">
        <v>116</v>
      </c>
      <c r="B45" s="7" t="s">
        <v>117</v>
      </c>
      <c r="C45" s="7" t="s">
        <v>106</v>
      </c>
      <c r="D45" s="9" t="n">
        <v>46124</v>
      </c>
      <c r="E45" s="9" t="n">
        <v>46203</v>
      </c>
      <c r="F45" s="10" t="n">
        <v>100</v>
      </c>
      <c r="G45" s="11" t="n">
        <f aca="false">IF(OR(D45="",E45="",E45&lt;=D45),"",MIN(100,MAX(0,(Parametros!$B$3-D45)/(E45-D45)*100)))</f>
        <v>100</v>
      </c>
      <c r="H45" s="12" t="n">
        <f aca="false">IF(G45="","",G45-F45)</f>
        <v>0</v>
      </c>
      <c r="I45" s="13" t="str">
        <f aca="false">IF(K45="Finalizado","Verde",IF(G45="","Amarillo",IF(H45&lt;=Parametros!$B$4,"Verde",IF(H45&lt;=Parametros!$B$5,"Amarillo","Rojo"))))</f>
        <v>Verde</v>
      </c>
      <c r="J45" s="14" t="str">
        <f aca="false">IF(K45="Finalizado","Completado",IF(G45="","Sin fecha válida - revisar plazos",IF(H45&lt;=Parametros!$B$4,"En tiempo, según lo planificado",IF(H45&lt;=Parametros!$B$5,"Atraso leve - seguimiento cercano ("&amp;TEXT(H45,"0.0")&amp;" p.p.)","Atraso crítico - requiere intervención ("&amp;TEXT(H45,"0.0")&amp;" p.p.)"))))</f>
        <v>Completado</v>
      </c>
      <c r="K45" s="7" t="s">
        <v>38</v>
      </c>
      <c r="L45" s="7" t="s">
        <v>107</v>
      </c>
      <c r="M45" s="7" t="s">
        <v>81</v>
      </c>
      <c r="N45" s="7" t="s">
        <v>51</v>
      </c>
      <c r="O45" s="13" t="n">
        <f aca="false">IF(AND(E45&lt;&gt;"",YEAR(E45)=YEAR(Parametros!$B$3),MONTH(E45)&gt;=10),1,0)</f>
        <v>0</v>
      </c>
      <c r="P45" s="13" t="n">
        <f aca="false">IF(AND(E45&lt;Parametros!$B$3,K45&lt;&gt;"Finalizado"),1,0)</f>
        <v>0</v>
      </c>
      <c r="Q45" s="13" t="n">
        <f aca="false">IF(AND(E45&gt;=Parametros!$B$3,E45&lt;=Parametros!$B$3+30,K45&lt;&gt;"Finalizado"),1,0)</f>
        <v>0</v>
      </c>
    </row>
    <row r="46" customFormat="false" ht="15" hidden="false" customHeight="false" outlineLevel="0" collapsed="false">
      <c r="A46" s="7" t="s">
        <v>116</v>
      </c>
      <c r="B46" s="7" t="s">
        <v>117</v>
      </c>
      <c r="C46" s="7" t="s">
        <v>123</v>
      </c>
      <c r="D46" s="9" t="n">
        <v>46153</v>
      </c>
      <c r="E46" s="9" t="n">
        <v>46233</v>
      </c>
      <c r="F46" s="10" t="n">
        <v>100</v>
      </c>
      <c r="G46" s="11" t="n">
        <f aca="false">IF(OR(D46="",E46="",E46&lt;=D46),"",MIN(100,MAX(0,(Parametros!$B$3-D46)/(E46-D46)*100)))</f>
        <v>100</v>
      </c>
      <c r="H46" s="12" t="n">
        <f aca="false">IF(G46="","",G46-F46)</f>
        <v>0</v>
      </c>
      <c r="I46" s="13" t="str">
        <f aca="false">IF(K46="Finalizado","Verde",IF(G46="","Amarillo",IF(H46&lt;=Parametros!$B$4,"Verde",IF(H46&lt;=Parametros!$B$5,"Amarillo","Rojo"))))</f>
        <v>Verde</v>
      </c>
      <c r="J46" s="14" t="str">
        <f aca="false">IF(K46="Finalizado","Completado",IF(G46="","Sin fecha válida - revisar plazos",IF(H46&lt;=Parametros!$B$4,"En tiempo, según lo planificado",IF(H46&lt;=Parametros!$B$5,"Atraso leve - seguimiento cercano ("&amp;TEXT(H46,"0.0")&amp;" p.p.)","Atraso crítico - requiere intervención ("&amp;TEXT(H46,"0.0")&amp;" p.p.)"))))</f>
        <v>Completado</v>
      </c>
      <c r="K46" s="7" t="s">
        <v>38</v>
      </c>
      <c r="L46" s="7"/>
      <c r="M46" s="7" t="s">
        <v>81</v>
      </c>
      <c r="N46" s="7" t="s">
        <v>51</v>
      </c>
      <c r="O46" s="13" t="n">
        <f aca="false">IF(AND(E46&lt;&gt;"",YEAR(E46)=YEAR(Parametros!$B$3),MONTH(E46)&gt;=10),1,0)</f>
        <v>0</v>
      </c>
      <c r="P46" s="13" t="n">
        <f aca="false">IF(AND(E46&lt;Parametros!$B$3,K46&lt;&gt;"Finalizado"),1,0)</f>
        <v>0</v>
      </c>
      <c r="Q46" s="13" t="n">
        <f aca="false">IF(AND(E46&gt;=Parametros!$B$3,E46&lt;=Parametros!$B$3+30,K46&lt;&gt;"Finalizado"),1,0)</f>
        <v>0</v>
      </c>
    </row>
    <row r="47" customFormat="false" ht="15" hidden="false" customHeight="false" outlineLevel="0" collapsed="false">
      <c r="A47" s="7" t="s">
        <v>124</v>
      </c>
      <c r="B47" s="7" t="s">
        <v>125</v>
      </c>
      <c r="C47" s="7" t="s">
        <v>126</v>
      </c>
      <c r="D47" s="9" t="n">
        <v>46055</v>
      </c>
      <c r="E47" s="9" t="n">
        <v>46118</v>
      </c>
      <c r="F47" s="10" t="n">
        <v>100</v>
      </c>
      <c r="G47" s="11" t="n">
        <f aca="false">IF(OR(D47="",E47="",E47&lt;=D47),"",MIN(100,MAX(0,(Parametros!$B$3-D47)/(E47-D47)*100)))</f>
        <v>100</v>
      </c>
      <c r="H47" s="12" t="n">
        <f aca="false">IF(G47="","",G47-F47)</f>
        <v>0</v>
      </c>
      <c r="I47" s="13" t="str">
        <f aca="false">IF(K47="Finalizado","Verde",IF(G47="","Amarillo",IF(H47&lt;=Parametros!$B$4,"Verde",IF(H47&lt;=Parametros!$B$5,"Amarillo","Rojo"))))</f>
        <v>Verde</v>
      </c>
      <c r="J47" s="14" t="str">
        <f aca="false">IF(K47="Finalizado","Completado",IF(G47="","Sin fecha válida - revisar plazos",IF(H47&lt;=Parametros!$B$4,"En tiempo, según lo planificado",IF(H47&lt;=Parametros!$B$5,"Atraso leve - seguimiento cercano ("&amp;TEXT(H47,"0.0")&amp;" p.p.)","Atraso crítico - requiere intervención ("&amp;TEXT(H47,"0.0")&amp;" p.p.)"))))</f>
        <v>Completado</v>
      </c>
      <c r="K47" s="7" t="s">
        <v>38</v>
      </c>
      <c r="L47" s="7"/>
      <c r="M47" s="7" t="s">
        <v>81</v>
      </c>
      <c r="N47" s="7" t="s">
        <v>51</v>
      </c>
      <c r="O47" s="13" t="n">
        <f aca="false">IF(AND(E47&lt;&gt;"",YEAR(E47)=YEAR(Parametros!$B$3),MONTH(E47)&gt;=10),1,0)</f>
        <v>0</v>
      </c>
      <c r="P47" s="13" t="n">
        <f aca="false">IF(AND(E47&lt;Parametros!$B$3,K47&lt;&gt;"Finalizado"),1,0)</f>
        <v>0</v>
      </c>
      <c r="Q47" s="13" t="n">
        <f aca="false">IF(AND(E47&gt;=Parametros!$B$3,E47&lt;=Parametros!$B$3+30,K47&lt;&gt;"Finalizado"),1,0)</f>
        <v>0</v>
      </c>
    </row>
    <row r="48" customFormat="false" ht="15" hidden="false" customHeight="false" outlineLevel="0" collapsed="false">
      <c r="A48" s="7" t="s">
        <v>124</v>
      </c>
      <c r="B48" s="7" t="s">
        <v>125</v>
      </c>
      <c r="C48" s="7" t="s">
        <v>127</v>
      </c>
      <c r="D48" s="9" t="n">
        <v>46119</v>
      </c>
      <c r="E48" s="9" t="n">
        <v>46178</v>
      </c>
      <c r="F48" s="10" t="n">
        <v>100</v>
      </c>
      <c r="G48" s="11" t="n">
        <f aca="false">IF(OR(D48="",E48="",E48&lt;=D48),"",MIN(100,MAX(0,(Parametros!$B$3-D48)/(E48-D48)*100)))</f>
        <v>100</v>
      </c>
      <c r="H48" s="12" t="n">
        <f aca="false">IF(G48="","",G48-F48)</f>
        <v>0</v>
      </c>
      <c r="I48" s="13" t="str">
        <f aca="false">IF(K48="Finalizado","Verde",IF(G48="","Amarillo",IF(H48&lt;=Parametros!$B$4,"Verde",IF(H48&lt;=Parametros!$B$5,"Amarillo","Rojo"))))</f>
        <v>Verde</v>
      </c>
      <c r="J48" s="14" t="str">
        <f aca="false">IF(K48="Finalizado","Completado",IF(G48="","Sin fecha válida - revisar plazos",IF(H48&lt;=Parametros!$B$4,"En tiempo, según lo planificado",IF(H48&lt;=Parametros!$B$5,"Atraso leve - seguimiento cercano ("&amp;TEXT(H48,"0.0")&amp;" p.p.)","Atraso crítico - requiere intervención ("&amp;TEXT(H48,"0.0")&amp;" p.p.)"))))</f>
        <v>Completado</v>
      </c>
      <c r="K48" s="7" t="s">
        <v>38</v>
      </c>
      <c r="L48" s="7"/>
      <c r="M48" s="7" t="s">
        <v>81</v>
      </c>
      <c r="N48" s="7" t="s">
        <v>51</v>
      </c>
      <c r="O48" s="13" t="n">
        <f aca="false">IF(AND(E48&lt;&gt;"",YEAR(E48)=YEAR(Parametros!$B$3),MONTH(E48)&gt;=10),1,0)</f>
        <v>0</v>
      </c>
      <c r="P48" s="13" t="n">
        <f aca="false">IF(AND(E48&lt;Parametros!$B$3,K48&lt;&gt;"Finalizado"),1,0)</f>
        <v>0</v>
      </c>
      <c r="Q48" s="13" t="n">
        <f aca="false">IF(AND(E48&gt;=Parametros!$B$3,E48&lt;=Parametros!$B$3+30,K48&lt;&gt;"Finalizado"),1,0)</f>
        <v>0</v>
      </c>
    </row>
    <row r="49" customFormat="false" ht="15" hidden="false" customHeight="false" outlineLevel="0" collapsed="false">
      <c r="A49" s="7" t="s">
        <v>124</v>
      </c>
      <c r="B49" s="7" t="s">
        <v>125</v>
      </c>
      <c r="C49" s="7" t="s">
        <v>128</v>
      </c>
      <c r="D49" s="9" t="n">
        <v>46181</v>
      </c>
      <c r="E49" s="9" t="n">
        <v>46213</v>
      </c>
      <c r="F49" s="10" t="n">
        <v>100</v>
      </c>
      <c r="G49" s="11" t="n">
        <f aca="false">IF(OR(D49="",E49="",E49&lt;=D49),"",MIN(100,MAX(0,(Parametros!$B$3-D49)/(E49-D49)*100)))</f>
        <v>100</v>
      </c>
      <c r="H49" s="12" t="n">
        <f aca="false">IF(G49="","",G49-F49)</f>
        <v>0</v>
      </c>
      <c r="I49" s="13" t="str">
        <f aca="false">IF(K49="Finalizado","Verde",IF(G49="","Amarillo",IF(H49&lt;=Parametros!$B$4,"Verde",IF(H49&lt;=Parametros!$B$5,"Amarillo","Rojo"))))</f>
        <v>Verde</v>
      </c>
      <c r="J49" s="14" t="str">
        <f aca="false">IF(K49="Finalizado","Completado",IF(G49="","Sin fecha válida - revisar plazos",IF(H49&lt;=Parametros!$B$4,"En tiempo, según lo planificado",IF(H49&lt;=Parametros!$B$5,"Atraso leve - seguimiento cercano ("&amp;TEXT(H49,"0.0")&amp;" p.p.)","Atraso crítico - requiere intervención ("&amp;TEXT(H49,"0.0")&amp;" p.p.)"))))</f>
        <v>Completado</v>
      </c>
      <c r="K49" s="7" t="s">
        <v>38</v>
      </c>
      <c r="L49" s="7"/>
      <c r="M49" s="7" t="s">
        <v>81</v>
      </c>
      <c r="N49" s="7" t="s">
        <v>51</v>
      </c>
      <c r="O49" s="13" t="n">
        <f aca="false">IF(AND(E49&lt;&gt;"",YEAR(E49)=YEAR(Parametros!$B$3),MONTH(E49)&gt;=10),1,0)</f>
        <v>0</v>
      </c>
      <c r="P49" s="13" t="n">
        <f aca="false">IF(AND(E49&lt;Parametros!$B$3,K49&lt;&gt;"Finalizado"),1,0)</f>
        <v>0</v>
      </c>
      <c r="Q49" s="13" t="n">
        <f aca="false">IF(AND(E49&gt;=Parametros!$B$3,E49&lt;=Parametros!$B$3+30,K49&lt;&gt;"Finalizado"),1,0)</f>
        <v>0</v>
      </c>
    </row>
    <row r="50" customFormat="false" ht="15" hidden="false" customHeight="false" outlineLevel="0" collapsed="false">
      <c r="A50" s="7" t="s">
        <v>124</v>
      </c>
      <c r="B50" s="7" t="s">
        <v>125</v>
      </c>
      <c r="C50" s="7" t="s">
        <v>129</v>
      </c>
      <c r="D50" s="9" t="n">
        <v>46216</v>
      </c>
      <c r="E50" s="9" t="n">
        <v>46248</v>
      </c>
      <c r="F50" s="10" t="n">
        <v>80</v>
      </c>
      <c r="G50" s="11" t="n">
        <f aca="false">IF(OR(D50="",E50="",E50&lt;=D50),"",MIN(100,MAX(0,(Parametros!$B$3-D50)/(E50-D50)*100)))</f>
        <v>100</v>
      </c>
      <c r="H50" s="12" t="n">
        <f aca="false">IF(G50="","",G50-F50)</f>
        <v>20</v>
      </c>
      <c r="I50" s="13" t="str">
        <f aca="false">IF(K50="Finalizado","Verde",IF(G50="","Amarillo",IF(H50&lt;=Parametros!$B$4,"Verde",IF(H50&lt;=Parametros!$B$5,"Amarillo","Rojo"))))</f>
        <v>Amarillo</v>
      </c>
      <c r="J50" s="14" t="str">
        <f aca="false">IF(K50="Finalizado","Completado",IF(G50="","Sin fecha válida - revisar plazos",IF(H50&lt;=Parametros!$B$4,"En tiempo, según lo planificado",IF(H50&lt;=Parametros!$B$5,"Atraso leve - seguimiento cercano ("&amp;TEXT(H50,"0.0")&amp;" p.p.)","Atraso crítico - requiere intervención ("&amp;TEXT(H50,"0.0")&amp;" p.p.)"))))</f>
        <v>Atraso leve - seguimiento cercano (20.0 p.p.)</v>
      </c>
      <c r="K50" s="7" t="s">
        <v>27</v>
      </c>
      <c r="L50" s="7"/>
      <c r="M50" s="7" t="s">
        <v>81</v>
      </c>
      <c r="N50" s="7" t="s">
        <v>51</v>
      </c>
      <c r="O50" s="13" t="n">
        <f aca="false">IF(AND(E50&lt;&gt;"",YEAR(E50)=YEAR(Parametros!$B$3),MONTH(E50)&gt;=10),1,0)</f>
        <v>0</v>
      </c>
      <c r="P50" s="13" t="n">
        <f aca="false">IF(AND(E50&lt;Parametros!$B$3,K50&lt;&gt;"Finalizado"),1,0)</f>
        <v>1</v>
      </c>
      <c r="Q50" s="13" t="n">
        <f aca="false">IF(AND(E50&gt;=Parametros!$B$3,E50&lt;=Parametros!$B$3+30,K50&lt;&gt;"Finalizado"),1,0)</f>
        <v>0</v>
      </c>
    </row>
    <row r="51" customFormat="false" ht="15" hidden="false" customHeight="false" outlineLevel="0" collapsed="false">
      <c r="A51" s="7" t="s">
        <v>124</v>
      </c>
      <c r="B51" s="7" t="s">
        <v>125</v>
      </c>
      <c r="C51" s="7" t="s">
        <v>130</v>
      </c>
      <c r="D51" s="9" t="n">
        <v>46251</v>
      </c>
      <c r="E51" s="9" t="n">
        <v>46265</v>
      </c>
      <c r="F51" s="10" t="n">
        <v>0</v>
      </c>
      <c r="G51" s="11" t="n">
        <f aca="false">IF(OR(D51="",E51="",E51&lt;=D51),"",MIN(100,MAX(0,(Parametros!$B$3-D51)/(E51-D51)*100)))</f>
        <v>50</v>
      </c>
      <c r="H51" s="12" t="n">
        <f aca="false">IF(G51="","",G51-F51)</f>
        <v>50</v>
      </c>
      <c r="I51" s="13" t="str">
        <f aca="false">IF(K51="Finalizado","Verde",IF(G51="","Amarillo",IF(H51&lt;=Parametros!$B$4,"Verde",IF(H51&lt;=Parametros!$B$5,"Amarillo","Rojo"))))</f>
        <v>Rojo</v>
      </c>
      <c r="J51" s="14" t="str">
        <f aca="false">IF(K51="Finalizado","Completado",IF(G51="","Sin fecha válida - revisar plazos",IF(H51&lt;=Parametros!$B$4,"En tiempo, según lo planificado",IF(H51&lt;=Parametros!$B$5,"Atraso leve - seguimiento cercano ("&amp;TEXT(H51,"0.0")&amp;" p.p.)","Atraso crítico - requiere intervención ("&amp;TEXT(H51,"0.0")&amp;" p.p.)"))))</f>
        <v>Atraso crítico - requiere intervención (50.0 p.p.)</v>
      </c>
      <c r="K51" s="7" t="s">
        <v>100</v>
      </c>
      <c r="L51" s="7"/>
      <c r="M51" s="7" t="s">
        <v>81</v>
      </c>
      <c r="N51" s="7" t="s">
        <v>51</v>
      </c>
      <c r="O51" s="13" t="n">
        <f aca="false">IF(AND(E51&lt;&gt;"",YEAR(E51)=YEAR(Parametros!$B$3),MONTH(E51)&gt;=10),1,0)</f>
        <v>0</v>
      </c>
      <c r="P51" s="13" t="n">
        <f aca="false">IF(AND(E51&lt;Parametros!$B$3,K51&lt;&gt;"Finalizado"),1,0)</f>
        <v>0</v>
      </c>
      <c r="Q51" s="13" t="n">
        <f aca="false">IF(AND(E51&gt;=Parametros!$B$3,E51&lt;=Parametros!$B$3+30,K51&lt;&gt;"Finalizado"),1,0)</f>
        <v>1</v>
      </c>
    </row>
    <row r="52" customFormat="false" ht="15" hidden="false" customHeight="false" outlineLevel="0" collapsed="false">
      <c r="A52" s="7" t="s">
        <v>124</v>
      </c>
      <c r="B52" s="7" t="s">
        <v>125</v>
      </c>
      <c r="C52" s="7" t="s">
        <v>131</v>
      </c>
      <c r="D52" s="9" t="n">
        <v>46266</v>
      </c>
      <c r="E52" s="9" t="n">
        <v>46283</v>
      </c>
      <c r="F52" s="10" t="n">
        <v>0</v>
      </c>
      <c r="G52" s="11" t="n">
        <f aca="false">IF(OR(D52="",E52="",E52&lt;=D52),"",MIN(100,MAX(0,(Parametros!$B$3-D52)/(E52-D52)*100)))</f>
        <v>0</v>
      </c>
      <c r="H52" s="12" t="n">
        <f aca="false">IF(G52="","",G52-F52)</f>
        <v>0</v>
      </c>
      <c r="I52" s="13" t="str">
        <f aca="false">IF(K52="Finalizado","Verde",IF(G52="","Amarillo",IF(H52&lt;=Parametros!$B$4,"Verde",IF(H52&lt;=Parametros!$B$5,"Amarillo","Rojo"))))</f>
        <v>Verde</v>
      </c>
      <c r="J52" s="14" t="str">
        <f aca="false">IF(K52="Finalizado","Completado",IF(G52="","Sin fecha válida - revisar plazos",IF(H52&lt;=Parametros!$B$4,"En tiempo, según lo planificado",IF(H52&lt;=Parametros!$B$5,"Atraso leve - seguimiento cercano ("&amp;TEXT(H52,"0.0")&amp;" p.p.)","Atraso crítico - requiere intervención ("&amp;TEXT(H52,"0.0")&amp;" p.p.)"))))</f>
        <v>En tiempo, según lo planificado</v>
      </c>
      <c r="K52" s="7" t="s">
        <v>100</v>
      </c>
      <c r="L52" s="7"/>
      <c r="M52" s="7" t="s">
        <v>81</v>
      </c>
      <c r="N52" s="7" t="s">
        <v>51</v>
      </c>
      <c r="O52" s="13" t="n">
        <f aca="false">IF(AND(E52&lt;&gt;"",YEAR(E52)=YEAR(Parametros!$B$3),MONTH(E52)&gt;=10),1,0)</f>
        <v>0</v>
      </c>
      <c r="P52" s="13" t="n">
        <f aca="false">IF(AND(E52&lt;Parametros!$B$3,K52&lt;&gt;"Finalizado"),1,0)</f>
        <v>0</v>
      </c>
      <c r="Q52" s="13" t="n">
        <f aca="false">IF(AND(E52&gt;=Parametros!$B$3,E52&lt;=Parametros!$B$3+30,K52&lt;&gt;"Finalizado"),1,0)</f>
        <v>1</v>
      </c>
    </row>
    <row r="53" customFormat="false" ht="15" hidden="false" customHeight="false" outlineLevel="0" collapsed="false">
      <c r="A53" s="7" t="s">
        <v>124</v>
      </c>
      <c r="B53" s="7" t="s">
        <v>125</v>
      </c>
      <c r="C53" s="7" t="s">
        <v>132</v>
      </c>
      <c r="D53" s="9" t="n">
        <v>46286</v>
      </c>
      <c r="E53" s="9" t="n">
        <v>46325</v>
      </c>
      <c r="F53" s="10" t="n">
        <v>0</v>
      </c>
      <c r="G53" s="11" t="n">
        <f aca="false">IF(OR(D53="",E53="",E53&lt;=D53),"",MIN(100,MAX(0,(Parametros!$B$3-D53)/(E53-D53)*100)))</f>
        <v>0</v>
      </c>
      <c r="H53" s="12" t="n">
        <f aca="false">IF(G53="","",G53-F53)</f>
        <v>0</v>
      </c>
      <c r="I53" s="13" t="str">
        <f aca="false">IF(K53="Finalizado","Verde",IF(G53="","Amarillo",IF(H53&lt;=Parametros!$B$4,"Verde",IF(H53&lt;=Parametros!$B$5,"Amarillo","Rojo"))))</f>
        <v>Verde</v>
      </c>
      <c r="J53" s="14" t="str">
        <f aca="false">IF(K53="Finalizado","Completado",IF(G53="","Sin fecha válida - revisar plazos",IF(H53&lt;=Parametros!$B$4,"En tiempo, según lo planificado",IF(H53&lt;=Parametros!$B$5,"Atraso leve - seguimiento cercano ("&amp;TEXT(H53,"0.0")&amp;" p.p.)","Atraso crítico - requiere intervención ("&amp;TEXT(H53,"0.0")&amp;" p.p.)"))))</f>
        <v>En tiempo, según lo planificado</v>
      </c>
      <c r="K53" s="7" t="s">
        <v>100</v>
      </c>
      <c r="L53" s="7"/>
      <c r="M53" s="7" t="s">
        <v>81</v>
      </c>
      <c r="N53" s="7" t="s">
        <v>51</v>
      </c>
      <c r="O53" s="13" t="n">
        <f aca="false">IF(AND(E53&lt;&gt;"",YEAR(E53)=YEAR(Parametros!$B$3),MONTH(E53)&gt;=10),1,0)</f>
        <v>1</v>
      </c>
      <c r="P53" s="13" t="n">
        <f aca="false">IF(AND(E53&lt;Parametros!$B$3,K53&lt;&gt;"Finalizado"),1,0)</f>
        <v>0</v>
      </c>
      <c r="Q53" s="13" t="n">
        <f aca="false">IF(AND(E53&gt;=Parametros!$B$3,E53&lt;=Parametros!$B$3+30,K53&lt;&gt;"Finalizado"),1,0)</f>
        <v>0</v>
      </c>
    </row>
    <row r="54" customFormat="false" ht="15" hidden="false" customHeight="false" outlineLevel="0" collapsed="false">
      <c r="A54" s="7" t="s">
        <v>124</v>
      </c>
      <c r="B54" s="7" t="s">
        <v>125</v>
      </c>
      <c r="C54" s="7" t="s">
        <v>133</v>
      </c>
      <c r="D54" s="9" t="n">
        <v>46328</v>
      </c>
      <c r="E54" s="9" t="n">
        <v>46367</v>
      </c>
      <c r="F54" s="10" t="n">
        <v>0</v>
      </c>
      <c r="G54" s="11" t="n">
        <f aca="false">IF(OR(D54="",E54="",E54&lt;=D54),"",MIN(100,MAX(0,(Parametros!$B$3-D54)/(E54-D54)*100)))</f>
        <v>0</v>
      </c>
      <c r="H54" s="12" t="n">
        <f aca="false">IF(G54="","",G54-F54)</f>
        <v>0</v>
      </c>
      <c r="I54" s="13" t="str">
        <f aca="false">IF(K54="Finalizado","Verde",IF(G54="","Amarillo",IF(H54&lt;=Parametros!$B$4,"Verde",IF(H54&lt;=Parametros!$B$5,"Amarillo","Rojo"))))</f>
        <v>Verde</v>
      </c>
      <c r="J54" s="14" t="str">
        <f aca="false">IF(K54="Finalizado","Completado",IF(G54="","Sin fecha válida - revisar plazos",IF(H54&lt;=Parametros!$B$4,"En tiempo, según lo planificado",IF(H54&lt;=Parametros!$B$5,"Atraso leve - seguimiento cercano ("&amp;TEXT(H54,"0.0")&amp;" p.p.)","Atraso crítico - requiere intervención ("&amp;TEXT(H54,"0.0")&amp;" p.p.)"))))</f>
        <v>En tiempo, según lo planificado</v>
      </c>
      <c r="K54" s="7" t="s">
        <v>100</v>
      </c>
      <c r="L54" s="7"/>
      <c r="M54" s="7" t="s">
        <v>81</v>
      </c>
      <c r="N54" s="7" t="s">
        <v>51</v>
      </c>
      <c r="O54" s="13" t="n">
        <f aca="false">IF(AND(E54&lt;&gt;"",YEAR(E54)=YEAR(Parametros!$B$3),MONTH(E54)&gt;=10),1,0)</f>
        <v>1</v>
      </c>
      <c r="P54" s="13" t="n">
        <f aca="false">IF(AND(E54&lt;Parametros!$B$3,K54&lt;&gt;"Finalizado"),1,0)</f>
        <v>0</v>
      </c>
      <c r="Q54" s="13" t="n">
        <f aca="false">IF(AND(E54&gt;=Parametros!$B$3,E54&lt;=Parametros!$B$3+30,K54&lt;&gt;"Finalizado"),1,0)</f>
        <v>0</v>
      </c>
    </row>
    <row r="55" customFormat="false" ht="15" hidden="false" customHeight="false" outlineLevel="0" collapsed="false">
      <c r="A55" s="7" t="s">
        <v>124</v>
      </c>
      <c r="B55" s="7" t="s">
        <v>125</v>
      </c>
      <c r="C55" s="7" t="s">
        <v>134</v>
      </c>
      <c r="D55" s="9" t="n">
        <v>46055</v>
      </c>
      <c r="E55" s="9" t="n">
        <v>46387</v>
      </c>
      <c r="F55" s="10" t="n">
        <v>60</v>
      </c>
      <c r="G55" s="11" t="n">
        <f aca="false">IF(OR(D55="",E55="",E55&lt;=D55),"",MIN(100,MAX(0,(Parametros!$B$3-D55)/(E55-D55)*100)))</f>
        <v>61.144578313253</v>
      </c>
      <c r="H55" s="12" t="n">
        <f aca="false">IF(G55="","",G55-F55)</f>
        <v>1.14457831325302</v>
      </c>
      <c r="I55" s="13" t="str">
        <f aca="false">IF(K55="Finalizado","Verde",IF(G55="","Amarillo",IF(H55&lt;=Parametros!$B$4,"Verde",IF(H55&lt;=Parametros!$B$5,"Amarillo","Rojo"))))</f>
        <v>Verde</v>
      </c>
      <c r="J55" s="14" t="str">
        <f aca="false">IF(K55="Finalizado","Completado",IF(G55="","Sin fecha válida - revisar plazos",IF(H55&lt;=Parametros!$B$4,"En tiempo, según lo planificado",IF(H55&lt;=Parametros!$B$5,"Atraso leve - seguimiento cercano ("&amp;TEXT(H55,"0.0")&amp;" p.p.)","Atraso crítico - requiere intervención ("&amp;TEXT(H55,"0.0")&amp;" p.p.)"))))</f>
        <v>En tiempo, según lo planificado</v>
      </c>
      <c r="K55" s="7" t="s">
        <v>27</v>
      </c>
      <c r="L55" s="7" t="s">
        <v>135</v>
      </c>
      <c r="M55" s="7" t="s">
        <v>81</v>
      </c>
      <c r="N55" s="7" t="s">
        <v>51</v>
      </c>
      <c r="O55" s="13" t="n">
        <f aca="false">IF(AND(E55&lt;&gt;"",YEAR(E55)=YEAR(Parametros!$B$3),MONTH(E55)&gt;=10),1,0)</f>
        <v>1</v>
      </c>
      <c r="P55" s="13" t="n">
        <f aca="false">IF(AND(E55&lt;Parametros!$B$3,K55&lt;&gt;"Finalizado"),1,0)</f>
        <v>0</v>
      </c>
      <c r="Q55" s="13" t="n">
        <f aca="false">IF(AND(E55&gt;=Parametros!$B$3,E55&lt;=Parametros!$B$3+30,K55&lt;&gt;"Finalizado"),1,0)</f>
        <v>0</v>
      </c>
    </row>
    <row r="56" customFormat="false" ht="15" hidden="false" customHeight="false" outlineLevel="0" collapsed="false">
      <c r="A56" s="7" t="s">
        <v>136</v>
      </c>
      <c r="B56" s="7" t="s">
        <v>137</v>
      </c>
      <c r="C56" s="7" t="s">
        <v>138</v>
      </c>
      <c r="D56" s="9" t="n">
        <v>45778</v>
      </c>
      <c r="E56" s="9" t="n">
        <v>46081</v>
      </c>
      <c r="F56" s="10" t="n">
        <v>100</v>
      </c>
      <c r="G56" s="11" t="n">
        <f aca="false">IF(OR(D56="",E56="",E56&lt;=D56),"",MIN(100,MAX(0,(Parametros!$B$3-D56)/(E56-D56)*100)))</f>
        <v>100</v>
      </c>
      <c r="H56" s="12" t="n">
        <f aca="false">IF(G56="","",G56-F56)</f>
        <v>0</v>
      </c>
      <c r="I56" s="13" t="str">
        <f aca="false">IF(K56="Finalizado","Verde",IF(G56="","Amarillo",IF(H56&lt;=Parametros!$B$4,"Verde",IF(H56&lt;=Parametros!$B$5,"Amarillo","Rojo"))))</f>
        <v>Verde</v>
      </c>
      <c r="J56" s="14" t="str">
        <f aca="false">IF(K56="Finalizado","Completado",IF(G56="","Sin fecha válida - revisar plazos",IF(H56&lt;=Parametros!$B$4,"En tiempo, según lo planificado",IF(H56&lt;=Parametros!$B$5,"Atraso leve - seguimiento cercano ("&amp;TEXT(H56,"0.0")&amp;" p.p.)","Atraso crítico - requiere intervención ("&amp;TEXT(H56,"0.0")&amp;" p.p.)"))))</f>
        <v>Completado</v>
      </c>
      <c r="K56" s="7" t="s">
        <v>38</v>
      </c>
      <c r="L56" s="7" t="s">
        <v>139</v>
      </c>
      <c r="M56" s="7" t="s">
        <v>81</v>
      </c>
      <c r="N56" s="7" t="s">
        <v>51</v>
      </c>
      <c r="O56" s="13" t="n">
        <f aca="false">IF(AND(E56&lt;&gt;"",YEAR(E56)=YEAR(Parametros!$B$3),MONTH(E56)&gt;=10),1,0)</f>
        <v>0</v>
      </c>
      <c r="P56" s="13" t="n">
        <f aca="false">IF(AND(E56&lt;Parametros!$B$3,K56&lt;&gt;"Finalizado"),1,0)</f>
        <v>0</v>
      </c>
      <c r="Q56" s="13" t="n">
        <f aca="false">IF(AND(E56&gt;=Parametros!$B$3,E56&lt;=Parametros!$B$3+30,K56&lt;&gt;"Finalizado"),1,0)</f>
        <v>0</v>
      </c>
    </row>
    <row r="57" customFormat="false" ht="15" hidden="false" customHeight="false" outlineLevel="0" collapsed="false">
      <c r="A57" s="7" t="s">
        <v>140</v>
      </c>
      <c r="B57" s="7" t="s">
        <v>141</v>
      </c>
      <c r="C57" s="7" t="s">
        <v>142</v>
      </c>
      <c r="D57" s="9" t="n">
        <v>46090</v>
      </c>
      <c r="E57" s="9" t="n">
        <v>46216</v>
      </c>
      <c r="F57" s="10" t="n">
        <v>90</v>
      </c>
      <c r="G57" s="11" t="n">
        <f aca="false">IF(OR(D57="",E57="",E57&lt;=D57),"",MIN(100,MAX(0,(Parametros!$B$3-D57)/(E57-D57)*100)))</f>
        <v>100</v>
      </c>
      <c r="H57" s="12" t="n">
        <f aca="false">IF(G57="","",G57-F57)</f>
        <v>10</v>
      </c>
      <c r="I57" s="13" t="str">
        <f aca="false">IF(K57="Finalizado","Verde",IF(G57="","Amarillo",IF(H57&lt;=Parametros!$B$4,"Verde",IF(H57&lt;=Parametros!$B$5,"Amarillo","Rojo"))))</f>
        <v>Amarillo</v>
      </c>
      <c r="J57" s="14" t="str">
        <f aca="false">IF(K57="Finalizado","Completado",IF(G57="","Sin fecha válida - revisar plazos",IF(H57&lt;=Parametros!$B$4,"En tiempo, según lo planificado",IF(H57&lt;=Parametros!$B$5,"Atraso leve - seguimiento cercano ("&amp;TEXT(H57,"0.0")&amp;" p.p.)","Atraso crítico - requiere intervención ("&amp;TEXT(H57,"0.0")&amp;" p.p.)"))))</f>
        <v>Atraso leve - seguimiento cercano (10.0 p.p.)</v>
      </c>
      <c r="K57" s="7" t="s">
        <v>27</v>
      </c>
      <c r="L57" s="7"/>
      <c r="M57" s="7" t="s">
        <v>81</v>
      </c>
      <c r="N57" s="7" t="s">
        <v>51</v>
      </c>
      <c r="O57" s="13" t="n">
        <f aca="false">IF(AND(E57&lt;&gt;"",YEAR(E57)=YEAR(Parametros!$B$3),MONTH(E57)&gt;=10),1,0)</f>
        <v>0</v>
      </c>
      <c r="P57" s="13" t="n">
        <f aca="false">IF(AND(E57&lt;Parametros!$B$3,K57&lt;&gt;"Finalizado"),1,0)</f>
        <v>1</v>
      </c>
      <c r="Q57" s="13" t="n">
        <f aca="false">IF(AND(E57&gt;=Parametros!$B$3,E57&lt;=Parametros!$B$3+30,K57&lt;&gt;"Finalizado"),1,0)</f>
        <v>0</v>
      </c>
    </row>
    <row r="58" customFormat="false" ht="15" hidden="false" customHeight="false" outlineLevel="0" collapsed="false">
      <c r="A58" s="7" t="s">
        <v>140</v>
      </c>
      <c r="B58" s="7" t="s">
        <v>141</v>
      </c>
      <c r="C58" s="7" t="s">
        <v>143</v>
      </c>
      <c r="D58" s="9" t="n">
        <v>46104</v>
      </c>
      <c r="E58" s="9" t="n">
        <v>46142</v>
      </c>
      <c r="F58" s="10" t="n">
        <v>100</v>
      </c>
      <c r="G58" s="11" t="n">
        <f aca="false">IF(OR(D58="",E58="",E58&lt;=D58),"",MIN(100,MAX(0,(Parametros!$B$3-D58)/(E58-D58)*100)))</f>
        <v>100</v>
      </c>
      <c r="H58" s="12" t="n">
        <f aca="false">IF(G58="","",G58-F58)</f>
        <v>0</v>
      </c>
      <c r="I58" s="13" t="str">
        <f aca="false">IF(K58="Finalizado","Verde",IF(G58="","Amarillo",IF(H58&lt;=Parametros!$B$4,"Verde",IF(H58&lt;=Parametros!$B$5,"Amarillo","Rojo"))))</f>
        <v>Verde</v>
      </c>
      <c r="J58" s="14" t="str">
        <f aca="false">IF(K58="Finalizado","Completado",IF(G58="","Sin fecha válida - revisar plazos",IF(H58&lt;=Parametros!$B$4,"En tiempo, según lo planificado",IF(H58&lt;=Parametros!$B$5,"Atraso leve - seguimiento cercano ("&amp;TEXT(H58,"0.0")&amp;" p.p.)","Atraso crítico - requiere intervención ("&amp;TEXT(H58,"0.0")&amp;" p.p.)"))))</f>
        <v>Completado</v>
      </c>
      <c r="K58" s="7" t="s">
        <v>38</v>
      </c>
      <c r="L58" s="7"/>
      <c r="M58" s="7" t="s">
        <v>81</v>
      </c>
      <c r="N58" s="7" t="s">
        <v>51</v>
      </c>
      <c r="O58" s="13" t="n">
        <f aca="false">IF(AND(E58&lt;&gt;"",YEAR(E58)=YEAR(Parametros!$B$3),MONTH(E58)&gt;=10),1,0)</f>
        <v>0</v>
      </c>
      <c r="P58" s="13" t="n">
        <f aca="false">IF(AND(E58&lt;Parametros!$B$3,K58&lt;&gt;"Finalizado"),1,0)</f>
        <v>0</v>
      </c>
      <c r="Q58" s="13" t="n">
        <f aca="false">IF(AND(E58&gt;=Parametros!$B$3,E58&lt;=Parametros!$B$3+30,K58&lt;&gt;"Finalizado"),1,0)</f>
        <v>0</v>
      </c>
    </row>
    <row r="59" customFormat="false" ht="15" hidden="false" customHeight="false" outlineLevel="0" collapsed="false">
      <c r="A59" s="7" t="s">
        <v>140</v>
      </c>
      <c r="B59" s="7" t="s">
        <v>141</v>
      </c>
      <c r="C59" s="7" t="s">
        <v>144</v>
      </c>
      <c r="D59" s="9" t="n">
        <v>46237</v>
      </c>
      <c r="E59" s="9" t="n">
        <v>46295</v>
      </c>
      <c r="F59" s="10" t="n">
        <v>90</v>
      </c>
      <c r="G59" s="11" t="n">
        <f aca="false">IF(OR(D59="",E59="",E59&lt;=D59),"",MIN(100,MAX(0,(Parametros!$B$3-D59)/(E59-D59)*100)))</f>
        <v>36.2068965517241</v>
      </c>
      <c r="H59" s="12" t="n">
        <f aca="false">IF(G59="","",G59-F59)</f>
        <v>-53.7931034482759</v>
      </c>
      <c r="I59" s="13" t="str">
        <f aca="false">IF(K59="Finalizado","Verde",IF(G59="","Amarillo",IF(H59&lt;=Parametros!$B$4,"Verde",IF(H59&lt;=Parametros!$B$5,"Amarillo","Rojo"))))</f>
        <v>Verde</v>
      </c>
      <c r="J59" s="14" t="str">
        <f aca="false">IF(K59="Finalizado","Completado",IF(G59="","Sin fecha válida - revisar plazos",IF(H59&lt;=Parametros!$B$4,"En tiempo, según lo planificado",IF(H59&lt;=Parametros!$B$5,"Atraso leve - seguimiento cercano ("&amp;TEXT(H59,"0.0")&amp;" p.p.)","Atraso crítico - requiere intervención ("&amp;TEXT(H59,"0.0")&amp;" p.p.)"))))</f>
        <v>En tiempo, según lo planificado</v>
      </c>
      <c r="K59" s="7" t="s">
        <v>27</v>
      </c>
      <c r="L59" s="7"/>
      <c r="M59" s="7" t="s">
        <v>81</v>
      </c>
      <c r="N59" s="7" t="s">
        <v>51</v>
      </c>
      <c r="O59" s="13" t="n">
        <f aca="false">IF(AND(E59&lt;&gt;"",YEAR(E59)=YEAR(Parametros!$B$3),MONTH(E59)&gt;=10),1,0)</f>
        <v>0</v>
      </c>
      <c r="P59" s="13" t="n">
        <f aca="false">IF(AND(E59&lt;Parametros!$B$3,K59&lt;&gt;"Finalizado"),1,0)</f>
        <v>0</v>
      </c>
      <c r="Q59" s="13" t="n">
        <f aca="false">IF(AND(E59&gt;=Parametros!$B$3,E59&lt;=Parametros!$B$3+30,K59&lt;&gt;"Finalizado"),1,0)</f>
        <v>0</v>
      </c>
    </row>
    <row r="60" customFormat="false" ht="15" hidden="false" customHeight="false" outlineLevel="0" collapsed="false">
      <c r="A60" s="7" t="s">
        <v>140</v>
      </c>
      <c r="B60" s="7" t="s">
        <v>141</v>
      </c>
      <c r="C60" s="7" t="s">
        <v>145</v>
      </c>
      <c r="D60" s="9" t="n">
        <v>46300</v>
      </c>
      <c r="E60" s="9" t="n">
        <v>46356</v>
      </c>
      <c r="F60" s="10" t="n">
        <v>0</v>
      </c>
      <c r="G60" s="11" t="n">
        <f aca="false">IF(OR(D60="",E60="",E60&lt;=D60),"",MIN(100,MAX(0,(Parametros!$B$3-D60)/(E60-D60)*100)))</f>
        <v>0</v>
      </c>
      <c r="H60" s="12" t="n">
        <f aca="false">IF(G60="","",G60-F60)</f>
        <v>0</v>
      </c>
      <c r="I60" s="13" t="str">
        <f aca="false">IF(K60="Finalizado","Verde",IF(G60="","Amarillo",IF(H60&lt;=Parametros!$B$4,"Verde",IF(H60&lt;=Parametros!$B$5,"Amarillo","Rojo"))))</f>
        <v>Verde</v>
      </c>
      <c r="J60" s="14" t="str">
        <f aca="false">IF(K60="Finalizado","Completado",IF(G60="","Sin fecha válida - revisar plazos",IF(H60&lt;=Parametros!$B$4,"En tiempo, según lo planificado",IF(H60&lt;=Parametros!$B$5,"Atraso leve - seguimiento cercano ("&amp;TEXT(H60,"0.0")&amp;" p.p.)","Atraso crítico - requiere intervención ("&amp;TEXT(H60,"0.0")&amp;" p.p.)"))))</f>
        <v>En tiempo, según lo planificado</v>
      </c>
      <c r="K60" s="7" t="s">
        <v>100</v>
      </c>
      <c r="L60" s="7"/>
      <c r="M60" s="7" t="s">
        <v>81</v>
      </c>
      <c r="N60" s="7" t="s">
        <v>51</v>
      </c>
      <c r="O60" s="13" t="n">
        <f aca="false">IF(AND(E60&lt;&gt;"",YEAR(E60)=YEAR(Parametros!$B$3),MONTH(E60)&gt;=10),1,0)</f>
        <v>1</v>
      </c>
      <c r="P60" s="13" t="n">
        <f aca="false">IF(AND(E60&lt;Parametros!$B$3,K60&lt;&gt;"Finalizado"),1,0)</f>
        <v>0</v>
      </c>
      <c r="Q60" s="13" t="n">
        <f aca="false">IF(AND(E60&gt;=Parametros!$B$3,E60&lt;=Parametros!$B$3+30,K60&lt;&gt;"Finalizado"),1,0)</f>
        <v>0</v>
      </c>
    </row>
    <row r="61" customFormat="false" ht="15" hidden="false" customHeight="false" outlineLevel="0" collapsed="false">
      <c r="A61" s="7" t="s">
        <v>140</v>
      </c>
      <c r="B61" s="7" t="s">
        <v>141</v>
      </c>
      <c r="C61" s="7" t="s">
        <v>146</v>
      </c>
      <c r="D61" s="9" t="n">
        <v>46034</v>
      </c>
      <c r="E61" s="9" t="n">
        <v>46081</v>
      </c>
      <c r="F61" s="10" t="n">
        <v>100</v>
      </c>
      <c r="G61" s="11" t="n">
        <f aca="false">IF(OR(D61="",E61="",E61&lt;=D61),"",MIN(100,MAX(0,(Parametros!$B$3-D61)/(E61-D61)*100)))</f>
        <v>100</v>
      </c>
      <c r="H61" s="12" t="n">
        <f aca="false">IF(G61="","",G61-F61)</f>
        <v>0</v>
      </c>
      <c r="I61" s="13" t="str">
        <f aca="false">IF(K61="Finalizado","Verde",IF(G61="","Amarillo",IF(H61&lt;=Parametros!$B$4,"Verde",IF(H61&lt;=Parametros!$B$5,"Amarillo","Rojo"))))</f>
        <v>Verde</v>
      </c>
      <c r="J61" s="14" t="str">
        <f aca="false">IF(K61="Finalizado","Completado",IF(G61="","Sin fecha válida - revisar plazos",IF(H61&lt;=Parametros!$B$4,"En tiempo, según lo planificado",IF(H61&lt;=Parametros!$B$5,"Atraso leve - seguimiento cercano ("&amp;TEXT(H61,"0.0")&amp;" p.p.)","Atraso crítico - requiere intervención ("&amp;TEXT(H61,"0.0")&amp;" p.p.)"))))</f>
        <v>Completado</v>
      </c>
      <c r="K61" s="7" t="s">
        <v>38</v>
      </c>
      <c r="L61" s="7"/>
      <c r="M61" s="7" t="s">
        <v>81</v>
      </c>
      <c r="N61" s="7" t="s">
        <v>51</v>
      </c>
      <c r="O61" s="13" t="n">
        <f aca="false">IF(AND(E61&lt;&gt;"",YEAR(E61)=YEAR(Parametros!$B$3),MONTH(E61)&gt;=10),1,0)</f>
        <v>0</v>
      </c>
      <c r="P61" s="13" t="n">
        <f aca="false">IF(AND(E61&lt;Parametros!$B$3,K61&lt;&gt;"Finalizado"),1,0)</f>
        <v>0</v>
      </c>
      <c r="Q61" s="13" t="n">
        <f aca="false">IF(AND(E61&gt;=Parametros!$B$3,E61&lt;=Parametros!$B$3+30,K61&lt;&gt;"Finalizado"),1,0)</f>
        <v>0</v>
      </c>
    </row>
    <row r="62" customFormat="false" ht="15" hidden="false" customHeight="false" outlineLevel="0" collapsed="false">
      <c r="A62" s="7" t="s">
        <v>140</v>
      </c>
      <c r="B62" s="7" t="s">
        <v>141</v>
      </c>
      <c r="C62" s="7" t="s">
        <v>147</v>
      </c>
      <c r="D62" s="9" t="n">
        <v>46146</v>
      </c>
      <c r="E62" s="9" t="n">
        <v>46233</v>
      </c>
      <c r="F62" s="10" t="n">
        <v>75</v>
      </c>
      <c r="G62" s="11" t="n">
        <f aca="false">IF(OR(D62="",E62="",E62&lt;=D62),"",MIN(100,MAX(0,(Parametros!$B$3-D62)/(E62-D62)*100)))</f>
        <v>100</v>
      </c>
      <c r="H62" s="12" t="n">
        <f aca="false">IF(G62="","",G62-F62)</f>
        <v>25</v>
      </c>
      <c r="I62" s="13" t="str">
        <f aca="false">IF(K62="Finalizado","Verde",IF(G62="","Amarillo",IF(H62&lt;=Parametros!$B$4,"Verde",IF(H62&lt;=Parametros!$B$5,"Amarillo","Rojo"))))</f>
        <v>Rojo</v>
      </c>
      <c r="J62" s="14" t="str">
        <f aca="false">IF(K62="Finalizado","Completado",IF(G62="","Sin fecha válida - revisar plazos",IF(H62&lt;=Parametros!$B$4,"En tiempo, según lo planificado",IF(H62&lt;=Parametros!$B$5,"Atraso leve - seguimiento cercano ("&amp;TEXT(H62,"0.0")&amp;" p.p.)","Atraso crítico - requiere intervención ("&amp;TEXT(H62,"0.0")&amp;" p.p.)"))))</f>
        <v>Atraso crítico - requiere intervención (25.0 p.p.)</v>
      </c>
      <c r="K62" s="7" t="s">
        <v>27</v>
      </c>
      <c r="L62" s="7"/>
      <c r="M62" s="7" t="s">
        <v>81</v>
      </c>
      <c r="N62" s="7" t="s">
        <v>51</v>
      </c>
      <c r="O62" s="13" t="n">
        <f aca="false">IF(AND(E62&lt;&gt;"",YEAR(E62)=YEAR(Parametros!$B$3),MONTH(E62)&gt;=10),1,0)</f>
        <v>0</v>
      </c>
      <c r="P62" s="13" t="n">
        <f aca="false">IF(AND(E62&lt;Parametros!$B$3,K62&lt;&gt;"Finalizado"),1,0)</f>
        <v>1</v>
      </c>
      <c r="Q62" s="13" t="n">
        <f aca="false">IF(AND(E62&gt;=Parametros!$B$3,E62&lt;=Parametros!$B$3+30,K62&lt;&gt;"Finalizado"),1,0)</f>
        <v>0</v>
      </c>
    </row>
    <row r="63" customFormat="false" ht="15" hidden="false" customHeight="false" outlineLevel="0" collapsed="false">
      <c r="A63" s="7" t="s">
        <v>148</v>
      </c>
      <c r="B63" s="7" t="s">
        <v>149</v>
      </c>
      <c r="C63" s="7" t="s">
        <v>150</v>
      </c>
      <c r="D63" s="9" t="n">
        <v>45809</v>
      </c>
      <c r="E63" s="9" t="n">
        <v>46081</v>
      </c>
      <c r="F63" s="10" t="n">
        <v>100</v>
      </c>
      <c r="G63" s="11" t="n">
        <f aca="false">IF(OR(D63="",E63="",E63&lt;=D63),"",MIN(100,MAX(0,(Parametros!$B$3-D63)/(E63-D63)*100)))</f>
        <v>100</v>
      </c>
      <c r="H63" s="12" t="n">
        <f aca="false">IF(G63="","",G63-F63)</f>
        <v>0</v>
      </c>
      <c r="I63" s="13" t="str">
        <f aca="false">IF(K63="Finalizado","Verde",IF(G63="","Amarillo",IF(H63&lt;=Parametros!$B$4,"Verde",IF(H63&lt;=Parametros!$B$5,"Amarillo","Rojo"))))</f>
        <v>Verde</v>
      </c>
      <c r="J63" s="14" t="str">
        <f aca="false">IF(K63="Finalizado","Completado",IF(G63="","Sin fecha válida - revisar plazos",IF(H63&lt;=Parametros!$B$4,"En tiempo, según lo planificado",IF(H63&lt;=Parametros!$B$5,"Atraso leve - seguimiento cercano ("&amp;TEXT(H63,"0.0")&amp;" p.p.)","Atraso crítico - requiere intervención ("&amp;TEXT(H63,"0.0")&amp;" p.p.)"))))</f>
        <v>Completado</v>
      </c>
      <c r="K63" s="7" t="s">
        <v>38</v>
      </c>
      <c r="L63" s="7" t="s">
        <v>151</v>
      </c>
      <c r="M63" s="7" t="s">
        <v>81</v>
      </c>
      <c r="N63" s="7" t="s">
        <v>51</v>
      </c>
      <c r="O63" s="13" t="n">
        <f aca="false">IF(AND(E63&lt;&gt;"",YEAR(E63)=YEAR(Parametros!$B$3),MONTH(E63)&gt;=10),1,0)</f>
        <v>0</v>
      </c>
      <c r="P63" s="13" t="n">
        <f aca="false">IF(AND(E63&lt;Parametros!$B$3,K63&lt;&gt;"Finalizado"),1,0)</f>
        <v>0</v>
      </c>
      <c r="Q63" s="13" t="n">
        <f aca="false">IF(AND(E63&gt;=Parametros!$B$3,E63&lt;=Parametros!$B$3+30,K63&lt;&gt;"Finalizado"),1,0)</f>
        <v>0</v>
      </c>
    </row>
    <row r="64" customFormat="false" ht="15" hidden="false" customHeight="false" outlineLevel="0" collapsed="false">
      <c r="A64" s="7" t="s">
        <v>152</v>
      </c>
      <c r="B64" s="7" t="s">
        <v>153</v>
      </c>
      <c r="C64" s="7" t="s">
        <v>154</v>
      </c>
      <c r="D64" s="9" t="n">
        <v>46027</v>
      </c>
      <c r="E64" s="9" t="n">
        <v>46090</v>
      </c>
      <c r="F64" s="10" t="n">
        <v>100</v>
      </c>
      <c r="G64" s="11" t="n">
        <f aca="false">IF(OR(D64="",E64="",E64&lt;=D64),"",MIN(100,MAX(0,(Parametros!$B$3-D64)/(E64-D64)*100)))</f>
        <v>100</v>
      </c>
      <c r="H64" s="12" t="n">
        <f aca="false">IF(G64="","",G64-F64)</f>
        <v>0</v>
      </c>
      <c r="I64" s="13" t="str">
        <f aca="false">IF(K64="Finalizado","Verde",IF(G64="","Amarillo",IF(H64&lt;=Parametros!$B$4,"Verde",IF(H64&lt;=Parametros!$B$5,"Amarillo","Rojo"))))</f>
        <v>Verde</v>
      </c>
      <c r="J64" s="14" t="str">
        <f aca="false">IF(K64="Finalizado","Completado",IF(G64="","Sin fecha válida - revisar plazos",IF(H64&lt;=Parametros!$B$4,"En tiempo, según lo planificado",IF(H64&lt;=Parametros!$B$5,"Atraso leve - seguimiento cercano ("&amp;TEXT(H64,"0.0")&amp;" p.p.)","Atraso crítico - requiere intervención ("&amp;TEXT(H64,"0.0")&amp;" p.p.)"))))</f>
        <v>Completado</v>
      </c>
      <c r="K64" s="7" t="s">
        <v>38</v>
      </c>
      <c r="L64" s="7" t="s">
        <v>155</v>
      </c>
      <c r="M64" s="7" t="s">
        <v>81</v>
      </c>
      <c r="N64" s="7" t="s">
        <v>51</v>
      </c>
      <c r="O64" s="13" t="n">
        <f aca="false">IF(AND(E64&lt;&gt;"",YEAR(E64)=YEAR(Parametros!$B$3),MONTH(E64)&gt;=10),1,0)</f>
        <v>0</v>
      </c>
      <c r="P64" s="13" t="n">
        <f aca="false">IF(AND(E64&lt;Parametros!$B$3,K64&lt;&gt;"Finalizado"),1,0)</f>
        <v>0</v>
      </c>
      <c r="Q64" s="13" t="n">
        <f aca="false">IF(AND(E64&gt;=Parametros!$B$3,E64&lt;=Parametros!$B$3+30,K64&lt;&gt;"Finalizado"),1,0)</f>
        <v>0</v>
      </c>
    </row>
    <row r="65" customFormat="false" ht="15" hidden="false" customHeight="false" outlineLevel="0" collapsed="false">
      <c r="A65" s="7" t="s">
        <v>152</v>
      </c>
      <c r="B65" s="7" t="s">
        <v>153</v>
      </c>
      <c r="C65" s="7" t="s">
        <v>156</v>
      </c>
      <c r="D65" s="9" t="n">
        <v>46091</v>
      </c>
      <c r="E65" s="9" t="n">
        <v>46114</v>
      </c>
      <c r="F65" s="10" t="n">
        <v>100</v>
      </c>
      <c r="G65" s="11" t="n">
        <f aca="false">IF(OR(D65="",E65="",E65&lt;=D65),"",MIN(100,MAX(0,(Parametros!$B$3-D65)/(E65-D65)*100)))</f>
        <v>100</v>
      </c>
      <c r="H65" s="12" t="n">
        <f aca="false">IF(G65="","",G65-F65)</f>
        <v>0</v>
      </c>
      <c r="I65" s="13" t="str">
        <f aca="false">IF(K65="Finalizado","Verde",IF(G65="","Amarillo",IF(H65&lt;=Parametros!$B$4,"Verde",IF(H65&lt;=Parametros!$B$5,"Amarillo","Rojo"))))</f>
        <v>Verde</v>
      </c>
      <c r="J65" s="14" t="str">
        <f aca="false">IF(K65="Finalizado","Completado",IF(G65="","Sin fecha válida - revisar plazos",IF(H65&lt;=Parametros!$B$4,"En tiempo, según lo planificado",IF(H65&lt;=Parametros!$B$5,"Atraso leve - seguimiento cercano ("&amp;TEXT(H65,"0.0")&amp;" p.p.)","Atraso crítico - requiere intervención ("&amp;TEXT(H65,"0.0")&amp;" p.p.)"))))</f>
        <v>Completado</v>
      </c>
      <c r="K65" s="7" t="s">
        <v>38</v>
      </c>
      <c r="L65" s="7"/>
      <c r="M65" s="7" t="s">
        <v>81</v>
      </c>
      <c r="N65" s="7" t="s">
        <v>51</v>
      </c>
      <c r="O65" s="13" t="n">
        <f aca="false">IF(AND(E65&lt;&gt;"",YEAR(E65)=YEAR(Parametros!$B$3),MONTH(E65)&gt;=10),1,0)</f>
        <v>0</v>
      </c>
      <c r="P65" s="13" t="n">
        <f aca="false">IF(AND(E65&lt;Parametros!$B$3,K65&lt;&gt;"Finalizado"),1,0)</f>
        <v>0</v>
      </c>
      <c r="Q65" s="13" t="n">
        <f aca="false">IF(AND(E65&gt;=Parametros!$B$3,E65&lt;=Parametros!$B$3+30,K65&lt;&gt;"Finalizado"),1,0)</f>
        <v>0</v>
      </c>
    </row>
    <row r="66" customFormat="false" ht="15" hidden="false" customHeight="false" outlineLevel="0" collapsed="false">
      <c r="A66" s="7" t="s">
        <v>152</v>
      </c>
      <c r="B66" s="7" t="s">
        <v>153</v>
      </c>
      <c r="C66" s="7" t="s">
        <v>157</v>
      </c>
      <c r="D66" s="9" t="n">
        <v>46204</v>
      </c>
      <c r="E66" s="9" t="n">
        <v>46264</v>
      </c>
      <c r="F66" s="10" t="n">
        <v>90</v>
      </c>
      <c r="G66" s="11" t="n">
        <f aca="false">IF(OR(D66="",E66="",E66&lt;=D66),"",MIN(100,MAX(0,(Parametros!$B$3-D66)/(E66-D66)*100)))</f>
        <v>90</v>
      </c>
      <c r="H66" s="12" t="n">
        <f aca="false">IF(G66="","",G66-F66)</f>
        <v>0</v>
      </c>
      <c r="I66" s="13" t="str">
        <f aca="false">IF(K66="Finalizado","Verde",IF(G66="","Amarillo",IF(H66&lt;=Parametros!$B$4,"Verde",IF(H66&lt;=Parametros!$B$5,"Amarillo","Rojo"))))</f>
        <v>Verde</v>
      </c>
      <c r="J66" s="14" t="str">
        <f aca="false">IF(K66="Finalizado","Completado",IF(G66="","Sin fecha válida - revisar plazos",IF(H66&lt;=Parametros!$B$4,"En tiempo, según lo planificado",IF(H66&lt;=Parametros!$B$5,"Atraso leve - seguimiento cercano ("&amp;TEXT(H66,"0.0")&amp;" p.p.)","Atraso crítico - requiere intervención ("&amp;TEXT(H66,"0.0")&amp;" p.p.)"))))</f>
        <v>En tiempo, según lo planificado</v>
      </c>
      <c r="K66" s="7" t="s">
        <v>27</v>
      </c>
      <c r="L66" s="7"/>
      <c r="M66" s="7" t="s">
        <v>81</v>
      </c>
      <c r="N66" s="7" t="s">
        <v>51</v>
      </c>
      <c r="O66" s="13" t="n">
        <f aca="false">IF(AND(E66&lt;&gt;"",YEAR(E66)=YEAR(Parametros!$B$3),MONTH(E66)&gt;=10),1,0)</f>
        <v>0</v>
      </c>
      <c r="P66" s="13" t="n">
        <f aca="false">IF(AND(E66&lt;Parametros!$B$3,K66&lt;&gt;"Finalizado"),1,0)</f>
        <v>0</v>
      </c>
      <c r="Q66" s="13" t="n">
        <f aca="false">IF(AND(E66&gt;=Parametros!$B$3,E66&lt;=Parametros!$B$3+30,K66&lt;&gt;"Finalizado"),1,0)</f>
        <v>1</v>
      </c>
    </row>
    <row r="67" customFormat="false" ht="15" hidden="false" customHeight="false" outlineLevel="0" collapsed="false">
      <c r="A67" s="7" t="s">
        <v>152</v>
      </c>
      <c r="B67" s="7" t="s">
        <v>153</v>
      </c>
      <c r="C67" s="7" t="s">
        <v>158</v>
      </c>
      <c r="D67" s="9" t="n">
        <v>46147</v>
      </c>
      <c r="E67" s="9" t="n">
        <v>46198</v>
      </c>
      <c r="F67" s="10" t="n">
        <v>100</v>
      </c>
      <c r="G67" s="11" t="n">
        <f aca="false">IF(OR(D67="",E67="",E67&lt;=D67),"",MIN(100,MAX(0,(Parametros!$B$3-D67)/(E67-D67)*100)))</f>
        <v>100</v>
      </c>
      <c r="H67" s="12" t="n">
        <f aca="false">IF(G67="","",G67-F67)</f>
        <v>0</v>
      </c>
      <c r="I67" s="13" t="str">
        <f aca="false">IF(K67="Finalizado","Verde",IF(G67="","Amarillo",IF(H67&lt;=Parametros!$B$4,"Verde",IF(H67&lt;=Parametros!$B$5,"Amarillo","Rojo"))))</f>
        <v>Verde</v>
      </c>
      <c r="J67" s="14" t="str">
        <f aca="false">IF(K67="Finalizado","Completado",IF(G67="","Sin fecha válida - revisar plazos",IF(H67&lt;=Parametros!$B$4,"En tiempo, según lo planificado",IF(H67&lt;=Parametros!$B$5,"Atraso leve - seguimiento cercano ("&amp;TEXT(H67,"0.0")&amp;" p.p.)","Atraso crítico - requiere intervención ("&amp;TEXT(H67,"0.0")&amp;" p.p.)"))))</f>
        <v>Completado</v>
      </c>
      <c r="K67" s="7" t="s">
        <v>38</v>
      </c>
      <c r="L67" s="7"/>
      <c r="M67" s="7" t="s">
        <v>81</v>
      </c>
      <c r="N67" s="7" t="s">
        <v>51</v>
      </c>
      <c r="O67" s="13" t="n">
        <f aca="false">IF(AND(E67&lt;&gt;"",YEAR(E67)=YEAR(Parametros!$B$3),MONTH(E67)&gt;=10),1,0)</f>
        <v>0</v>
      </c>
      <c r="P67" s="13" t="n">
        <f aca="false">IF(AND(E67&lt;Parametros!$B$3,K67&lt;&gt;"Finalizado"),1,0)</f>
        <v>0</v>
      </c>
      <c r="Q67" s="13" t="n">
        <f aca="false">IF(AND(E67&gt;=Parametros!$B$3,E67&lt;=Parametros!$B$3+30,K67&lt;&gt;"Finalizado"),1,0)</f>
        <v>0</v>
      </c>
    </row>
    <row r="68" customFormat="false" ht="15" hidden="false" customHeight="false" outlineLevel="0" collapsed="false">
      <c r="A68" s="7" t="s">
        <v>152</v>
      </c>
      <c r="B68" s="7" t="s">
        <v>153</v>
      </c>
      <c r="C68" s="7" t="s">
        <v>159</v>
      </c>
      <c r="D68" s="9" t="n">
        <v>46266</v>
      </c>
      <c r="E68" s="9" t="n">
        <v>46295</v>
      </c>
      <c r="F68" s="10" t="n">
        <v>67</v>
      </c>
      <c r="G68" s="11" t="n">
        <f aca="false">IF(OR(D68="",E68="",E68&lt;=D68),"",MIN(100,MAX(0,(Parametros!$B$3-D68)/(E68-D68)*100)))</f>
        <v>0</v>
      </c>
      <c r="H68" s="12" t="n">
        <f aca="false">IF(G68="","",G68-F68)</f>
        <v>-67</v>
      </c>
      <c r="I68" s="13" t="str">
        <f aca="false">IF(K68="Finalizado","Verde",IF(G68="","Amarillo",IF(H68&lt;=Parametros!$B$4,"Verde",IF(H68&lt;=Parametros!$B$5,"Amarillo","Rojo"))))</f>
        <v>Verde</v>
      </c>
      <c r="J68" s="14" t="str">
        <f aca="false">IF(K68="Finalizado","Completado",IF(G68="","Sin fecha válida - revisar plazos",IF(H68&lt;=Parametros!$B$4,"En tiempo, según lo planificado",IF(H68&lt;=Parametros!$B$5,"Atraso leve - seguimiento cercano ("&amp;TEXT(H68,"0.0")&amp;" p.p.)","Atraso crítico - requiere intervención ("&amp;TEXT(H68,"0.0")&amp;" p.p.)"))))</f>
        <v>En tiempo, según lo planificado</v>
      </c>
      <c r="K68" s="7" t="s">
        <v>27</v>
      </c>
      <c r="L68" s="7"/>
      <c r="M68" s="7" t="s">
        <v>81</v>
      </c>
      <c r="N68" s="7" t="s">
        <v>51</v>
      </c>
      <c r="O68" s="13" t="n">
        <f aca="false">IF(AND(E68&lt;&gt;"",YEAR(E68)=YEAR(Parametros!$B$3),MONTH(E68)&gt;=10),1,0)</f>
        <v>0</v>
      </c>
      <c r="P68" s="13" t="n">
        <f aca="false">IF(AND(E68&lt;Parametros!$B$3,K68&lt;&gt;"Finalizado"),1,0)</f>
        <v>0</v>
      </c>
      <c r="Q68" s="13" t="n">
        <f aca="false">IF(AND(E68&gt;=Parametros!$B$3,E68&lt;=Parametros!$B$3+30,K68&lt;&gt;"Finalizado"),1,0)</f>
        <v>0</v>
      </c>
    </row>
    <row r="69" customFormat="false" ht="15" hidden="false" customHeight="false" outlineLevel="0" collapsed="false">
      <c r="A69" s="7" t="s">
        <v>152</v>
      </c>
      <c r="B69" s="7" t="s">
        <v>153</v>
      </c>
      <c r="C69" s="7" t="s">
        <v>160</v>
      </c>
      <c r="D69" s="9" t="n">
        <v>46235</v>
      </c>
      <c r="E69" s="9" t="n">
        <v>46265</v>
      </c>
      <c r="F69" s="10" t="n">
        <v>100</v>
      </c>
      <c r="G69" s="11" t="n">
        <f aca="false">IF(OR(D69="",E69="",E69&lt;=D69),"",MIN(100,MAX(0,(Parametros!$B$3-D69)/(E69-D69)*100)))</f>
        <v>76.6666666666667</v>
      </c>
      <c r="H69" s="12" t="n">
        <f aca="false">IF(G69="","",G69-F69)</f>
        <v>-23.3333333333333</v>
      </c>
      <c r="I69" s="13" t="str">
        <f aca="false">IF(K69="Finalizado","Verde",IF(G69="","Amarillo",IF(H69&lt;=Parametros!$B$4,"Verde",IF(H69&lt;=Parametros!$B$5,"Amarillo","Rojo"))))</f>
        <v>Verde</v>
      </c>
      <c r="J69" s="14" t="str">
        <f aca="false">IF(K69="Finalizado","Completado",IF(G69="","Sin fecha válida - revisar plazos",IF(H69&lt;=Parametros!$B$4,"En tiempo, según lo planificado",IF(H69&lt;=Parametros!$B$5,"Atraso leve - seguimiento cercano ("&amp;TEXT(H69,"0.0")&amp;" p.p.)","Atraso crítico - requiere intervención ("&amp;TEXT(H69,"0.0")&amp;" p.p.)"))))</f>
        <v>Completado</v>
      </c>
      <c r="K69" s="7" t="s">
        <v>38</v>
      </c>
      <c r="L69" s="7"/>
      <c r="M69" s="7" t="s">
        <v>81</v>
      </c>
      <c r="N69" s="7" t="s">
        <v>51</v>
      </c>
      <c r="O69" s="13" t="n">
        <f aca="false">IF(AND(E69&lt;&gt;"",YEAR(E69)=YEAR(Parametros!$B$3),MONTH(E69)&gt;=10),1,0)</f>
        <v>0</v>
      </c>
      <c r="P69" s="13" t="n">
        <f aca="false">IF(AND(E69&lt;Parametros!$B$3,K69&lt;&gt;"Finalizado"),1,0)</f>
        <v>0</v>
      </c>
      <c r="Q69" s="13" t="n">
        <f aca="false">IF(AND(E69&gt;=Parametros!$B$3,E69&lt;=Parametros!$B$3+30,K69&lt;&gt;"Finalizado"),1,0)</f>
        <v>0</v>
      </c>
    </row>
    <row r="70" customFormat="false" ht="15" hidden="false" customHeight="false" outlineLevel="0" collapsed="false">
      <c r="A70" s="7" t="s">
        <v>161</v>
      </c>
      <c r="B70" s="7" t="s">
        <v>162</v>
      </c>
      <c r="C70" s="7" t="s">
        <v>163</v>
      </c>
      <c r="D70" s="9" t="n">
        <v>46034</v>
      </c>
      <c r="E70" s="9" t="n">
        <v>46059</v>
      </c>
      <c r="F70" s="10" t="n">
        <v>100</v>
      </c>
      <c r="G70" s="11" t="n">
        <f aca="false">IF(OR(D70="",E70="",E70&lt;=D70),"",MIN(100,MAX(0,(Parametros!$B$3-D70)/(E70-D70)*100)))</f>
        <v>100</v>
      </c>
      <c r="H70" s="12" t="n">
        <f aca="false">IF(G70="","",G70-F70)</f>
        <v>0</v>
      </c>
      <c r="I70" s="13" t="str">
        <f aca="false">IF(K70="Finalizado","Verde",IF(G70="","Amarillo",IF(H70&lt;=Parametros!$B$4,"Verde",IF(H70&lt;=Parametros!$B$5,"Amarillo","Rojo"))))</f>
        <v>Verde</v>
      </c>
      <c r="J70" s="14" t="str">
        <f aca="false">IF(K70="Finalizado","Completado",IF(G70="","Sin fecha válida - revisar plazos",IF(H70&lt;=Parametros!$B$4,"En tiempo, según lo planificado",IF(H70&lt;=Parametros!$B$5,"Atraso leve - seguimiento cercano ("&amp;TEXT(H70,"0.0")&amp;" p.p.)","Atraso crítico - requiere intervención ("&amp;TEXT(H70,"0.0")&amp;" p.p.)"))))</f>
        <v>Completado</v>
      </c>
      <c r="K70" s="7" t="s">
        <v>38</v>
      </c>
      <c r="L70" s="7"/>
      <c r="M70" s="7" t="s">
        <v>81</v>
      </c>
      <c r="N70" s="7" t="s">
        <v>51</v>
      </c>
      <c r="O70" s="13" t="n">
        <f aca="false">IF(AND(E70&lt;&gt;"",YEAR(E70)=YEAR(Parametros!$B$3),MONTH(E70)&gt;=10),1,0)</f>
        <v>0</v>
      </c>
      <c r="P70" s="13" t="n">
        <f aca="false">IF(AND(E70&lt;Parametros!$B$3,K70&lt;&gt;"Finalizado"),1,0)</f>
        <v>0</v>
      </c>
      <c r="Q70" s="13" t="n">
        <f aca="false">IF(AND(E70&gt;=Parametros!$B$3,E70&lt;=Parametros!$B$3+30,K70&lt;&gt;"Finalizado"),1,0)</f>
        <v>0</v>
      </c>
    </row>
    <row r="71" customFormat="false" ht="15" hidden="false" customHeight="false" outlineLevel="0" collapsed="false">
      <c r="A71" s="7" t="s">
        <v>161</v>
      </c>
      <c r="B71" s="7" t="s">
        <v>162</v>
      </c>
      <c r="C71" s="8" t="s">
        <v>164</v>
      </c>
      <c r="D71" s="9" t="n">
        <v>46062</v>
      </c>
      <c r="E71" s="9" t="n">
        <v>46129</v>
      </c>
      <c r="F71" s="10" t="n">
        <v>100</v>
      </c>
      <c r="G71" s="11" t="n">
        <f aca="false">IF(OR(D71="",E71="",E71&lt;=D71),"",MIN(100,MAX(0,(Parametros!$B$3-D71)/(E71-D71)*100)))</f>
        <v>100</v>
      </c>
      <c r="H71" s="12" t="n">
        <f aca="false">IF(G71="","",G71-F71)</f>
        <v>0</v>
      </c>
      <c r="I71" s="13" t="str">
        <f aca="false">IF(K71="Finalizado","Verde",IF(G71="","Amarillo",IF(H71&lt;=Parametros!$B$4,"Verde",IF(H71&lt;=Parametros!$B$5,"Amarillo","Rojo"))))</f>
        <v>Verde</v>
      </c>
      <c r="J71" s="14" t="str">
        <f aca="false">IF(K71="Finalizado","Completado",IF(G71="","Sin fecha válida - revisar plazos",IF(H71&lt;=Parametros!$B$4,"En tiempo, según lo planificado",IF(H71&lt;=Parametros!$B$5,"Atraso leve - seguimiento cercano ("&amp;TEXT(H71,"0.0")&amp;" p.p.)","Atraso crítico - requiere intervención ("&amp;TEXT(H71,"0.0")&amp;" p.p.)"))))</f>
        <v>Completado</v>
      </c>
      <c r="K71" s="7" t="s">
        <v>38</v>
      </c>
      <c r="L71" s="7"/>
      <c r="M71" s="7" t="s">
        <v>81</v>
      </c>
      <c r="N71" s="7" t="s">
        <v>51</v>
      </c>
      <c r="O71" s="13" t="n">
        <f aca="false">IF(AND(E71&lt;&gt;"",YEAR(E71)=YEAR(Parametros!$B$3),MONTH(E71)&gt;=10),1,0)</f>
        <v>0</v>
      </c>
      <c r="P71" s="13" t="n">
        <f aca="false">IF(AND(E71&lt;Parametros!$B$3,K71&lt;&gt;"Finalizado"),1,0)</f>
        <v>0</v>
      </c>
      <c r="Q71" s="13" t="n">
        <f aca="false">IF(AND(E71&gt;=Parametros!$B$3,E71&lt;=Parametros!$B$3+30,K71&lt;&gt;"Finalizado"),1,0)</f>
        <v>0</v>
      </c>
    </row>
    <row r="72" customFormat="false" ht="15" hidden="false" customHeight="false" outlineLevel="0" collapsed="false">
      <c r="A72" s="7" t="s">
        <v>161</v>
      </c>
      <c r="B72" s="7" t="s">
        <v>162</v>
      </c>
      <c r="C72" s="7" t="s">
        <v>165</v>
      </c>
      <c r="D72" s="9" t="n">
        <v>46132</v>
      </c>
      <c r="E72" s="9" t="n">
        <v>46233</v>
      </c>
      <c r="F72" s="10" t="n">
        <v>100</v>
      </c>
      <c r="G72" s="11" t="n">
        <f aca="false">IF(OR(D72="",E72="",E72&lt;=D72),"",MIN(100,MAX(0,(Parametros!$B$3-D72)/(E72-D72)*100)))</f>
        <v>100</v>
      </c>
      <c r="H72" s="12" t="n">
        <f aca="false">IF(G72="","",G72-F72)</f>
        <v>0</v>
      </c>
      <c r="I72" s="13" t="str">
        <f aca="false">IF(K72="Finalizado","Verde",IF(G72="","Amarillo",IF(H72&lt;=Parametros!$B$4,"Verde",IF(H72&lt;=Parametros!$B$5,"Amarillo","Rojo"))))</f>
        <v>Verde</v>
      </c>
      <c r="J72" s="14" t="str">
        <f aca="false">IF(K72="Finalizado","Completado",IF(G72="","Sin fecha válida - revisar plazos",IF(H72&lt;=Parametros!$B$4,"En tiempo, según lo planificado",IF(H72&lt;=Parametros!$B$5,"Atraso leve - seguimiento cercano ("&amp;TEXT(H72,"0.0")&amp;" p.p.)","Atraso crítico - requiere intervención ("&amp;TEXT(H72,"0.0")&amp;" p.p.)"))))</f>
        <v>Completado</v>
      </c>
      <c r="K72" s="7" t="s">
        <v>38</v>
      </c>
      <c r="L72" s="7"/>
      <c r="M72" s="7" t="s">
        <v>81</v>
      </c>
      <c r="N72" s="7" t="s">
        <v>51</v>
      </c>
      <c r="O72" s="13" t="n">
        <f aca="false">IF(AND(E72&lt;&gt;"",YEAR(E72)=YEAR(Parametros!$B$3),MONTH(E72)&gt;=10),1,0)</f>
        <v>0</v>
      </c>
      <c r="P72" s="13" t="n">
        <f aca="false">IF(AND(E72&lt;Parametros!$B$3,K72&lt;&gt;"Finalizado"),1,0)</f>
        <v>0</v>
      </c>
      <c r="Q72" s="13" t="n">
        <f aca="false">IF(AND(E72&gt;=Parametros!$B$3,E72&lt;=Parametros!$B$3+30,K72&lt;&gt;"Finalizado"),1,0)</f>
        <v>0</v>
      </c>
    </row>
    <row r="73" customFormat="false" ht="15" hidden="false" customHeight="false" outlineLevel="0" collapsed="false">
      <c r="A73" s="7" t="s">
        <v>161</v>
      </c>
      <c r="B73" s="7" t="s">
        <v>162</v>
      </c>
      <c r="C73" s="8" t="s">
        <v>166</v>
      </c>
      <c r="D73" s="9" t="n">
        <v>46181</v>
      </c>
      <c r="E73" s="9" t="n">
        <v>46295</v>
      </c>
      <c r="F73" s="10" t="n">
        <v>0</v>
      </c>
      <c r="G73" s="11" t="n">
        <f aca="false">IF(OR(D73="",E73="",E73&lt;=D73),"",MIN(100,MAX(0,(Parametros!$B$3-D73)/(E73-D73)*100)))</f>
        <v>67.5438596491228</v>
      </c>
      <c r="H73" s="12" t="n">
        <f aca="false">IF(G73="","",G73-F73)</f>
        <v>67.5438596491228</v>
      </c>
      <c r="I73" s="13" t="str">
        <f aca="false">IF(K73="Finalizado","Verde",IF(G73="","Amarillo",IF(H73&lt;=Parametros!$B$4,"Verde",IF(H73&lt;=Parametros!$B$5,"Amarillo","Rojo"))))</f>
        <v>Rojo</v>
      </c>
      <c r="J73" s="14" t="str">
        <f aca="false">IF(K73="Finalizado","Completado",IF(G73="","Sin fecha válida - revisar plazos",IF(H73&lt;=Parametros!$B$4,"En tiempo, según lo planificado",IF(H73&lt;=Parametros!$B$5,"Atraso leve - seguimiento cercano ("&amp;TEXT(H73,"0.0")&amp;" p.p.)","Atraso crítico - requiere intervención ("&amp;TEXT(H73,"0.0")&amp;" p.p.)"))))</f>
        <v>Atraso crítico - requiere intervención (67.5 p.p.)</v>
      </c>
      <c r="K73" s="7" t="s">
        <v>73</v>
      </c>
      <c r="L73" s="7"/>
      <c r="M73" s="7" t="s">
        <v>81</v>
      </c>
      <c r="N73" s="7" t="s">
        <v>51</v>
      </c>
      <c r="O73" s="13" t="n">
        <f aca="false">IF(AND(E73&lt;&gt;"",YEAR(E73)=YEAR(Parametros!$B$3),MONTH(E73)&gt;=10),1,0)</f>
        <v>0</v>
      </c>
      <c r="P73" s="13" t="n">
        <f aca="false">IF(AND(E73&lt;Parametros!$B$3,K73&lt;&gt;"Finalizado"),1,0)</f>
        <v>0</v>
      </c>
      <c r="Q73" s="13" t="n">
        <f aca="false">IF(AND(E73&gt;=Parametros!$B$3,E73&lt;=Parametros!$B$3+30,K73&lt;&gt;"Finalizado"),1,0)</f>
        <v>0</v>
      </c>
    </row>
    <row r="74" customFormat="false" ht="15" hidden="false" customHeight="false" outlineLevel="0" collapsed="false">
      <c r="A74" s="7" t="s">
        <v>161</v>
      </c>
      <c r="B74" s="7" t="s">
        <v>162</v>
      </c>
      <c r="C74" s="8" t="s">
        <v>167</v>
      </c>
      <c r="D74" s="9" t="n">
        <v>46296</v>
      </c>
      <c r="E74" s="9" t="n">
        <v>46346</v>
      </c>
      <c r="F74" s="10" t="n">
        <v>0</v>
      </c>
      <c r="G74" s="11" t="n">
        <f aca="false">IF(OR(D74="",E74="",E74&lt;=D74),"",MIN(100,MAX(0,(Parametros!$B$3-D74)/(E74-D74)*100)))</f>
        <v>0</v>
      </c>
      <c r="H74" s="12" t="n">
        <f aca="false">IF(G74="","",G74-F74)</f>
        <v>0</v>
      </c>
      <c r="I74" s="13" t="str">
        <f aca="false">IF(K74="Finalizado","Verde",IF(G74="","Amarillo",IF(H74&lt;=Parametros!$B$4,"Verde",IF(H74&lt;=Parametros!$B$5,"Amarillo","Rojo"))))</f>
        <v>Verde</v>
      </c>
      <c r="J74" s="14" t="str">
        <f aca="false">IF(K74="Finalizado","Completado",IF(G74="","Sin fecha válida - revisar plazos",IF(H74&lt;=Parametros!$B$4,"En tiempo, según lo planificado",IF(H74&lt;=Parametros!$B$5,"Atraso leve - seguimiento cercano ("&amp;TEXT(H74,"0.0")&amp;" p.p.)","Atraso crítico - requiere intervención ("&amp;TEXT(H74,"0.0")&amp;" p.p.)"))))</f>
        <v>En tiempo, según lo planificado</v>
      </c>
      <c r="K74" s="7" t="s">
        <v>100</v>
      </c>
      <c r="L74" s="7"/>
      <c r="M74" s="7" t="s">
        <v>81</v>
      </c>
      <c r="N74" s="7" t="s">
        <v>51</v>
      </c>
      <c r="O74" s="13" t="n">
        <f aca="false">IF(AND(E74&lt;&gt;"",YEAR(E74)=YEAR(Parametros!$B$3),MONTH(E74)&gt;=10),1,0)</f>
        <v>1</v>
      </c>
      <c r="P74" s="13" t="n">
        <f aca="false">IF(AND(E74&lt;Parametros!$B$3,K74&lt;&gt;"Finalizado"),1,0)</f>
        <v>0</v>
      </c>
      <c r="Q74" s="13" t="n">
        <f aca="false">IF(AND(E74&gt;=Parametros!$B$3,E74&lt;=Parametros!$B$3+30,K74&lt;&gt;"Finalizado"),1,0)</f>
        <v>0</v>
      </c>
    </row>
    <row r="75" customFormat="false" ht="15" hidden="false" customHeight="false" outlineLevel="0" collapsed="false">
      <c r="A75" s="7" t="s">
        <v>168</v>
      </c>
      <c r="B75" s="7" t="s">
        <v>169</v>
      </c>
      <c r="C75" s="7" t="s">
        <v>170</v>
      </c>
      <c r="D75" s="9" t="n">
        <v>46027</v>
      </c>
      <c r="E75" s="9" t="n">
        <v>46031</v>
      </c>
      <c r="F75" s="10" t="n">
        <v>100</v>
      </c>
      <c r="G75" s="11" t="n">
        <f aca="false">IF(OR(D75="",E75="",E75&lt;=D75),"",MIN(100,MAX(0,(Parametros!$B$3-D75)/(E75-D75)*100)))</f>
        <v>100</v>
      </c>
      <c r="H75" s="12" t="n">
        <f aca="false">IF(G75="","",G75-F75)</f>
        <v>0</v>
      </c>
      <c r="I75" s="13" t="str">
        <f aca="false">IF(K75="Finalizado","Verde",IF(G75="","Amarillo",IF(H75&lt;=Parametros!$B$4,"Verde",IF(H75&lt;=Parametros!$B$5,"Amarillo","Rojo"))))</f>
        <v>Verde</v>
      </c>
      <c r="J75" s="14" t="str">
        <f aca="false">IF(K75="Finalizado","Completado",IF(G75="","Sin fecha válida - revisar plazos",IF(H75&lt;=Parametros!$B$4,"En tiempo, según lo planificado",IF(H75&lt;=Parametros!$B$5,"Atraso leve - seguimiento cercano ("&amp;TEXT(H75,"0.0")&amp;" p.p.)","Atraso crítico - requiere intervención ("&amp;TEXT(H75,"0.0")&amp;" p.p.)"))))</f>
        <v>Completado</v>
      </c>
      <c r="K75" s="7" t="s">
        <v>38</v>
      </c>
      <c r="L75" s="7" t="s">
        <v>171</v>
      </c>
      <c r="M75" s="7" t="s">
        <v>81</v>
      </c>
      <c r="N75" s="7" t="s">
        <v>51</v>
      </c>
      <c r="O75" s="13" t="n">
        <f aca="false">IF(AND(E75&lt;&gt;"",YEAR(E75)=YEAR(Parametros!$B$3),MONTH(E75)&gt;=10),1,0)</f>
        <v>0</v>
      </c>
      <c r="P75" s="13" t="n">
        <f aca="false">IF(AND(E75&lt;Parametros!$B$3,K75&lt;&gt;"Finalizado"),1,0)</f>
        <v>0</v>
      </c>
      <c r="Q75" s="13" t="n">
        <f aca="false">IF(AND(E75&gt;=Parametros!$B$3,E75&lt;=Parametros!$B$3+30,K75&lt;&gt;"Finalizado"),1,0)</f>
        <v>0</v>
      </c>
    </row>
    <row r="76" customFormat="false" ht="15" hidden="false" customHeight="false" outlineLevel="0" collapsed="false">
      <c r="A76" s="7" t="s">
        <v>168</v>
      </c>
      <c r="B76" s="7" t="s">
        <v>169</v>
      </c>
      <c r="C76" s="7" t="s">
        <v>172</v>
      </c>
      <c r="D76" s="9" t="n">
        <v>46034</v>
      </c>
      <c r="E76" s="9" t="n">
        <v>46052</v>
      </c>
      <c r="F76" s="10" t="n">
        <v>100</v>
      </c>
      <c r="G76" s="11" t="n">
        <f aca="false">IF(OR(D76="",E76="",E76&lt;=D76),"",MIN(100,MAX(0,(Parametros!$B$3-D76)/(E76-D76)*100)))</f>
        <v>100</v>
      </c>
      <c r="H76" s="12" t="n">
        <f aca="false">IF(G76="","",G76-F76)</f>
        <v>0</v>
      </c>
      <c r="I76" s="13" t="str">
        <f aca="false">IF(K76="Finalizado","Verde",IF(G76="","Amarillo",IF(H76&lt;=Parametros!$B$4,"Verde",IF(H76&lt;=Parametros!$B$5,"Amarillo","Rojo"))))</f>
        <v>Verde</v>
      </c>
      <c r="J76" s="14" t="str">
        <f aca="false">IF(K76="Finalizado","Completado",IF(G76="","Sin fecha válida - revisar plazos",IF(H76&lt;=Parametros!$B$4,"En tiempo, según lo planificado",IF(H76&lt;=Parametros!$B$5,"Atraso leve - seguimiento cercano ("&amp;TEXT(H76,"0.0")&amp;" p.p.)","Atraso crítico - requiere intervención ("&amp;TEXT(H76,"0.0")&amp;" p.p.)"))))</f>
        <v>Completado</v>
      </c>
      <c r="K76" s="7" t="s">
        <v>38</v>
      </c>
      <c r="L76" s="7"/>
      <c r="M76" s="7" t="s">
        <v>81</v>
      </c>
      <c r="N76" s="7" t="s">
        <v>51</v>
      </c>
      <c r="O76" s="13" t="n">
        <f aca="false">IF(AND(E76&lt;&gt;"",YEAR(E76)=YEAR(Parametros!$B$3),MONTH(E76)&gt;=10),1,0)</f>
        <v>0</v>
      </c>
      <c r="P76" s="13" t="n">
        <f aca="false">IF(AND(E76&lt;Parametros!$B$3,K76&lt;&gt;"Finalizado"),1,0)</f>
        <v>0</v>
      </c>
      <c r="Q76" s="13" t="n">
        <f aca="false">IF(AND(E76&gt;=Parametros!$B$3,E76&lt;=Parametros!$B$3+30,K76&lt;&gt;"Finalizado"),1,0)</f>
        <v>0</v>
      </c>
    </row>
    <row r="77" customFormat="false" ht="15" hidden="false" customHeight="false" outlineLevel="0" collapsed="false">
      <c r="A77" s="7" t="s">
        <v>168</v>
      </c>
      <c r="B77" s="7" t="s">
        <v>169</v>
      </c>
      <c r="C77" s="7" t="s">
        <v>173</v>
      </c>
      <c r="D77" s="9" t="n">
        <v>46052</v>
      </c>
      <c r="E77" s="9" t="n">
        <v>46056</v>
      </c>
      <c r="F77" s="10" t="n">
        <v>100</v>
      </c>
      <c r="G77" s="11" t="n">
        <f aca="false">IF(OR(D77="",E77="",E77&lt;=D77),"",MIN(100,MAX(0,(Parametros!$B$3-D77)/(E77-D77)*100)))</f>
        <v>100</v>
      </c>
      <c r="H77" s="12" t="n">
        <f aca="false">IF(G77="","",G77-F77)</f>
        <v>0</v>
      </c>
      <c r="I77" s="13" t="str">
        <f aca="false">IF(K77="Finalizado","Verde",IF(G77="","Amarillo",IF(H77&lt;=Parametros!$B$4,"Verde",IF(H77&lt;=Parametros!$B$5,"Amarillo","Rojo"))))</f>
        <v>Verde</v>
      </c>
      <c r="J77" s="14" t="str">
        <f aca="false">IF(K77="Finalizado","Completado",IF(G77="","Sin fecha válida - revisar plazos",IF(H77&lt;=Parametros!$B$4,"En tiempo, según lo planificado",IF(H77&lt;=Parametros!$B$5,"Atraso leve - seguimiento cercano ("&amp;TEXT(H77,"0.0")&amp;" p.p.)","Atraso crítico - requiere intervención ("&amp;TEXT(H77,"0.0")&amp;" p.p.)"))))</f>
        <v>Completado</v>
      </c>
      <c r="K77" s="7" t="s">
        <v>38</v>
      </c>
      <c r="L77" s="7"/>
      <c r="M77" s="7" t="s">
        <v>81</v>
      </c>
      <c r="N77" s="7" t="s">
        <v>51</v>
      </c>
      <c r="O77" s="13" t="n">
        <f aca="false">IF(AND(E77&lt;&gt;"",YEAR(E77)=YEAR(Parametros!$B$3),MONTH(E77)&gt;=10),1,0)</f>
        <v>0</v>
      </c>
      <c r="P77" s="13" t="n">
        <f aca="false">IF(AND(E77&lt;Parametros!$B$3,K77&lt;&gt;"Finalizado"),1,0)</f>
        <v>0</v>
      </c>
      <c r="Q77" s="13" t="n">
        <f aca="false">IF(AND(E77&gt;=Parametros!$B$3,E77&lt;=Parametros!$B$3+30,K77&lt;&gt;"Finalizado"),1,0)</f>
        <v>0</v>
      </c>
    </row>
    <row r="78" customFormat="false" ht="15" hidden="false" customHeight="false" outlineLevel="0" collapsed="false">
      <c r="A78" s="7" t="s">
        <v>168</v>
      </c>
      <c r="B78" s="7" t="s">
        <v>169</v>
      </c>
      <c r="C78" s="7" t="s">
        <v>174</v>
      </c>
      <c r="D78" s="9" t="n">
        <v>46056</v>
      </c>
      <c r="E78" s="9" t="n">
        <v>46056</v>
      </c>
      <c r="F78" s="10" t="n">
        <v>100</v>
      </c>
      <c r="G78" s="11" t="str">
        <f aca="false">IF(OR(D78="",E78="",E78&lt;=D78),"",MIN(100,MAX(0,(Parametros!$B$3-D78)/(E78-D78)*100)))</f>
        <v/>
      </c>
      <c r="H78" s="12" t="str">
        <f aca="false">IF(G78="","",G78-F78)</f>
        <v/>
      </c>
      <c r="I78" s="13" t="str">
        <f aca="false">IF(K78="Finalizado","Verde",IF(G78="","Amarillo",IF(H78&lt;=Parametros!$B$4,"Verde",IF(H78&lt;=Parametros!$B$5,"Amarillo","Rojo"))))</f>
        <v>Verde</v>
      </c>
      <c r="J78" s="14" t="str">
        <f aca="false">IF(K78="Finalizado","Completado",IF(G78="","Sin fecha válida - revisar plazos",IF(H78&lt;=Parametros!$B$4,"En tiempo, según lo planificado",IF(H78&lt;=Parametros!$B$5,"Atraso leve - seguimiento cercano ("&amp;TEXT(H78,"0.0")&amp;" p.p.)","Atraso crítico - requiere intervención ("&amp;TEXT(H78,"0.0")&amp;" p.p.)"))))</f>
        <v>Completado</v>
      </c>
      <c r="K78" s="7" t="s">
        <v>38</v>
      </c>
      <c r="L78" s="7"/>
      <c r="M78" s="7" t="s">
        <v>81</v>
      </c>
      <c r="N78" s="7" t="s">
        <v>51</v>
      </c>
      <c r="O78" s="13" t="n">
        <f aca="false">IF(AND(E78&lt;&gt;"",YEAR(E78)=YEAR(Parametros!$B$3),MONTH(E78)&gt;=10),1,0)</f>
        <v>0</v>
      </c>
      <c r="P78" s="13" t="n">
        <f aca="false">IF(AND(E78&lt;Parametros!$B$3,K78&lt;&gt;"Finalizado"),1,0)</f>
        <v>0</v>
      </c>
      <c r="Q78" s="13" t="n">
        <f aca="false">IF(AND(E78&gt;=Parametros!$B$3,E78&lt;=Parametros!$B$3+30,K78&lt;&gt;"Finalizado"),1,0)</f>
        <v>0</v>
      </c>
    </row>
    <row r="79" customFormat="false" ht="15" hidden="false" customHeight="false" outlineLevel="0" collapsed="false">
      <c r="A79" s="7" t="s">
        <v>168</v>
      </c>
      <c r="B79" s="7" t="s">
        <v>169</v>
      </c>
      <c r="C79" s="7" t="s">
        <v>175</v>
      </c>
      <c r="D79" s="9" t="n">
        <v>46062</v>
      </c>
      <c r="E79" s="9" t="n">
        <v>46064</v>
      </c>
      <c r="F79" s="10" t="n">
        <v>100</v>
      </c>
      <c r="G79" s="11" t="n">
        <f aca="false">IF(OR(D79="",E79="",E79&lt;=D79),"",MIN(100,MAX(0,(Parametros!$B$3-D79)/(E79-D79)*100)))</f>
        <v>100</v>
      </c>
      <c r="H79" s="12" t="n">
        <f aca="false">IF(G79="","",G79-F79)</f>
        <v>0</v>
      </c>
      <c r="I79" s="13" t="str">
        <f aca="false">IF(K79="Finalizado","Verde",IF(G79="","Amarillo",IF(H79&lt;=Parametros!$B$4,"Verde",IF(H79&lt;=Parametros!$B$5,"Amarillo","Rojo"))))</f>
        <v>Verde</v>
      </c>
      <c r="J79" s="14" t="str">
        <f aca="false">IF(K79="Finalizado","Completado",IF(G79="","Sin fecha válida - revisar plazos",IF(H79&lt;=Parametros!$B$4,"En tiempo, según lo planificado",IF(H79&lt;=Parametros!$B$5,"Atraso leve - seguimiento cercano ("&amp;TEXT(H79,"0.0")&amp;" p.p.)","Atraso crítico - requiere intervención ("&amp;TEXT(H79,"0.0")&amp;" p.p.)"))))</f>
        <v>Completado</v>
      </c>
      <c r="K79" s="7" t="s">
        <v>38</v>
      </c>
      <c r="L79" s="7"/>
      <c r="M79" s="7" t="s">
        <v>81</v>
      </c>
      <c r="N79" s="7" t="s">
        <v>51</v>
      </c>
      <c r="O79" s="13" t="n">
        <f aca="false">IF(AND(E79&lt;&gt;"",YEAR(E79)=YEAR(Parametros!$B$3),MONTH(E79)&gt;=10),1,0)</f>
        <v>0</v>
      </c>
      <c r="P79" s="13" t="n">
        <f aca="false">IF(AND(E79&lt;Parametros!$B$3,K79&lt;&gt;"Finalizado"),1,0)</f>
        <v>0</v>
      </c>
      <c r="Q79" s="13" t="n">
        <f aca="false">IF(AND(E79&gt;=Parametros!$B$3,E79&lt;=Parametros!$B$3+30,K79&lt;&gt;"Finalizado"),1,0)</f>
        <v>0</v>
      </c>
    </row>
    <row r="80" customFormat="false" ht="15" hidden="false" customHeight="false" outlineLevel="0" collapsed="false">
      <c r="A80" s="7" t="s">
        <v>168</v>
      </c>
      <c r="B80" s="7" t="s">
        <v>169</v>
      </c>
      <c r="C80" s="7" t="s">
        <v>176</v>
      </c>
      <c r="D80" s="9" t="n">
        <v>46064</v>
      </c>
      <c r="E80" s="9" t="n">
        <v>46087</v>
      </c>
      <c r="F80" s="10" t="n">
        <v>100</v>
      </c>
      <c r="G80" s="11" t="n">
        <f aca="false">IF(OR(D80="",E80="",E80&lt;=D80),"",MIN(100,MAX(0,(Parametros!$B$3-D80)/(E80-D80)*100)))</f>
        <v>100</v>
      </c>
      <c r="H80" s="12" t="n">
        <f aca="false">IF(G80="","",G80-F80)</f>
        <v>0</v>
      </c>
      <c r="I80" s="13" t="str">
        <f aca="false">IF(K80="Finalizado","Verde",IF(G80="","Amarillo",IF(H80&lt;=Parametros!$B$4,"Verde",IF(H80&lt;=Parametros!$B$5,"Amarillo","Rojo"))))</f>
        <v>Verde</v>
      </c>
      <c r="J80" s="14" t="str">
        <f aca="false">IF(K80="Finalizado","Completado",IF(G80="","Sin fecha válida - revisar plazos",IF(H80&lt;=Parametros!$B$4,"En tiempo, según lo planificado",IF(H80&lt;=Parametros!$B$5,"Atraso leve - seguimiento cercano ("&amp;TEXT(H80,"0.0")&amp;" p.p.)","Atraso crítico - requiere intervención ("&amp;TEXT(H80,"0.0")&amp;" p.p.)"))))</f>
        <v>Completado</v>
      </c>
      <c r="K80" s="7" t="s">
        <v>38</v>
      </c>
      <c r="L80" s="7"/>
      <c r="M80" s="7" t="s">
        <v>81</v>
      </c>
      <c r="N80" s="7" t="s">
        <v>51</v>
      </c>
      <c r="O80" s="13" t="n">
        <f aca="false">IF(AND(E80&lt;&gt;"",YEAR(E80)=YEAR(Parametros!$B$3),MONTH(E80)&gt;=10),1,0)</f>
        <v>0</v>
      </c>
      <c r="P80" s="13" t="n">
        <f aca="false">IF(AND(E80&lt;Parametros!$B$3,K80&lt;&gt;"Finalizado"),1,0)</f>
        <v>0</v>
      </c>
      <c r="Q80" s="13" t="n">
        <f aca="false">IF(AND(E80&gt;=Parametros!$B$3,E80&lt;=Parametros!$B$3+30,K80&lt;&gt;"Finalizado"),1,0)</f>
        <v>0</v>
      </c>
    </row>
    <row r="81" customFormat="false" ht="15" hidden="false" customHeight="false" outlineLevel="0" collapsed="false">
      <c r="A81" s="7" t="s">
        <v>168</v>
      </c>
      <c r="B81" s="7" t="s">
        <v>169</v>
      </c>
      <c r="C81" s="7" t="s">
        <v>177</v>
      </c>
      <c r="D81" s="9" t="n">
        <v>46090</v>
      </c>
      <c r="E81" s="9" t="n">
        <v>46101</v>
      </c>
      <c r="F81" s="10" t="n">
        <v>100</v>
      </c>
      <c r="G81" s="11" t="n">
        <f aca="false">IF(OR(D81="",E81="",E81&lt;=D81),"",MIN(100,MAX(0,(Parametros!$B$3-D81)/(E81-D81)*100)))</f>
        <v>100</v>
      </c>
      <c r="H81" s="12" t="n">
        <f aca="false">IF(G81="","",G81-F81)</f>
        <v>0</v>
      </c>
      <c r="I81" s="13" t="str">
        <f aca="false">IF(K81="Finalizado","Verde",IF(G81="","Amarillo",IF(H81&lt;=Parametros!$B$4,"Verde",IF(H81&lt;=Parametros!$B$5,"Amarillo","Rojo"))))</f>
        <v>Verde</v>
      </c>
      <c r="J81" s="14" t="str">
        <f aca="false">IF(K81="Finalizado","Completado",IF(G81="","Sin fecha válida - revisar plazos",IF(H81&lt;=Parametros!$B$4,"En tiempo, según lo planificado",IF(H81&lt;=Parametros!$B$5,"Atraso leve - seguimiento cercano ("&amp;TEXT(H81,"0.0")&amp;" p.p.)","Atraso crítico - requiere intervención ("&amp;TEXT(H81,"0.0")&amp;" p.p.)"))))</f>
        <v>Completado</v>
      </c>
      <c r="K81" s="7" t="s">
        <v>38</v>
      </c>
      <c r="L81" s="7"/>
      <c r="M81" s="7" t="s">
        <v>81</v>
      </c>
      <c r="N81" s="7" t="s">
        <v>51</v>
      </c>
      <c r="O81" s="13" t="n">
        <f aca="false">IF(AND(E81&lt;&gt;"",YEAR(E81)=YEAR(Parametros!$B$3),MONTH(E81)&gt;=10),1,0)</f>
        <v>0</v>
      </c>
      <c r="P81" s="13" t="n">
        <f aca="false">IF(AND(E81&lt;Parametros!$B$3,K81&lt;&gt;"Finalizado"),1,0)</f>
        <v>0</v>
      </c>
      <c r="Q81" s="13" t="n">
        <f aca="false">IF(AND(E81&gt;=Parametros!$B$3,E81&lt;=Parametros!$B$3+30,K81&lt;&gt;"Finalizado"),1,0)</f>
        <v>0</v>
      </c>
    </row>
    <row r="82" customFormat="false" ht="15" hidden="false" customHeight="false" outlineLevel="0" collapsed="false">
      <c r="A82" s="7" t="s">
        <v>168</v>
      </c>
      <c r="B82" s="7" t="s">
        <v>169</v>
      </c>
      <c r="C82" s="7" t="s">
        <v>178</v>
      </c>
      <c r="D82" s="9" t="n">
        <v>46104</v>
      </c>
      <c r="E82" s="9" t="n">
        <v>46105</v>
      </c>
      <c r="F82" s="10" t="n">
        <v>100</v>
      </c>
      <c r="G82" s="11" t="n">
        <f aca="false">IF(OR(D82="",E82="",E82&lt;=D82),"",MIN(100,MAX(0,(Parametros!$B$3-D82)/(E82-D82)*100)))</f>
        <v>100</v>
      </c>
      <c r="H82" s="12" t="n">
        <f aca="false">IF(G82="","",G82-F82)</f>
        <v>0</v>
      </c>
      <c r="I82" s="13" t="str">
        <f aca="false">IF(K82="Finalizado","Verde",IF(G82="","Amarillo",IF(H82&lt;=Parametros!$B$4,"Verde",IF(H82&lt;=Parametros!$B$5,"Amarillo","Rojo"))))</f>
        <v>Verde</v>
      </c>
      <c r="J82" s="14" t="str">
        <f aca="false">IF(K82="Finalizado","Completado",IF(G82="","Sin fecha válida - revisar plazos",IF(H82&lt;=Parametros!$B$4,"En tiempo, según lo planificado",IF(H82&lt;=Parametros!$B$5,"Atraso leve - seguimiento cercano ("&amp;TEXT(H82,"0.0")&amp;" p.p.)","Atraso crítico - requiere intervención ("&amp;TEXT(H82,"0.0")&amp;" p.p.)"))))</f>
        <v>Completado</v>
      </c>
      <c r="K82" s="7" t="s">
        <v>38</v>
      </c>
      <c r="L82" s="7"/>
      <c r="M82" s="7" t="s">
        <v>81</v>
      </c>
      <c r="N82" s="7" t="s">
        <v>51</v>
      </c>
      <c r="O82" s="13" t="n">
        <f aca="false">IF(AND(E82&lt;&gt;"",YEAR(E82)=YEAR(Parametros!$B$3),MONTH(E82)&gt;=10),1,0)</f>
        <v>0</v>
      </c>
      <c r="P82" s="13" t="n">
        <f aca="false">IF(AND(E82&lt;Parametros!$B$3,K82&lt;&gt;"Finalizado"),1,0)</f>
        <v>0</v>
      </c>
      <c r="Q82" s="13" t="n">
        <f aca="false">IF(AND(E82&gt;=Parametros!$B$3,E82&lt;=Parametros!$B$3+30,K82&lt;&gt;"Finalizado"),1,0)</f>
        <v>0</v>
      </c>
    </row>
    <row r="83" customFormat="false" ht="15" hidden="false" customHeight="false" outlineLevel="0" collapsed="false">
      <c r="A83" s="7" t="s">
        <v>168</v>
      </c>
      <c r="B83" s="7" t="s">
        <v>169</v>
      </c>
      <c r="C83" s="7" t="s">
        <v>179</v>
      </c>
      <c r="D83" s="9" t="n">
        <v>46105</v>
      </c>
      <c r="E83" s="9" t="n">
        <v>46107</v>
      </c>
      <c r="F83" s="10" t="n">
        <v>100</v>
      </c>
      <c r="G83" s="11" t="n">
        <f aca="false">IF(OR(D83="",E83="",E83&lt;=D83),"",MIN(100,MAX(0,(Parametros!$B$3-D83)/(E83-D83)*100)))</f>
        <v>100</v>
      </c>
      <c r="H83" s="12" t="n">
        <f aca="false">IF(G83="","",G83-F83)</f>
        <v>0</v>
      </c>
      <c r="I83" s="13" t="str">
        <f aca="false">IF(K83="Finalizado","Verde",IF(G83="","Amarillo",IF(H83&lt;=Parametros!$B$4,"Verde",IF(H83&lt;=Parametros!$B$5,"Amarillo","Rojo"))))</f>
        <v>Verde</v>
      </c>
      <c r="J83" s="14" t="str">
        <f aca="false">IF(K83="Finalizado","Completado",IF(G83="","Sin fecha válida - revisar plazos",IF(H83&lt;=Parametros!$B$4,"En tiempo, según lo planificado",IF(H83&lt;=Parametros!$B$5,"Atraso leve - seguimiento cercano ("&amp;TEXT(H83,"0.0")&amp;" p.p.)","Atraso crítico - requiere intervención ("&amp;TEXT(H83,"0.0")&amp;" p.p.)"))))</f>
        <v>Completado</v>
      </c>
      <c r="K83" s="7" t="s">
        <v>38</v>
      </c>
      <c r="L83" s="7"/>
      <c r="M83" s="7" t="s">
        <v>81</v>
      </c>
      <c r="N83" s="7" t="s">
        <v>51</v>
      </c>
      <c r="O83" s="13" t="n">
        <f aca="false">IF(AND(E83&lt;&gt;"",YEAR(E83)=YEAR(Parametros!$B$3),MONTH(E83)&gt;=10),1,0)</f>
        <v>0</v>
      </c>
      <c r="P83" s="13" t="n">
        <f aca="false">IF(AND(E83&lt;Parametros!$B$3,K83&lt;&gt;"Finalizado"),1,0)</f>
        <v>0</v>
      </c>
      <c r="Q83" s="13" t="n">
        <f aca="false">IF(AND(E83&gt;=Parametros!$B$3,E83&lt;=Parametros!$B$3+30,K83&lt;&gt;"Finalizado"),1,0)</f>
        <v>0</v>
      </c>
    </row>
    <row r="84" customFormat="false" ht="15" hidden="false" customHeight="false" outlineLevel="0" collapsed="false">
      <c r="A84" s="7" t="s">
        <v>168</v>
      </c>
      <c r="B84" s="7" t="s">
        <v>169</v>
      </c>
      <c r="C84" s="7" t="s">
        <v>180</v>
      </c>
      <c r="D84" s="9" t="n">
        <v>46069</v>
      </c>
      <c r="E84" s="9" t="n">
        <v>46073</v>
      </c>
      <c r="F84" s="10" t="n">
        <v>100</v>
      </c>
      <c r="G84" s="11" t="n">
        <f aca="false">IF(OR(D84="",E84="",E84&lt;=D84),"",MIN(100,MAX(0,(Parametros!$B$3-D84)/(E84-D84)*100)))</f>
        <v>100</v>
      </c>
      <c r="H84" s="12" t="n">
        <f aca="false">IF(G84="","",G84-F84)</f>
        <v>0</v>
      </c>
      <c r="I84" s="13" t="str">
        <f aca="false">IF(K84="Finalizado","Verde",IF(G84="","Amarillo",IF(H84&lt;=Parametros!$B$4,"Verde",IF(H84&lt;=Parametros!$B$5,"Amarillo","Rojo"))))</f>
        <v>Verde</v>
      </c>
      <c r="J84" s="14" t="str">
        <f aca="false">IF(K84="Finalizado","Completado",IF(G84="","Sin fecha válida - revisar plazos",IF(H84&lt;=Parametros!$B$4,"En tiempo, según lo planificado",IF(H84&lt;=Parametros!$B$5,"Atraso leve - seguimiento cercano ("&amp;TEXT(H84,"0.0")&amp;" p.p.)","Atraso crítico - requiere intervención ("&amp;TEXT(H84,"0.0")&amp;" p.p.)"))))</f>
        <v>Completado</v>
      </c>
      <c r="K84" s="7" t="s">
        <v>38</v>
      </c>
      <c r="L84" s="7"/>
      <c r="M84" s="7" t="s">
        <v>81</v>
      </c>
      <c r="N84" s="7" t="s">
        <v>51</v>
      </c>
      <c r="O84" s="13" t="n">
        <f aca="false">IF(AND(E84&lt;&gt;"",YEAR(E84)=YEAR(Parametros!$B$3),MONTH(E84)&gt;=10),1,0)</f>
        <v>0</v>
      </c>
      <c r="P84" s="13" t="n">
        <f aca="false">IF(AND(E84&lt;Parametros!$B$3,K84&lt;&gt;"Finalizado"),1,0)</f>
        <v>0</v>
      </c>
      <c r="Q84" s="13" t="n">
        <f aca="false">IF(AND(E84&gt;=Parametros!$B$3,E84&lt;=Parametros!$B$3+30,K84&lt;&gt;"Finalizado"),1,0)</f>
        <v>0</v>
      </c>
    </row>
    <row r="85" customFormat="false" ht="15" hidden="false" customHeight="false" outlineLevel="0" collapsed="false">
      <c r="A85" s="7" t="s">
        <v>168</v>
      </c>
      <c r="B85" s="7" t="s">
        <v>169</v>
      </c>
      <c r="C85" s="7" t="s">
        <v>181</v>
      </c>
      <c r="D85" s="9" t="n">
        <v>46076</v>
      </c>
      <c r="E85" s="9" t="n">
        <v>46087</v>
      </c>
      <c r="F85" s="10" t="n">
        <v>100</v>
      </c>
      <c r="G85" s="11" t="n">
        <f aca="false">IF(OR(D85="",E85="",E85&lt;=D85),"",MIN(100,MAX(0,(Parametros!$B$3-D85)/(E85-D85)*100)))</f>
        <v>100</v>
      </c>
      <c r="H85" s="12" t="n">
        <f aca="false">IF(G85="","",G85-F85)</f>
        <v>0</v>
      </c>
      <c r="I85" s="13" t="str">
        <f aca="false">IF(K85="Finalizado","Verde",IF(G85="","Amarillo",IF(H85&lt;=Parametros!$B$4,"Verde",IF(H85&lt;=Parametros!$B$5,"Amarillo","Rojo"))))</f>
        <v>Verde</v>
      </c>
      <c r="J85" s="14" t="str">
        <f aca="false">IF(K85="Finalizado","Completado",IF(G85="","Sin fecha válida - revisar plazos",IF(H85&lt;=Parametros!$B$4,"En tiempo, según lo planificado",IF(H85&lt;=Parametros!$B$5,"Atraso leve - seguimiento cercano ("&amp;TEXT(H85,"0.0")&amp;" p.p.)","Atraso crítico - requiere intervención ("&amp;TEXT(H85,"0.0")&amp;" p.p.)"))))</f>
        <v>Completado</v>
      </c>
      <c r="K85" s="7" t="s">
        <v>38</v>
      </c>
      <c r="L85" s="7"/>
      <c r="M85" s="7" t="s">
        <v>81</v>
      </c>
      <c r="N85" s="7" t="s">
        <v>51</v>
      </c>
      <c r="O85" s="13" t="n">
        <f aca="false">IF(AND(E85&lt;&gt;"",YEAR(E85)=YEAR(Parametros!$B$3),MONTH(E85)&gt;=10),1,0)</f>
        <v>0</v>
      </c>
      <c r="P85" s="13" t="n">
        <f aca="false">IF(AND(E85&lt;Parametros!$B$3,K85&lt;&gt;"Finalizado"),1,0)</f>
        <v>0</v>
      </c>
      <c r="Q85" s="13" t="n">
        <f aca="false">IF(AND(E85&gt;=Parametros!$B$3,E85&lt;=Parametros!$B$3+30,K85&lt;&gt;"Finalizado"),1,0)</f>
        <v>0</v>
      </c>
    </row>
    <row r="86" customFormat="false" ht="15" hidden="false" customHeight="false" outlineLevel="0" collapsed="false">
      <c r="A86" s="7" t="s">
        <v>168</v>
      </c>
      <c r="B86" s="7" t="s">
        <v>169</v>
      </c>
      <c r="C86" s="7" t="s">
        <v>182</v>
      </c>
      <c r="D86" s="9" t="n">
        <v>46090</v>
      </c>
      <c r="E86" s="9" t="n">
        <v>46091</v>
      </c>
      <c r="F86" s="10" t="n">
        <v>100</v>
      </c>
      <c r="G86" s="11" t="n">
        <f aca="false">IF(OR(D86="",E86="",E86&lt;=D86),"",MIN(100,MAX(0,(Parametros!$B$3-D86)/(E86-D86)*100)))</f>
        <v>100</v>
      </c>
      <c r="H86" s="12" t="n">
        <f aca="false">IF(G86="","",G86-F86)</f>
        <v>0</v>
      </c>
      <c r="I86" s="13" t="str">
        <f aca="false">IF(K86="Finalizado","Verde",IF(G86="","Amarillo",IF(H86&lt;=Parametros!$B$4,"Verde",IF(H86&lt;=Parametros!$B$5,"Amarillo","Rojo"))))</f>
        <v>Verde</v>
      </c>
      <c r="J86" s="14" t="str">
        <f aca="false">IF(K86="Finalizado","Completado",IF(G86="","Sin fecha válida - revisar plazos",IF(H86&lt;=Parametros!$B$4,"En tiempo, según lo planificado",IF(H86&lt;=Parametros!$B$5,"Atraso leve - seguimiento cercano ("&amp;TEXT(H86,"0.0")&amp;" p.p.)","Atraso crítico - requiere intervención ("&amp;TEXT(H86,"0.0")&amp;" p.p.)"))))</f>
        <v>Completado</v>
      </c>
      <c r="K86" s="7" t="s">
        <v>38</v>
      </c>
      <c r="L86" s="7"/>
      <c r="M86" s="7" t="s">
        <v>81</v>
      </c>
      <c r="N86" s="7" t="s">
        <v>51</v>
      </c>
      <c r="O86" s="13" t="n">
        <f aca="false">IF(AND(E86&lt;&gt;"",YEAR(E86)=YEAR(Parametros!$B$3),MONTH(E86)&gt;=10),1,0)</f>
        <v>0</v>
      </c>
      <c r="P86" s="13" t="n">
        <f aca="false">IF(AND(E86&lt;Parametros!$B$3,K86&lt;&gt;"Finalizado"),1,0)</f>
        <v>0</v>
      </c>
      <c r="Q86" s="13" t="n">
        <f aca="false">IF(AND(E86&gt;=Parametros!$B$3,E86&lt;=Parametros!$B$3+30,K86&lt;&gt;"Finalizado"),1,0)</f>
        <v>0</v>
      </c>
    </row>
    <row r="87" customFormat="false" ht="15" hidden="false" customHeight="false" outlineLevel="0" collapsed="false">
      <c r="A87" s="7" t="s">
        <v>168</v>
      </c>
      <c r="B87" s="7" t="s">
        <v>169</v>
      </c>
      <c r="C87" s="7" t="s">
        <v>183</v>
      </c>
      <c r="D87" s="9" t="n">
        <v>46092</v>
      </c>
      <c r="E87" s="9" t="n">
        <v>46092</v>
      </c>
      <c r="F87" s="10" t="n">
        <v>100</v>
      </c>
      <c r="G87" s="11" t="str">
        <f aca="false">IF(OR(D87="",E87="",E87&lt;=D87),"",MIN(100,MAX(0,(Parametros!$B$3-D87)/(E87-D87)*100)))</f>
        <v/>
      </c>
      <c r="H87" s="12" t="str">
        <f aca="false">IF(G87="","",G87-F87)</f>
        <v/>
      </c>
      <c r="I87" s="13" t="str">
        <f aca="false">IF(K87="Finalizado","Verde",IF(G87="","Amarillo",IF(H87&lt;=Parametros!$B$4,"Verde",IF(H87&lt;=Parametros!$B$5,"Amarillo","Rojo"))))</f>
        <v>Verde</v>
      </c>
      <c r="J87" s="14" t="str">
        <f aca="false">IF(K87="Finalizado","Completado",IF(G87="","Sin fecha válida - revisar plazos",IF(H87&lt;=Parametros!$B$4,"En tiempo, según lo planificado",IF(H87&lt;=Parametros!$B$5,"Atraso leve - seguimiento cercano ("&amp;TEXT(H87,"0.0")&amp;" p.p.)","Atraso crítico - requiere intervención ("&amp;TEXT(H87,"0.0")&amp;" p.p.)"))))</f>
        <v>Completado</v>
      </c>
      <c r="K87" s="7" t="s">
        <v>38</v>
      </c>
      <c r="L87" s="7"/>
      <c r="M87" s="7" t="s">
        <v>81</v>
      </c>
      <c r="N87" s="7" t="s">
        <v>51</v>
      </c>
      <c r="O87" s="13" t="n">
        <f aca="false">IF(AND(E87&lt;&gt;"",YEAR(E87)=YEAR(Parametros!$B$3),MONTH(E87)&gt;=10),1,0)</f>
        <v>0</v>
      </c>
      <c r="P87" s="13" t="n">
        <f aca="false">IF(AND(E87&lt;Parametros!$B$3,K87&lt;&gt;"Finalizado"),1,0)</f>
        <v>0</v>
      </c>
      <c r="Q87" s="13" t="n">
        <f aca="false">IF(AND(E87&gt;=Parametros!$B$3,E87&lt;=Parametros!$B$3+30,K87&lt;&gt;"Finalizado"),1,0)</f>
        <v>0</v>
      </c>
    </row>
    <row r="88" customFormat="false" ht="15" hidden="false" customHeight="false" outlineLevel="0" collapsed="false">
      <c r="A88" s="7" t="s">
        <v>168</v>
      </c>
      <c r="B88" s="7" t="s">
        <v>169</v>
      </c>
      <c r="C88" s="7" t="s">
        <v>184</v>
      </c>
      <c r="D88" s="9" t="n">
        <v>46111</v>
      </c>
      <c r="E88" s="9" t="n">
        <v>46115</v>
      </c>
      <c r="F88" s="10" t="n">
        <v>100</v>
      </c>
      <c r="G88" s="11" t="n">
        <f aca="false">IF(OR(D88="",E88="",E88&lt;=D88),"",MIN(100,MAX(0,(Parametros!$B$3-D88)/(E88-D88)*100)))</f>
        <v>100</v>
      </c>
      <c r="H88" s="12" t="n">
        <f aca="false">IF(G88="","",G88-F88)</f>
        <v>0</v>
      </c>
      <c r="I88" s="13" t="str">
        <f aca="false">IF(K88="Finalizado","Verde",IF(G88="","Amarillo",IF(H88&lt;=Parametros!$B$4,"Verde",IF(H88&lt;=Parametros!$B$5,"Amarillo","Rojo"))))</f>
        <v>Verde</v>
      </c>
      <c r="J88" s="14" t="str">
        <f aca="false">IF(K88="Finalizado","Completado",IF(G88="","Sin fecha válida - revisar plazos",IF(H88&lt;=Parametros!$B$4,"En tiempo, según lo planificado",IF(H88&lt;=Parametros!$B$5,"Atraso leve - seguimiento cercano ("&amp;TEXT(H88,"0.0")&amp;" p.p.)","Atraso crítico - requiere intervención ("&amp;TEXT(H88,"0.0")&amp;" p.p.)"))))</f>
        <v>Completado</v>
      </c>
      <c r="K88" s="7" t="s">
        <v>38</v>
      </c>
      <c r="L88" s="7"/>
      <c r="M88" s="7" t="s">
        <v>81</v>
      </c>
      <c r="N88" s="7" t="s">
        <v>51</v>
      </c>
      <c r="O88" s="13" t="n">
        <f aca="false">IF(AND(E88&lt;&gt;"",YEAR(E88)=YEAR(Parametros!$B$3),MONTH(E88)&gt;=10),1,0)</f>
        <v>0</v>
      </c>
      <c r="P88" s="13" t="n">
        <f aca="false">IF(AND(E88&lt;Parametros!$B$3,K88&lt;&gt;"Finalizado"),1,0)</f>
        <v>0</v>
      </c>
      <c r="Q88" s="13" t="n">
        <f aca="false">IF(AND(E88&gt;=Parametros!$B$3,E88&lt;=Parametros!$B$3+30,K88&lt;&gt;"Finalizado"),1,0)</f>
        <v>0</v>
      </c>
    </row>
    <row r="89" customFormat="false" ht="15" hidden="false" customHeight="false" outlineLevel="0" collapsed="false">
      <c r="A89" s="7" t="s">
        <v>168</v>
      </c>
      <c r="B89" s="7" t="s">
        <v>169</v>
      </c>
      <c r="C89" s="7" t="s">
        <v>185</v>
      </c>
      <c r="D89" s="9" t="n">
        <v>46118</v>
      </c>
      <c r="E89" s="9" t="n">
        <v>46150</v>
      </c>
      <c r="F89" s="10" t="n">
        <v>100</v>
      </c>
      <c r="G89" s="11" t="n">
        <f aca="false">IF(OR(D89="",E89="",E89&lt;=D89),"",MIN(100,MAX(0,(Parametros!$B$3-D89)/(E89-D89)*100)))</f>
        <v>100</v>
      </c>
      <c r="H89" s="12" t="n">
        <f aca="false">IF(G89="","",G89-F89)</f>
        <v>0</v>
      </c>
      <c r="I89" s="13" t="str">
        <f aca="false">IF(K89="Finalizado","Verde",IF(G89="","Amarillo",IF(H89&lt;=Parametros!$B$4,"Verde",IF(H89&lt;=Parametros!$B$5,"Amarillo","Rojo"))))</f>
        <v>Verde</v>
      </c>
      <c r="J89" s="14" t="str">
        <f aca="false">IF(K89="Finalizado","Completado",IF(G89="","Sin fecha válida - revisar plazos",IF(H89&lt;=Parametros!$B$4,"En tiempo, según lo planificado",IF(H89&lt;=Parametros!$B$5,"Atraso leve - seguimiento cercano ("&amp;TEXT(H89,"0.0")&amp;" p.p.)","Atraso crítico - requiere intervención ("&amp;TEXT(H89,"0.0")&amp;" p.p.)"))))</f>
        <v>Completado</v>
      </c>
      <c r="K89" s="7" t="s">
        <v>38</v>
      </c>
      <c r="L89" s="7"/>
      <c r="M89" s="7" t="s">
        <v>81</v>
      </c>
      <c r="N89" s="7" t="s">
        <v>51</v>
      </c>
      <c r="O89" s="13" t="n">
        <f aca="false">IF(AND(E89&lt;&gt;"",YEAR(E89)=YEAR(Parametros!$B$3),MONTH(E89)&gt;=10),1,0)</f>
        <v>0</v>
      </c>
      <c r="P89" s="13" t="n">
        <f aca="false">IF(AND(E89&lt;Parametros!$B$3,K89&lt;&gt;"Finalizado"),1,0)</f>
        <v>0</v>
      </c>
      <c r="Q89" s="13" t="n">
        <f aca="false">IF(AND(E89&gt;=Parametros!$B$3,E89&lt;=Parametros!$B$3+30,K89&lt;&gt;"Finalizado"),1,0)</f>
        <v>0</v>
      </c>
    </row>
    <row r="90" customFormat="false" ht="15" hidden="false" customHeight="false" outlineLevel="0" collapsed="false">
      <c r="A90" s="7" t="s">
        <v>168</v>
      </c>
      <c r="B90" s="7" t="s">
        <v>169</v>
      </c>
      <c r="C90" s="7" t="s">
        <v>186</v>
      </c>
      <c r="D90" s="9" t="n">
        <v>46153</v>
      </c>
      <c r="E90" s="9" t="n">
        <v>46157</v>
      </c>
      <c r="F90" s="10" t="n">
        <v>100</v>
      </c>
      <c r="G90" s="11" t="n">
        <f aca="false">IF(OR(D90="",E90="",E90&lt;=D90),"",MIN(100,MAX(0,(Parametros!$B$3-D90)/(E90-D90)*100)))</f>
        <v>100</v>
      </c>
      <c r="H90" s="12" t="n">
        <f aca="false">IF(G90="","",G90-F90)</f>
        <v>0</v>
      </c>
      <c r="I90" s="13" t="str">
        <f aca="false">IF(K90="Finalizado","Verde",IF(G90="","Amarillo",IF(H90&lt;=Parametros!$B$4,"Verde",IF(H90&lt;=Parametros!$B$5,"Amarillo","Rojo"))))</f>
        <v>Verde</v>
      </c>
      <c r="J90" s="14" t="str">
        <f aca="false">IF(K90="Finalizado","Completado",IF(G90="","Sin fecha válida - revisar plazos",IF(H90&lt;=Parametros!$B$4,"En tiempo, según lo planificado",IF(H90&lt;=Parametros!$B$5,"Atraso leve - seguimiento cercano ("&amp;TEXT(H90,"0.0")&amp;" p.p.)","Atraso crítico - requiere intervención ("&amp;TEXT(H90,"0.0")&amp;" p.p.)"))))</f>
        <v>Completado</v>
      </c>
      <c r="K90" s="7" t="s">
        <v>38</v>
      </c>
      <c r="L90" s="7"/>
      <c r="M90" s="7" t="s">
        <v>81</v>
      </c>
      <c r="N90" s="7" t="s">
        <v>51</v>
      </c>
      <c r="O90" s="13" t="n">
        <f aca="false">IF(AND(E90&lt;&gt;"",YEAR(E90)=YEAR(Parametros!$B$3),MONTH(E90)&gt;=10),1,0)</f>
        <v>0</v>
      </c>
      <c r="P90" s="13" t="n">
        <f aca="false">IF(AND(E90&lt;Parametros!$B$3,K90&lt;&gt;"Finalizado"),1,0)</f>
        <v>0</v>
      </c>
      <c r="Q90" s="13" t="n">
        <f aca="false">IF(AND(E90&gt;=Parametros!$B$3,E90&lt;=Parametros!$B$3+30,K90&lt;&gt;"Finalizado"),1,0)</f>
        <v>0</v>
      </c>
    </row>
    <row r="91" customFormat="false" ht="15" hidden="false" customHeight="false" outlineLevel="0" collapsed="false">
      <c r="A91" s="7" t="s">
        <v>168</v>
      </c>
      <c r="B91" s="7" t="s">
        <v>169</v>
      </c>
      <c r="C91" s="7" t="s">
        <v>187</v>
      </c>
      <c r="D91" s="9" t="n">
        <v>46160</v>
      </c>
      <c r="E91" s="9" t="n">
        <v>46169</v>
      </c>
      <c r="F91" s="10" t="n">
        <v>100</v>
      </c>
      <c r="G91" s="11" t="n">
        <f aca="false">IF(OR(D91="",E91="",E91&lt;=D91),"",MIN(100,MAX(0,(Parametros!$B$3-D91)/(E91-D91)*100)))</f>
        <v>100</v>
      </c>
      <c r="H91" s="12" t="n">
        <f aca="false">IF(G91="","",G91-F91)</f>
        <v>0</v>
      </c>
      <c r="I91" s="13" t="str">
        <f aca="false">IF(K91="Finalizado","Verde",IF(G91="","Amarillo",IF(H91&lt;=Parametros!$B$4,"Verde",IF(H91&lt;=Parametros!$B$5,"Amarillo","Rojo"))))</f>
        <v>Verde</v>
      </c>
      <c r="J91" s="14" t="str">
        <f aca="false">IF(K91="Finalizado","Completado",IF(G91="","Sin fecha válida - revisar plazos",IF(H91&lt;=Parametros!$B$4,"En tiempo, según lo planificado",IF(H91&lt;=Parametros!$B$5,"Atraso leve - seguimiento cercano ("&amp;TEXT(H91,"0.0")&amp;" p.p.)","Atraso crítico - requiere intervención ("&amp;TEXT(H91,"0.0")&amp;" p.p.)"))))</f>
        <v>Completado</v>
      </c>
      <c r="K91" s="7" t="s">
        <v>38</v>
      </c>
      <c r="L91" s="7"/>
      <c r="M91" s="7" t="s">
        <v>81</v>
      </c>
      <c r="N91" s="7" t="s">
        <v>51</v>
      </c>
      <c r="O91" s="13" t="n">
        <f aca="false">IF(AND(E91&lt;&gt;"",YEAR(E91)=YEAR(Parametros!$B$3),MONTH(E91)&gt;=10),1,0)</f>
        <v>0</v>
      </c>
      <c r="P91" s="13" t="n">
        <f aca="false">IF(AND(E91&lt;Parametros!$B$3,K91&lt;&gt;"Finalizado"),1,0)</f>
        <v>0</v>
      </c>
      <c r="Q91" s="13" t="n">
        <f aca="false">IF(AND(E91&gt;=Parametros!$B$3,E91&lt;=Parametros!$B$3+30,K91&lt;&gt;"Finalizado"),1,0)</f>
        <v>0</v>
      </c>
    </row>
    <row r="92" customFormat="false" ht="15" hidden="false" customHeight="false" outlineLevel="0" collapsed="false">
      <c r="A92" s="7" t="s">
        <v>168</v>
      </c>
      <c r="B92" s="7" t="s">
        <v>169</v>
      </c>
      <c r="C92" s="7" t="s">
        <v>188</v>
      </c>
      <c r="D92" s="9" t="n">
        <v>46237</v>
      </c>
      <c r="E92" s="9" t="n">
        <v>46241</v>
      </c>
      <c r="F92" s="10" t="n">
        <v>100</v>
      </c>
      <c r="G92" s="11" t="n">
        <f aca="false">IF(OR(D92="",E92="",E92&lt;=D92),"",MIN(100,MAX(0,(Parametros!$B$3-D92)/(E92-D92)*100)))</f>
        <v>100</v>
      </c>
      <c r="H92" s="12" t="n">
        <f aca="false">IF(G92="","",G92-F92)</f>
        <v>0</v>
      </c>
      <c r="I92" s="13" t="str">
        <f aca="false">IF(K92="Finalizado","Verde",IF(G92="","Amarillo",IF(H92&lt;=Parametros!$B$4,"Verde",IF(H92&lt;=Parametros!$B$5,"Amarillo","Rojo"))))</f>
        <v>Verde</v>
      </c>
      <c r="J92" s="14" t="str">
        <f aca="false">IF(K92="Finalizado","Completado",IF(G92="","Sin fecha válida - revisar plazos",IF(H92&lt;=Parametros!$B$4,"En tiempo, según lo planificado",IF(H92&lt;=Parametros!$B$5,"Atraso leve - seguimiento cercano ("&amp;TEXT(H92,"0.0")&amp;" p.p.)","Atraso crítico - requiere intervención ("&amp;TEXT(H92,"0.0")&amp;" p.p.)"))))</f>
        <v>Completado</v>
      </c>
      <c r="K92" s="7" t="s">
        <v>38</v>
      </c>
      <c r="L92" s="7"/>
      <c r="M92" s="7" t="s">
        <v>81</v>
      </c>
      <c r="N92" s="7" t="s">
        <v>189</v>
      </c>
      <c r="O92" s="13" t="n">
        <f aca="false">IF(AND(E92&lt;&gt;"",YEAR(E92)=YEAR(Parametros!$B$3),MONTH(E92)&gt;=10),1,0)</f>
        <v>0</v>
      </c>
      <c r="P92" s="13" t="n">
        <f aca="false">IF(AND(E92&lt;Parametros!$B$3,K92&lt;&gt;"Finalizado"),1,0)</f>
        <v>0</v>
      </c>
      <c r="Q92" s="13" t="n">
        <f aca="false">IF(AND(E92&gt;=Parametros!$B$3,E92&lt;=Parametros!$B$3+30,K92&lt;&gt;"Finalizado"),1,0)</f>
        <v>0</v>
      </c>
    </row>
    <row r="93" customFormat="false" ht="15" hidden="false" customHeight="false" outlineLevel="0" collapsed="false">
      <c r="A93" s="7" t="s">
        <v>168</v>
      </c>
      <c r="B93" s="7" t="s">
        <v>169</v>
      </c>
      <c r="C93" s="7" t="s">
        <v>190</v>
      </c>
      <c r="D93" s="9" t="n">
        <v>46244</v>
      </c>
      <c r="E93" s="9" t="n">
        <v>46276</v>
      </c>
      <c r="F93" s="10" t="n">
        <v>0</v>
      </c>
      <c r="G93" s="11" t="n">
        <f aca="false">IF(OR(D93="",E93="",E93&lt;=D93),"",MIN(100,MAX(0,(Parametros!$B$3-D93)/(E93-D93)*100)))</f>
        <v>43.75</v>
      </c>
      <c r="H93" s="12" t="n">
        <f aca="false">IF(G93="","",G93-F93)</f>
        <v>43.75</v>
      </c>
      <c r="I93" s="13" t="str">
        <f aca="false">IF(K93="Finalizado","Verde",IF(G93="","Amarillo",IF(H93&lt;=Parametros!$B$4,"Verde",IF(H93&lt;=Parametros!$B$5,"Amarillo","Rojo"))))</f>
        <v>Rojo</v>
      </c>
      <c r="J93" s="14" t="str">
        <f aca="false">IF(K93="Finalizado","Completado",IF(G93="","Sin fecha válida - revisar plazos",IF(H93&lt;=Parametros!$B$4,"En tiempo, según lo planificado",IF(H93&lt;=Parametros!$B$5,"Atraso leve - seguimiento cercano ("&amp;TEXT(H93,"0.0")&amp;" p.p.)","Atraso crítico - requiere intervención ("&amp;TEXT(H93,"0.0")&amp;" p.p.)"))))</f>
        <v>Atraso crítico - requiere intervención (43.8 p.p.)</v>
      </c>
      <c r="K93" s="7" t="s">
        <v>27</v>
      </c>
      <c r="L93" s="7"/>
      <c r="M93" s="7" t="s">
        <v>81</v>
      </c>
      <c r="N93" s="7" t="s">
        <v>51</v>
      </c>
      <c r="O93" s="13" t="n">
        <f aca="false">IF(AND(E93&lt;&gt;"",YEAR(E93)=YEAR(Parametros!$B$3),MONTH(E93)&gt;=10),1,0)</f>
        <v>0</v>
      </c>
      <c r="P93" s="13" t="n">
        <f aca="false">IF(AND(E93&lt;Parametros!$B$3,K93&lt;&gt;"Finalizado"),1,0)</f>
        <v>0</v>
      </c>
      <c r="Q93" s="13" t="n">
        <f aca="false">IF(AND(E93&gt;=Parametros!$B$3,E93&lt;=Parametros!$B$3+30,K93&lt;&gt;"Finalizado"),1,0)</f>
        <v>1</v>
      </c>
    </row>
    <row r="94" customFormat="false" ht="15" hidden="false" customHeight="false" outlineLevel="0" collapsed="false">
      <c r="A94" s="7" t="s">
        <v>168</v>
      </c>
      <c r="B94" s="7" t="s">
        <v>169</v>
      </c>
      <c r="C94" s="7" t="s">
        <v>191</v>
      </c>
      <c r="D94" s="9" t="n">
        <v>46279</v>
      </c>
      <c r="E94" s="9" t="n">
        <v>46290</v>
      </c>
      <c r="F94" s="10" t="n">
        <v>0</v>
      </c>
      <c r="G94" s="11" t="n">
        <f aca="false">IF(OR(D94="",E94="",E94&lt;=D94),"",MIN(100,MAX(0,(Parametros!$B$3-D94)/(E94-D94)*100)))</f>
        <v>0</v>
      </c>
      <c r="H94" s="12" t="n">
        <f aca="false">IF(G94="","",G94-F94)</f>
        <v>0</v>
      </c>
      <c r="I94" s="13" t="str">
        <f aca="false">IF(K94="Finalizado","Verde",IF(G94="","Amarillo",IF(H94&lt;=Parametros!$B$4,"Verde",IF(H94&lt;=Parametros!$B$5,"Amarillo","Rojo"))))</f>
        <v>Verde</v>
      </c>
      <c r="J94" s="14" t="str">
        <f aca="false">IF(K94="Finalizado","Completado",IF(G94="","Sin fecha válida - revisar plazos",IF(H94&lt;=Parametros!$B$4,"En tiempo, según lo planificado",IF(H94&lt;=Parametros!$B$5,"Atraso leve - seguimiento cercano ("&amp;TEXT(H94,"0.0")&amp;" p.p.)","Atraso crítico - requiere intervención ("&amp;TEXT(H94,"0.0")&amp;" p.p.)"))))</f>
        <v>En tiempo, según lo planificado</v>
      </c>
      <c r="K94" s="7" t="s">
        <v>100</v>
      </c>
      <c r="L94" s="7"/>
      <c r="M94" s="7" t="s">
        <v>81</v>
      </c>
      <c r="N94" s="7" t="s">
        <v>51</v>
      </c>
      <c r="O94" s="13" t="n">
        <f aca="false">IF(AND(E94&lt;&gt;"",YEAR(E94)=YEAR(Parametros!$B$3),MONTH(E94)&gt;=10),1,0)</f>
        <v>0</v>
      </c>
      <c r="P94" s="13" t="n">
        <f aca="false">IF(AND(E94&lt;Parametros!$B$3,K94&lt;&gt;"Finalizado"),1,0)</f>
        <v>0</v>
      </c>
      <c r="Q94" s="13" t="n">
        <f aca="false">IF(AND(E94&gt;=Parametros!$B$3,E94&lt;=Parametros!$B$3+30,K94&lt;&gt;"Finalizado"),1,0)</f>
        <v>0</v>
      </c>
    </row>
    <row r="95" customFormat="false" ht="15" hidden="false" customHeight="false" outlineLevel="0" collapsed="false">
      <c r="A95" s="7" t="s">
        <v>168</v>
      </c>
      <c r="B95" s="7" t="s">
        <v>169</v>
      </c>
      <c r="C95" s="7" t="s">
        <v>192</v>
      </c>
      <c r="D95" s="9" t="n">
        <v>46293</v>
      </c>
      <c r="E95" s="9" t="n">
        <v>46295</v>
      </c>
      <c r="F95" s="10" t="n">
        <v>0</v>
      </c>
      <c r="G95" s="11" t="n">
        <f aca="false">IF(OR(D95="",E95="",E95&lt;=D95),"",MIN(100,MAX(0,(Parametros!$B$3-D95)/(E95-D95)*100)))</f>
        <v>0</v>
      </c>
      <c r="H95" s="12" t="n">
        <f aca="false">IF(G95="","",G95-F95)</f>
        <v>0</v>
      </c>
      <c r="I95" s="13" t="str">
        <f aca="false">IF(K95="Finalizado","Verde",IF(G95="","Amarillo",IF(H95&lt;=Parametros!$B$4,"Verde",IF(H95&lt;=Parametros!$B$5,"Amarillo","Rojo"))))</f>
        <v>Verde</v>
      </c>
      <c r="J95" s="14" t="str">
        <f aca="false">IF(K95="Finalizado","Completado",IF(G95="","Sin fecha válida - revisar plazos",IF(H95&lt;=Parametros!$B$4,"En tiempo, según lo planificado",IF(H95&lt;=Parametros!$B$5,"Atraso leve - seguimiento cercano ("&amp;TEXT(H95,"0.0")&amp;" p.p.)","Atraso crítico - requiere intervención ("&amp;TEXT(H95,"0.0")&amp;" p.p.)"))))</f>
        <v>En tiempo, según lo planificado</v>
      </c>
      <c r="K95" s="7" t="s">
        <v>100</v>
      </c>
      <c r="L95" s="7"/>
      <c r="M95" s="7" t="s">
        <v>81</v>
      </c>
      <c r="N95" s="7" t="s">
        <v>51</v>
      </c>
      <c r="O95" s="13" t="n">
        <f aca="false">IF(AND(E95&lt;&gt;"",YEAR(E95)=YEAR(Parametros!$B$3),MONTH(E95)&gt;=10),1,0)</f>
        <v>0</v>
      </c>
      <c r="P95" s="13" t="n">
        <f aca="false">IF(AND(E95&lt;Parametros!$B$3,K95&lt;&gt;"Finalizado"),1,0)</f>
        <v>0</v>
      </c>
      <c r="Q95" s="13" t="n">
        <f aca="false">IF(AND(E95&gt;=Parametros!$B$3,E95&lt;=Parametros!$B$3+30,K95&lt;&gt;"Finalizado"),1,0)</f>
        <v>0</v>
      </c>
    </row>
    <row r="96" customFormat="false" ht="15" hidden="false" customHeight="false" outlineLevel="0" collapsed="false">
      <c r="A96" s="7" t="s">
        <v>168</v>
      </c>
      <c r="B96" s="7" t="s">
        <v>169</v>
      </c>
      <c r="C96" s="7" t="s">
        <v>193</v>
      </c>
      <c r="D96" s="9" t="n">
        <v>46296</v>
      </c>
      <c r="E96" s="9" t="n">
        <v>46297</v>
      </c>
      <c r="F96" s="10" t="n">
        <v>0</v>
      </c>
      <c r="G96" s="11" t="n">
        <f aca="false">IF(OR(D96="",E96="",E96&lt;=D96),"",MIN(100,MAX(0,(Parametros!$B$3-D96)/(E96-D96)*100)))</f>
        <v>0</v>
      </c>
      <c r="H96" s="12" t="n">
        <f aca="false">IF(G96="","",G96-F96)</f>
        <v>0</v>
      </c>
      <c r="I96" s="13" t="str">
        <f aca="false">IF(K96="Finalizado","Verde",IF(G96="","Amarillo",IF(H96&lt;=Parametros!$B$4,"Verde",IF(H96&lt;=Parametros!$B$5,"Amarillo","Rojo"))))</f>
        <v>Verde</v>
      </c>
      <c r="J96" s="14" t="str">
        <f aca="false">IF(K96="Finalizado","Completado",IF(G96="","Sin fecha válida - revisar plazos",IF(H96&lt;=Parametros!$B$4,"En tiempo, según lo planificado",IF(H96&lt;=Parametros!$B$5,"Atraso leve - seguimiento cercano ("&amp;TEXT(H96,"0.0")&amp;" p.p.)","Atraso crítico - requiere intervención ("&amp;TEXT(H96,"0.0")&amp;" p.p.)"))))</f>
        <v>En tiempo, según lo planificado</v>
      </c>
      <c r="K96" s="7" t="s">
        <v>100</v>
      </c>
      <c r="L96" s="7"/>
      <c r="M96" s="7" t="s">
        <v>81</v>
      </c>
      <c r="N96" s="7" t="s">
        <v>51</v>
      </c>
      <c r="O96" s="13" t="n">
        <f aca="false">IF(AND(E96&lt;&gt;"",YEAR(E96)=YEAR(Parametros!$B$3),MONTH(E96)&gt;=10),1,0)</f>
        <v>1</v>
      </c>
      <c r="P96" s="13" t="n">
        <f aca="false">IF(AND(E96&lt;Parametros!$B$3,K96&lt;&gt;"Finalizado"),1,0)</f>
        <v>0</v>
      </c>
      <c r="Q96" s="13" t="n">
        <f aca="false">IF(AND(E96&gt;=Parametros!$B$3,E96&lt;=Parametros!$B$3+30,K96&lt;&gt;"Finalizado"),1,0)</f>
        <v>0</v>
      </c>
    </row>
    <row r="97" customFormat="false" ht="15" hidden="false" customHeight="false" outlineLevel="0" collapsed="false">
      <c r="A97" s="7" t="s">
        <v>168</v>
      </c>
      <c r="B97" s="7" t="s">
        <v>169</v>
      </c>
      <c r="C97" s="7" t="s">
        <v>194</v>
      </c>
      <c r="D97" s="9" t="n">
        <v>46300</v>
      </c>
      <c r="E97" s="9" t="n">
        <v>46387</v>
      </c>
      <c r="F97" s="10" t="n">
        <v>0</v>
      </c>
      <c r="G97" s="11" t="n">
        <f aca="false">IF(OR(D97="",E97="",E97&lt;=D97),"",MIN(100,MAX(0,(Parametros!$B$3-D97)/(E97-D97)*100)))</f>
        <v>0</v>
      </c>
      <c r="H97" s="12" t="n">
        <f aca="false">IF(G97="","",G97-F97)</f>
        <v>0</v>
      </c>
      <c r="I97" s="13" t="str">
        <f aca="false">IF(K97="Finalizado","Verde",IF(G97="","Amarillo",IF(H97&lt;=Parametros!$B$4,"Verde",IF(H97&lt;=Parametros!$B$5,"Amarillo","Rojo"))))</f>
        <v>Verde</v>
      </c>
      <c r="J97" s="14" t="str">
        <f aca="false">IF(K97="Finalizado","Completado",IF(G97="","Sin fecha válida - revisar plazos",IF(H97&lt;=Parametros!$B$4,"En tiempo, según lo planificado",IF(H97&lt;=Parametros!$B$5,"Atraso leve - seguimiento cercano ("&amp;TEXT(H97,"0.0")&amp;" p.p.)","Atraso crítico - requiere intervención ("&amp;TEXT(H97,"0.0")&amp;" p.p.)"))))</f>
        <v>En tiempo, según lo planificado</v>
      </c>
      <c r="K97" s="7" t="s">
        <v>100</v>
      </c>
      <c r="L97" s="7"/>
      <c r="M97" s="7" t="s">
        <v>81</v>
      </c>
      <c r="N97" s="7" t="s">
        <v>51</v>
      </c>
      <c r="O97" s="13" t="n">
        <f aca="false">IF(AND(E97&lt;&gt;"",YEAR(E97)=YEAR(Parametros!$B$3),MONTH(E97)&gt;=10),1,0)</f>
        <v>1</v>
      </c>
      <c r="P97" s="13" t="n">
        <f aca="false">IF(AND(E97&lt;Parametros!$B$3,K97&lt;&gt;"Finalizado"),1,0)</f>
        <v>0</v>
      </c>
      <c r="Q97" s="13" t="n">
        <f aca="false">IF(AND(E97&gt;=Parametros!$B$3,E97&lt;=Parametros!$B$3+30,K97&lt;&gt;"Finalizado"),1,0)</f>
        <v>0</v>
      </c>
    </row>
    <row r="98" customFormat="false" ht="15" hidden="false" customHeight="false" outlineLevel="0" collapsed="false">
      <c r="A98" s="7" t="s">
        <v>168</v>
      </c>
      <c r="B98" s="7" t="s">
        <v>169</v>
      </c>
      <c r="C98" s="7" t="s">
        <v>195</v>
      </c>
      <c r="D98" s="9" t="n">
        <v>46330</v>
      </c>
      <c r="E98" s="9" t="n">
        <v>46387</v>
      </c>
      <c r="F98" s="10" t="n">
        <v>0</v>
      </c>
      <c r="G98" s="11" t="n">
        <f aca="false">IF(OR(D98="",E98="",E98&lt;=D98),"",MIN(100,MAX(0,(Parametros!$B$3-D98)/(E98-D98)*100)))</f>
        <v>0</v>
      </c>
      <c r="H98" s="12" t="n">
        <f aca="false">IF(G98="","",G98-F98)</f>
        <v>0</v>
      </c>
      <c r="I98" s="13" t="str">
        <f aca="false">IF(K98="Finalizado","Verde",IF(G98="","Amarillo",IF(H98&lt;=Parametros!$B$4,"Verde",IF(H98&lt;=Parametros!$B$5,"Amarillo","Rojo"))))</f>
        <v>Verde</v>
      </c>
      <c r="J98" s="14" t="str">
        <f aca="false">IF(K98="Finalizado","Completado",IF(G98="","Sin fecha válida - revisar plazos",IF(H98&lt;=Parametros!$B$4,"En tiempo, según lo planificado",IF(H98&lt;=Parametros!$B$5,"Atraso leve - seguimiento cercano ("&amp;TEXT(H98,"0.0")&amp;" p.p.)","Atraso crítico - requiere intervención ("&amp;TEXT(H98,"0.0")&amp;" p.p.)"))))</f>
        <v>En tiempo, según lo planificado</v>
      </c>
      <c r="K98" s="7" t="s">
        <v>100</v>
      </c>
      <c r="L98" s="7"/>
      <c r="M98" s="7" t="s">
        <v>81</v>
      </c>
      <c r="N98" s="7" t="s">
        <v>51</v>
      </c>
      <c r="O98" s="13" t="n">
        <f aca="false">IF(AND(E98&lt;&gt;"",YEAR(E98)=YEAR(Parametros!$B$3),MONTH(E98)&gt;=10),1,0)</f>
        <v>1</v>
      </c>
      <c r="P98" s="13" t="n">
        <f aca="false">IF(AND(E98&lt;Parametros!$B$3,K98&lt;&gt;"Finalizado"),1,0)</f>
        <v>0</v>
      </c>
      <c r="Q98" s="13" t="n">
        <f aca="false">IF(AND(E98&gt;=Parametros!$B$3,E98&lt;=Parametros!$B$3+30,K98&lt;&gt;"Finalizado"),1,0)</f>
        <v>0</v>
      </c>
    </row>
    <row r="99" customFormat="false" ht="15" hidden="false" customHeight="false" outlineLevel="0" collapsed="false">
      <c r="A99" s="7" t="s">
        <v>168</v>
      </c>
      <c r="B99" s="7" t="s">
        <v>169</v>
      </c>
      <c r="C99" s="7" t="s">
        <v>196</v>
      </c>
      <c r="D99" s="9" t="n">
        <v>46307</v>
      </c>
      <c r="E99" s="9" t="n">
        <v>46387</v>
      </c>
      <c r="F99" s="10" t="n">
        <v>0</v>
      </c>
      <c r="G99" s="11" t="n">
        <f aca="false">IF(OR(D99="",E99="",E99&lt;=D99),"",MIN(100,MAX(0,(Parametros!$B$3-D99)/(E99-D99)*100)))</f>
        <v>0</v>
      </c>
      <c r="H99" s="12" t="n">
        <f aca="false">IF(G99="","",G99-F99)</f>
        <v>0</v>
      </c>
      <c r="I99" s="13" t="str">
        <f aca="false">IF(K99="Finalizado","Verde",IF(G99="","Amarillo",IF(H99&lt;=Parametros!$B$4,"Verde",IF(H99&lt;=Parametros!$B$5,"Amarillo","Rojo"))))</f>
        <v>Verde</v>
      </c>
      <c r="J99" s="14" t="str">
        <f aca="false">IF(K99="Finalizado","Completado",IF(G99="","Sin fecha válida - revisar plazos",IF(H99&lt;=Parametros!$B$4,"En tiempo, según lo planificado",IF(H99&lt;=Parametros!$B$5,"Atraso leve - seguimiento cercano ("&amp;TEXT(H99,"0.0")&amp;" p.p.)","Atraso crítico - requiere intervención ("&amp;TEXT(H99,"0.0")&amp;" p.p.)"))))</f>
        <v>En tiempo, según lo planificado</v>
      </c>
      <c r="K99" s="7" t="s">
        <v>100</v>
      </c>
      <c r="L99" s="7"/>
      <c r="M99" s="7" t="s">
        <v>81</v>
      </c>
      <c r="N99" s="7" t="s">
        <v>51</v>
      </c>
      <c r="O99" s="13" t="n">
        <f aca="false">IF(AND(E99&lt;&gt;"",YEAR(E99)=YEAR(Parametros!$B$3),MONTH(E99)&gt;=10),1,0)</f>
        <v>1</v>
      </c>
      <c r="P99" s="13" t="n">
        <f aca="false">IF(AND(E99&lt;Parametros!$B$3,K99&lt;&gt;"Finalizado"),1,0)</f>
        <v>0</v>
      </c>
      <c r="Q99" s="13" t="n">
        <f aca="false">IF(AND(E99&gt;=Parametros!$B$3,E99&lt;=Parametros!$B$3+30,K99&lt;&gt;"Finalizado"),1,0)</f>
        <v>0</v>
      </c>
    </row>
    <row r="100" customFormat="false" ht="15" hidden="false" customHeight="false" outlineLevel="0" collapsed="false">
      <c r="A100" s="7" t="s">
        <v>168</v>
      </c>
      <c r="B100" s="7" t="s">
        <v>169</v>
      </c>
      <c r="C100" s="7" t="s">
        <v>197</v>
      </c>
      <c r="D100" s="9" t="n">
        <v>46321</v>
      </c>
      <c r="E100" s="9" t="n">
        <v>46387</v>
      </c>
      <c r="F100" s="10" t="n">
        <v>0</v>
      </c>
      <c r="G100" s="11" t="n">
        <f aca="false">IF(OR(D100="",E100="",E100&lt;=D100),"",MIN(100,MAX(0,(Parametros!$B$3-D100)/(E100-D100)*100)))</f>
        <v>0</v>
      </c>
      <c r="H100" s="12" t="n">
        <f aca="false">IF(G100="","",G100-F100)</f>
        <v>0</v>
      </c>
      <c r="I100" s="13" t="str">
        <f aca="false">IF(K100="Finalizado","Verde",IF(G100="","Amarillo",IF(H100&lt;=Parametros!$B$4,"Verde",IF(H100&lt;=Parametros!$B$5,"Amarillo","Rojo"))))</f>
        <v>Verde</v>
      </c>
      <c r="J100" s="14" t="str">
        <f aca="false">IF(K100="Finalizado","Completado",IF(G100="","Sin fecha válida - revisar plazos",IF(H100&lt;=Parametros!$B$4,"En tiempo, según lo planificado",IF(H100&lt;=Parametros!$B$5,"Atraso leve - seguimiento cercano ("&amp;TEXT(H100,"0.0")&amp;" p.p.)","Atraso crítico - requiere intervención ("&amp;TEXT(H100,"0.0")&amp;" p.p.)"))))</f>
        <v>En tiempo, según lo planificado</v>
      </c>
      <c r="K100" s="7" t="s">
        <v>100</v>
      </c>
      <c r="L100" s="7"/>
      <c r="M100" s="7" t="s">
        <v>81</v>
      </c>
      <c r="N100" s="7" t="s">
        <v>51</v>
      </c>
      <c r="O100" s="13" t="n">
        <f aca="false">IF(AND(E100&lt;&gt;"",YEAR(E100)=YEAR(Parametros!$B$3),MONTH(E100)&gt;=10),1,0)</f>
        <v>1</v>
      </c>
      <c r="P100" s="13" t="n">
        <f aca="false">IF(AND(E100&lt;Parametros!$B$3,K100&lt;&gt;"Finalizado"),1,0)</f>
        <v>0</v>
      </c>
      <c r="Q100" s="13" t="n">
        <f aca="false">IF(AND(E100&gt;=Parametros!$B$3,E100&lt;=Parametros!$B$3+30,K100&lt;&gt;"Finalizado"),1,0)</f>
        <v>0</v>
      </c>
    </row>
    <row r="101" customFormat="false" ht="15" hidden="false" customHeight="false" outlineLevel="0" collapsed="false">
      <c r="A101" s="7" t="s">
        <v>168</v>
      </c>
      <c r="B101" s="7" t="s">
        <v>169</v>
      </c>
      <c r="C101" s="7" t="s">
        <v>198</v>
      </c>
      <c r="D101" s="9" t="n">
        <v>46335</v>
      </c>
      <c r="E101" s="9" t="n">
        <v>46387</v>
      </c>
      <c r="F101" s="10" t="n">
        <v>0</v>
      </c>
      <c r="G101" s="11" t="n">
        <f aca="false">IF(OR(D101="",E101="",E101&lt;=D101),"",MIN(100,MAX(0,(Parametros!$B$3-D101)/(E101-D101)*100)))</f>
        <v>0</v>
      </c>
      <c r="H101" s="12" t="n">
        <f aca="false">IF(G101="","",G101-F101)</f>
        <v>0</v>
      </c>
      <c r="I101" s="13" t="str">
        <f aca="false">IF(K101="Finalizado","Verde",IF(G101="","Amarillo",IF(H101&lt;=Parametros!$B$4,"Verde",IF(H101&lt;=Parametros!$B$5,"Amarillo","Rojo"))))</f>
        <v>Verde</v>
      </c>
      <c r="J101" s="14" t="str">
        <f aca="false">IF(K101="Finalizado","Completado",IF(G101="","Sin fecha válida - revisar plazos",IF(H101&lt;=Parametros!$B$4,"En tiempo, según lo planificado",IF(H101&lt;=Parametros!$B$5,"Atraso leve - seguimiento cercano ("&amp;TEXT(H101,"0.0")&amp;" p.p.)","Atraso crítico - requiere intervención ("&amp;TEXT(H101,"0.0")&amp;" p.p.)"))))</f>
        <v>En tiempo, según lo planificado</v>
      </c>
      <c r="K101" s="7" t="s">
        <v>100</v>
      </c>
      <c r="L101" s="7"/>
      <c r="M101" s="7" t="s">
        <v>81</v>
      </c>
      <c r="N101" s="7" t="s">
        <v>51</v>
      </c>
      <c r="O101" s="13" t="n">
        <f aca="false">IF(AND(E101&lt;&gt;"",YEAR(E101)=YEAR(Parametros!$B$3),MONTH(E101)&gt;=10),1,0)</f>
        <v>1</v>
      </c>
      <c r="P101" s="13" t="n">
        <f aca="false">IF(AND(E101&lt;Parametros!$B$3,K101&lt;&gt;"Finalizado"),1,0)</f>
        <v>0</v>
      </c>
      <c r="Q101" s="13" t="n">
        <f aca="false">IF(AND(E101&gt;=Parametros!$B$3,E101&lt;=Parametros!$B$3+30,K101&lt;&gt;"Finalizado"),1,0)</f>
        <v>0</v>
      </c>
    </row>
    <row r="102" customFormat="false" ht="15" hidden="false" customHeight="false" outlineLevel="0" collapsed="false">
      <c r="A102" s="7" t="s">
        <v>168</v>
      </c>
      <c r="B102" s="7" t="s">
        <v>169</v>
      </c>
      <c r="C102" s="7" t="s">
        <v>199</v>
      </c>
      <c r="D102" s="9" t="n">
        <v>46342</v>
      </c>
      <c r="E102" s="9" t="n">
        <v>46387</v>
      </c>
      <c r="F102" s="10" t="n">
        <v>0</v>
      </c>
      <c r="G102" s="11" t="n">
        <f aca="false">IF(OR(D102="",E102="",E102&lt;=D102),"",MIN(100,MAX(0,(Parametros!$B$3-D102)/(E102-D102)*100)))</f>
        <v>0</v>
      </c>
      <c r="H102" s="12" t="n">
        <f aca="false">IF(G102="","",G102-F102)</f>
        <v>0</v>
      </c>
      <c r="I102" s="13" t="str">
        <f aca="false">IF(K102="Finalizado","Verde",IF(G102="","Amarillo",IF(H102&lt;=Parametros!$B$4,"Verde",IF(H102&lt;=Parametros!$B$5,"Amarillo","Rojo"))))</f>
        <v>Verde</v>
      </c>
      <c r="J102" s="14" t="str">
        <f aca="false">IF(K102="Finalizado","Completado",IF(G102="","Sin fecha válida - revisar plazos",IF(H102&lt;=Parametros!$B$4,"En tiempo, según lo planificado",IF(H102&lt;=Parametros!$B$5,"Atraso leve - seguimiento cercano ("&amp;TEXT(H102,"0.0")&amp;" p.p.)","Atraso crítico - requiere intervención ("&amp;TEXT(H102,"0.0")&amp;" p.p.)"))))</f>
        <v>En tiempo, según lo planificado</v>
      </c>
      <c r="K102" s="7" t="s">
        <v>100</v>
      </c>
      <c r="L102" s="7"/>
      <c r="M102" s="7" t="s">
        <v>81</v>
      </c>
      <c r="N102" s="7" t="s">
        <v>51</v>
      </c>
      <c r="O102" s="13" t="n">
        <f aca="false">IF(AND(E102&lt;&gt;"",YEAR(E102)=YEAR(Parametros!$B$3),MONTH(E102)&gt;=10),1,0)</f>
        <v>1</v>
      </c>
      <c r="P102" s="13" t="n">
        <f aca="false">IF(AND(E102&lt;Parametros!$B$3,K102&lt;&gt;"Finalizado"),1,0)</f>
        <v>0</v>
      </c>
      <c r="Q102" s="13" t="n">
        <f aca="false">IF(AND(E102&gt;=Parametros!$B$3,E102&lt;=Parametros!$B$3+30,K102&lt;&gt;"Finalizado"),1,0)</f>
        <v>0</v>
      </c>
    </row>
    <row r="103" customFormat="false" ht="15" hidden="false" customHeight="false" outlineLevel="0" collapsed="false">
      <c r="A103" s="7" t="s">
        <v>168</v>
      </c>
      <c r="B103" s="7" t="s">
        <v>169</v>
      </c>
      <c r="C103" s="7" t="s">
        <v>200</v>
      </c>
      <c r="D103" s="9" t="n">
        <v>46356</v>
      </c>
      <c r="E103" s="9" t="n">
        <v>46387</v>
      </c>
      <c r="F103" s="10" t="n">
        <v>0</v>
      </c>
      <c r="G103" s="11" t="n">
        <f aca="false">IF(OR(D103="",E103="",E103&lt;=D103),"",MIN(100,MAX(0,(Parametros!$B$3-D103)/(E103-D103)*100)))</f>
        <v>0</v>
      </c>
      <c r="H103" s="12" t="n">
        <f aca="false">IF(G103="","",G103-F103)</f>
        <v>0</v>
      </c>
      <c r="I103" s="13" t="str">
        <f aca="false">IF(K103="Finalizado","Verde",IF(G103="","Amarillo",IF(H103&lt;=Parametros!$B$4,"Verde",IF(H103&lt;=Parametros!$B$5,"Amarillo","Rojo"))))</f>
        <v>Verde</v>
      </c>
      <c r="J103" s="14" t="str">
        <f aca="false">IF(K103="Finalizado","Completado",IF(G103="","Sin fecha válida - revisar plazos",IF(H103&lt;=Parametros!$B$4,"En tiempo, según lo planificado",IF(H103&lt;=Parametros!$B$5,"Atraso leve - seguimiento cercano ("&amp;TEXT(H103,"0.0")&amp;" p.p.)","Atraso crítico - requiere intervención ("&amp;TEXT(H103,"0.0")&amp;" p.p.)"))))</f>
        <v>En tiempo, según lo planificado</v>
      </c>
      <c r="K103" s="7" t="s">
        <v>100</v>
      </c>
      <c r="L103" s="7"/>
      <c r="M103" s="7" t="s">
        <v>81</v>
      </c>
      <c r="N103" s="7" t="s">
        <v>51</v>
      </c>
      <c r="O103" s="13" t="n">
        <f aca="false">IF(AND(E103&lt;&gt;"",YEAR(E103)=YEAR(Parametros!$B$3),MONTH(E103)&gt;=10),1,0)</f>
        <v>1</v>
      </c>
      <c r="P103" s="13" t="n">
        <f aca="false">IF(AND(E103&lt;Parametros!$B$3,K103&lt;&gt;"Finalizado"),1,0)</f>
        <v>0</v>
      </c>
      <c r="Q103" s="13" t="n">
        <f aca="false">IF(AND(E103&gt;=Parametros!$B$3,E103&lt;=Parametros!$B$3+30,K103&lt;&gt;"Finalizado"),1,0)</f>
        <v>0</v>
      </c>
    </row>
    <row r="104" customFormat="false" ht="15" hidden="false" customHeight="false" outlineLevel="0" collapsed="false">
      <c r="A104" s="7" t="s">
        <v>201</v>
      </c>
      <c r="B104" s="7" t="s">
        <v>202</v>
      </c>
      <c r="C104" s="7" t="s">
        <v>203</v>
      </c>
      <c r="D104" s="9" t="n">
        <v>46082</v>
      </c>
      <c r="E104" s="9" t="n">
        <v>46387</v>
      </c>
      <c r="F104" s="10" t="n">
        <v>40</v>
      </c>
      <c r="G104" s="11" t="n">
        <f aca="false">IF(OR(D104="",E104="",E104&lt;=D104),"",MIN(100,MAX(0,(Parametros!$B$3-D104)/(E104-D104)*100)))</f>
        <v>57.7049180327869</v>
      </c>
      <c r="H104" s="12" t="n">
        <f aca="false">IF(G104="","",G104-F104)</f>
        <v>17.7049180327869</v>
      </c>
      <c r="I104" s="13" t="str">
        <f aca="false">IF(K104="Finalizado","Verde",IF(G104="","Amarillo",IF(H104&lt;=Parametros!$B$4,"Verde",IF(H104&lt;=Parametros!$B$5,"Amarillo","Rojo"))))</f>
        <v>Amarillo</v>
      </c>
      <c r="J104" s="14" t="str">
        <f aca="false">IF(K104="Finalizado","Completado",IF(G104="","Sin fecha válida - revisar plazos",IF(H104&lt;=Parametros!$B$4,"En tiempo, según lo planificado",IF(H104&lt;=Parametros!$B$5,"Atraso leve - seguimiento cercano ("&amp;TEXT(H104,"0.0")&amp;" p.p.)","Atraso crítico - requiere intervención ("&amp;TEXT(H104,"0.0")&amp;" p.p.)"))))</f>
        <v>Atraso leve - seguimiento cercano (17.7 p.p.)</v>
      </c>
      <c r="K104" s="7" t="s">
        <v>27</v>
      </c>
      <c r="L104" s="7" t="s">
        <v>151</v>
      </c>
      <c r="M104" s="7" t="s">
        <v>81</v>
      </c>
      <c r="N104" s="7" t="s">
        <v>51</v>
      </c>
      <c r="O104" s="13" t="n">
        <f aca="false">IF(AND(E104&lt;&gt;"",YEAR(E104)=YEAR(Parametros!$B$3),MONTH(E104)&gt;=10),1,0)</f>
        <v>1</v>
      </c>
      <c r="P104" s="13" t="n">
        <f aca="false">IF(AND(E104&lt;Parametros!$B$3,K104&lt;&gt;"Finalizado"),1,0)</f>
        <v>0</v>
      </c>
      <c r="Q104" s="13" t="n">
        <f aca="false">IF(AND(E104&gt;=Parametros!$B$3,E104&lt;=Parametros!$B$3+30,K104&lt;&gt;"Finalizado"),1,0)</f>
        <v>0</v>
      </c>
    </row>
    <row r="105" customFormat="false" ht="15" hidden="false" customHeight="false" outlineLevel="0" collapsed="false">
      <c r="A105" s="7" t="s">
        <v>204</v>
      </c>
      <c r="B105" s="7" t="s">
        <v>205</v>
      </c>
      <c r="C105" s="7" t="s">
        <v>206</v>
      </c>
      <c r="D105" s="9" t="n">
        <v>46174</v>
      </c>
      <c r="E105" s="9" t="n">
        <v>46234</v>
      </c>
      <c r="F105" s="10" t="n">
        <v>100</v>
      </c>
      <c r="G105" s="11" t="n">
        <f aca="false">IF(OR(D105="",E105="",E105&lt;=D105),"",MIN(100,MAX(0,(Parametros!$B$3-D105)/(E105-D105)*100)))</f>
        <v>100</v>
      </c>
      <c r="H105" s="12" t="n">
        <f aca="false">IF(G105="","",G105-F105)</f>
        <v>0</v>
      </c>
      <c r="I105" s="13" t="str">
        <f aca="false">IF(K105="Finalizado","Verde",IF(G105="","Amarillo",IF(H105&lt;=Parametros!$B$4,"Verde",IF(H105&lt;=Parametros!$B$5,"Amarillo","Rojo"))))</f>
        <v>Verde</v>
      </c>
      <c r="J105" s="14" t="str">
        <f aca="false">IF(K105="Finalizado","Completado",IF(G105="","Sin fecha válida - revisar plazos",IF(H105&lt;=Parametros!$B$4,"En tiempo, según lo planificado",IF(H105&lt;=Parametros!$B$5,"Atraso leve - seguimiento cercano ("&amp;TEXT(H105,"0.0")&amp;" p.p.)","Atraso crítico - requiere intervención ("&amp;TEXT(H105,"0.0")&amp;" p.p.)"))))</f>
        <v>Completado</v>
      </c>
      <c r="K105" s="7" t="s">
        <v>38</v>
      </c>
      <c r="L105" s="7"/>
      <c r="M105" s="7" t="s">
        <v>81</v>
      </c>
      <c r="N105" s="7" t="s">
        <v>51</v>
      </c>
      <c r="O105" s="13" t="n">
        <f aca="false">IF(AND(E105&lt;&gt;"",YEAR(E105)=YEAR(Parametros!$B$3),MONTH(E105)&gt;=10),1,0)</f>
        <v>0</v>
      </c>
      <c r="P105" s="13" t="n">
        <f aca="false">IF(AND(E105&lt;Parametros!$B$3,K105&lt;&gt;"Finalizado"),1,0)</f>
        <v>0</v>
      </c>
      <c r="Q105" s="13" t="n">
        <f aca="false">IF(AND(E105&gt;=Parametros!$B$3,E105&lt;=Parametros!$B$3+30,K105&lt;&gt;"Finalizado"),1,0)</f>
        <v>0</v>
      </c>
    </row>
    <row r="106" customFormat="false" ht="15" hidden="false" customHeight="false" outlineLevel="0" collapsed="false">
      <c r="A106" s="7" t="s">
        <v>204</v>
      </c>
      <c r="B106" s="7" t="s">
        <v>205</v>
      </c>
      <c r="C106" s="7" t="s">
        <v>207</v>
      </c>
      <c r="D106" s="9" t="n">
        <v>46143</v>
      </c>
      <c r="E106" s="9" t="n">
        <v>46223</v>
      </c>
      <c r="F106" s="10" t="n">
        <v>100</v>
      </c>
      <c r="G106" s="11" t="n">
        <f aca="false">IF(OR(D106="",E106="",E106&lt;=D106),"",MIN(100,MAX(0,(Parametros!$B$3-D106)/(E106-D106)*100)))</f>
        <v>100</v>
      </c>
      <c r="H106" s="12" t="n">
        <f aca="false">IF(G106="","",G106-F106)</f>
        <v>0</v>
      </c>
      <c r="I106" s="13" t="str">
        <f aca="false">IF(K106="Finalizado","Verde",IF(G106="","Amarillo",IF(H106&lt;=Parametros!$B$4,"Verde",IF(H106&lt;=Parametros!$B$5,"Amarillo","Rojo"))))</f>
        <v>Verde</v>
      </c>
      <c r="J106" s="14" t="str">
        <f aca="false">IF(K106="Finalizado","Completado",IF(G106="","Sin fecha válida - revisar plazos",IF(H106&lt;=Parametros!$B$4,"En tiempo, según lo planificado",IF(H106&lt;=Parametros!$B$5,"Atraso leve - seguimiento cercano ("&amp;TEXT(H106,"0.0")&amp;" p.p.)","Atraso crítico - requiere intervención ("&amp;TEXT(H106,"0.0")&amp;" p.p.)"))))</f>
        <v>Completado</v>
      </c>
      <c r="K106" s="7" t="s">
        <v>38</v>
      </c>
      <c r="L106" s="7" t="s">
        <v>208</v>
      </c>
      <c r="M106" s="7" t="s">
        <v>81</v>
      </c>
      <c r="N106" s="7" t="s">
        <v>51</v>
      </c>
      <c r="O106" s="13" t="n">
        <f aca="false">IF(AND(E106&lt;&gt;"",YEAR(E106)=YEAR(Parametros!$B$3),MONTH(E106)&gt;=10),1,0)</f>
        <v>0</v>
      </c>
      <c r="P106" s="13" t="n">
        <f aca="false">IF(AND(E106&lt;Parametros!$B$3,K106&lt;&gt;"Finalizado"),1,0)</f>
        <v>0</v>
      </c>
      <c r="Q106" s="13" t="n">
        <f aca="false">IF(AND(E106&gt;=Parametros!$B$3,E106&lt;=Parametros!$B$3+30,K106&lt;&gt;"Finalizado"),1,0)</f>
        <v>0</v>
      </c>
    </row>
    <row r="107" customFormat="false" ht="15" hidden="false" customHeight="false" outlineLevel="0" collapsed="false">
      <c r="A107" s="7" t="s">
        <v>204</v>
      </c>
      <c r="B107" s="7" t="s">
        <v>205</v>
      </c>
      <c r="C107" s="7" t="s">
        <v>209</v>
      </c>
      <c r="D107" s="9" t="n">
        <v>46357</v>
      </c>
      <c r="E107" s="9" t="n">
        <v>46387</v>
      </c>
      <c r="F107" s="10" t="n">
        <v>0</v>
      </c>
      <c r="G107" s="11" t="n">
        <f aca="false">IF(OR(D107="",E107="",E107&lt;=D107),"",MIN(100,MAX(0,(Parametros!$B$3-D107)/(E107-D107)*100)))</f>
        <v>0</v>
      </c>
      <c r="H107" s="12" t="n">
        <f aca="false">IF(G107="","",G107-F107)</f>
        <v>0</v>
      </c>
      <c r="I107" s="13" t="str">
        <f aca="false">IF(K107="Finalizado","Verde",IF(G107="","Amarillo",IF(H107&lt;=Parametros!$B$4,"Verde",IF(H107&lt;=Parametros!$B$5,"Amarillo","Rojo"))))</f>
        <v>Verde</v>
      </c>
      <c r="J107" s="14" t="str">
        <f aca="false">IF(K107="Finalizado","Completado",IF(G107="","Sin fecha válida - revisar plazos",IF(H107&lt;=Parametros!$B$4,"En tiempo, según lo planificado",IF(H107&lt;=Parametros!$B$5,"Atraso leve - seguimiento cercano ("&amp;TEXT(H107,"0.0")&amp;" p.p.)","Atraso crítico - requiere intervención ("&amp;TEXT(H107,"0.0")&amp;" p.p.)"))))</f>
        <v>En tiempo, según lo planificado</v>
      </c>
      <c r="K107" s="7" t="s">
        <v>100</v>
      </c>
      <c r="L107" s="7"/>
      <c r="M107" s="7" t="s">
        <v>81</v>
      </c>
      <c r="N107" s="7" t="s">
        <v>51</v>
      </c>
      <c r="O107" s="13" t="n">
        <f aca="false">IF(AND(E107&lt;&gt;"",YEAR(E107)=YEAR(Parametros!$B$3),MONTH(E107)&gt;=10),1,0)</f>
        <v>1</v>
      </c>
      <c r="P107" s="13" t="n">
        <f aca="false">IF(AND(E107&lt;Parametros!$B$3,K107&lt;&gt;"Finalizado"),1,0)</f>
        <v>0</v>
      </c>
      <c r="Q107" s="13" t="n">
        <f aca="false">IF(AND(E107&gt;=Parametros!$B$3,E107&lt;=Parametros!$B$3+30,K107&lt;&gt;"Finalizado"),1,0)</f>
        <v>0</v>
      </c>
    </row>
    <row r="108" customFormat="false" ht="15" hidden="false" customHeight="false" outlineLevel="0" collapsed="false">
      <c r="A108" s="7" t="s">
        <v>204</v>
      </c>
      <c r="B108" s="7" t="s">
        <v>205</v>
      </c>
      <c r="C108" s="7" t="s">
        <v>210</v>
      </c>
      <c r="D108" s="9" t="n">
        <v>46266</v>
      </c>
      <c r="E108" s="9" t="n">
        <v>46326</v>
      </c>
      <c r="F108" s="10" t="n">
        <v>0</v>
      </c>
      <c r="G108" s="11" t="n">
        <f aca="false">IF(OR(D108="",E108="",E108&lt;=D108),"",MIN(100,MAX(0,(Parametros!$B$3-D108)/(E108-D108)*100)))</f>
        <v>0</v>
      </c>
      <c r="H108" s="12" t="n">
        <f aca="false">IF(G108="","",G108-F108)</f>
        <v>0</v>
      </c>
      <c r="I108" s="13" t="str">
        <f aca="false">IF(K108="Finalizado","Verde",IF(G108="","Amarillo",IF(H108&lt;=Parametros!$B$4,"Verde",IF(H108&lt;=Parametros!$B$5,"Amarillo","Rojo"))))</f>
        <v>Verde</v>
      </c>
      <c r="J108" s="14" t="str">
        <f aca="false">IF(K108="Finalizado","Completado",IF(G108="","Sin fecha válida - revisar plazos",IF(H108&lt;=Parametros!$B$4,"En tiempo, según lo planificado",IF(H108&lt;=Parametros!$B$5,"Atraso leve - seguimiento cercano ("&amp;TEXT(H108,"0.0")&amp;" p.p.)","Atraso crítico - requiere intervención ("&amp;TEXT(H108,"0.0")&amp;" p.p.)"))))</f>
        <v>En tiempo, según lo planificado</v>
      </c>
      <c r="K108" s="7" t="s">
        <v>100</v>
      </c>
      <c r="L108" s="7"/>
      <c r="M108" s="7" t="s">
        <v>81</v>
      </c>
      <c r="N108" s="7" t="s">
        <v>51</v>
      </c>
      <c r="O108" s="13" t="n">
        <f aca="false">IF(AND(E108&lt;&gt;"",YEAR(E108)=YEAR(Parametros!$B$3),MONTH(E108)&gt;=10),1,0)</f>
        <v>1</v>
      </c>
      <c r="P108" s="13" t="n">
        <f aca="false">IF(AND(E108&lt;Parametros!$B$3,K108&lt;&gt;"Finalizado"),1,0)</f>
        <v>0</v>
      </c>
      <c r="Q108" s="13" t="n">
        <f aca="false">IF(AND(E108&gt;=Parametros!$B$3,E108&lt;=Parametros!$B$3+30,K108&lt;&gt;"Finalizado"),1,0)</f>
        <v>0</v>
      </c>
    </row>
    <row r="109" customFormat="false" ht="15" hidden="false" customHeight="false" outlineLevel="0" collapsed="false">
      <c r="A109" s="7" t="s">
        <v>204</v>
      </c>
      <c r="B109" s="7" t="s">
        <v>205</v>
      </c>
      <c r="C109" s="7" t="s">
        <v>211</v>
      </c>
      <c r="D109" s="9" t="n">
        <v>46296</v>
      </c>
      <c r="E109" s="9" t="n">
        <v>46356</v>
      </c>
      <c r="F109" s="10" t="n">
        <v>0</v>
      </c>
      <c r="G109" s="11" t="n">
        <f aca="false">IF(OR(D109="",E109="",E109&lt;=D109),"",MIN(100,MAX(0,(Parametros!$B$3-D109)/(E109-D109)*100)))</f>
        <v>0</v>
      </c>
      <c r="H109" s="12" t="n">
        <f aca="false">IF(G109="","",G109-F109)</f>
        <v>0</v>
      </c>
      <c r="I109" s="13" t="str">
        <f aca="false">IF(K109="Finalizado","Verde",IF(G109="","Amarillo",IF(H109&lt;=Parametros!$B$4,"Verde",IF(H109&lt;=Parametros!$B$5,"Amarillo","Rojo"))))</f>
        <v>Verde</v>
      </c>
      <c r="J109" s="14" t="str">
        <f aca="false">IF(K109="Finalizado","Completado",IF(G109="","Sin fecha válida - revisar plazos",IF(H109&lt;=Parametros!$B$4,"En tiempo, según lo planificado",IF(H109&lt;=Parametros!$B$5,"Atraso leve - seguimiento cercano ("&amp;TEXT(H109,"0.0")&amp;" p.p.)","Atraso crítico - requiere intervención ("&amp;TEXT(H109,"0.0")&amp;" p.p.)"))))</f>
        <v>En tiempo, según lo planificado</v>
      </c>
      <c r="K109" s="7" t="s">
        <v>100</v>
      </c>
      <c r="L109" s="7"/>
      <c r="M109" s="7" t="s">
        <v>81</v>
      </c>
      <c r="N109" s="7" t="s">
        <v>51</v>
      </c>
      <c r="O109" s="13" t="n">
        <f aca="false">IF(AND(E109&lt;&gt;"",YEAR(E109)=YEAR(Parametros!$B$3),MONTH(E109)&gt;=10),1,0)</f>
        <v>1</v>
      </c>
      <c r="P109" s="13" t="n">
        <f aca="false">IF(AND(E109&lt;Parametros!$B$3,K109&lt;&gt;"Finalizado"),1,0)</f>
        <v>0</v>
      </c>
      <c r="Q109" s="13" t="n">
        <f aca="false">IF(AND(E109&gt;=Parametros!$B$3,E109&lt;=Parametros!$B$3+30,K109&lt;&gt;"Finalizado"),1,0)</f>
        <v>0</v>
      </c>
    </row>
    <row r="110" customFormat="false" ht="15" hidden="false" customHeight="false" outlineLevel="0" collapsed="false">
      <c r="A110" s="7" t="s">
        <v>204</v>
      </c>
      <c r="B110" s="7" t="s">
        <v>205</v>
      </c>
      <c r="C110" s="7" t="s">
        <v>212</v>
      </c>
      <c r="D110" s="9" t="n">
        <v>46235</v>
      </c>
      <c r="E110" s="9" t="n">
        <v>46295</v>
      </c>
      <c r="F110" s="10" t="n">
        <v>0</v>
      </c>
      <c r="G110" s="11" t="n">
        <f aca="false">IF(OR(D110="",E110="",E110&lt;=D110),"",MIN(100,MAX(0,(Parametros!$B$3-D110)/(E110-D110)*100)))</f>
        <v>38.3333333333333</v>
      </c>
      <c r="H110" s="12" t="n">
        <f aca="false">IF(G110="","",G110-F110)</f>
        <v>38.3333333333333</v>
      </c>
      <c r="I110" s="13" t="str">
        <f aca="false">IF(K110="Finalizado","Verde",IF(G110="","Amarillo",IF(H110&lt;=Parametros!$B$4,"Verde",IF(H110&lt;=Parametros!$B$5,"Amarillo","Rojo"))))</f>
        <v>Rojo</v>
      </c>
      <c r="J110" s="14" t="str">
        <f aca="false">IF(K110="Finalizado","Completado",IF(G110="","Sin fecha válida - revisar plazos",IF(H110&lt;=Parametros!$B$4,"En tiempo, según lo planificado",IF(H110&lt;=Parametros!$B$5,"Atraso leve - seguimiento cercano ("&amp;TEXT(H110,"0.0")&amp;" p.p.)","Atraso crítico - requiere intervención ("&amp;TEXT(H110,"0.0")&amp;" p.p.)"))))</f>
        <v>Atraso crítico - requiere intervención (38.3 p.p.)</v>
      </c>
      <c r="K110" s="7" t="s">
        <v>100</v>
      </c>
      <c r="L110" s="7"/>
      <c r="M110" s="7" t="s">
        <v>81</v>
      </c>
      <c r="N110" s="7" t="s">
        <v>51</v>
      </c>
      <c r="O110" s="13" t="n">
        <f aca="false">IF(AND(E110&lt;&gt;"",YEAR(E110)=YEAR(Parametros!$B$3),MONTH(E110)&gt;=10),1,0)</f>
        <v>0</v>
      </c>
      <c r="P110" s="13" t="n">
        <f aca="false">IF(AND(E110&lt;Parametros!$B$3,K110&lt;&gt;"Finalizado"),1,0)</f>
        <v>0</v>
      </c>
      <c r="Q110" s="13" t="n">
        <f aca="false">IF(AND(E110&gt;=Parametros!$B$3,E110&lt;=Parametros!$B$3+30,K110&lt;&gt;"Finalizado"),1,0)</f>
        <v>0</v>
      </c>
    </row>
    <row r="111" customFormat="false" ht="15" hidden="false" customHeight="false" outlineLevel="0" collapsed="false">
      <c r="A111" s="7" t="s">
        <v>204</v>
      </c>
      <c r="B111" s="7" t="s">
        <v>205</v>
      </c>
      <c r="C111" s="7" t="s">
        <v>213</v>
      </c>
      <c r="D111" s="9" t="n">
        <v>46266</v>
      </c>
      <c r="E111" s="9" t="n">
        <v>46326</v>
      </c>
      <c r="F111" s="10" t="n">
        <v>0</v>
      </c>
      <c r="G111" s="11" t="n">
        <f aca="false">IF(OR(D111="",E111="",E111&lt;=D111),"",MIN(100,MAX(0,(Parametros!$B$3-D111)/(E111-D111)*100)))</f>
        <v>0</v>
      </c>
      <c r="H111" s="12" t="n">
        <f aca="false">IF(G111="","",G111-F111)</f>
        <v>0</v>
      </c>
      <c r="I111" s="13" t="str">
        <f aca="false">IF(K111="Finalizado","Verde",IF(G111="","Amarillo",IF(H111&lt;=Parametros!$B$4,"Verde",IF(H111&lt;=Parametros!$B$5,"Amarillo","Rojo"))))</f>
        <v>Verde</v>
      </c>
      <c r="J111" s="14" t="str">
        <f aca="false">IF(K111="Finalizado","Completado",IF(G111="","Sin fecha válida - revisar plazos",IF(H111&lt;=Parametros!$B$4,"En tiempo, según lo planificado",IF(H111&lt;=Parametros!$B$5,"Atraso leve - seguimiento cercano ("&amp;TEXT(H111,"0.0")&amp;" p.p.)","Atraso crítico - requiere intervención ("&amp;TEXT(H111,"0.0")&amp;" p.p.)"))))</f>
        <v>En tiempo, según lo planificado</v>
      </c>
      <c r="K111" s="7" t="s">
        <v>100</v>
      </c>
      <c r="L111" s="7"/>
      <c r="M111" s="7" t="s">
        <v>81</v>
      </c>
      <c r="N111" s="7" t="s">
        <v>51</v>
      </c>
      <c r="O111" s="13" t="n">
        <f aca="false">IF(AND(E111&lt;&gt;"",YEAR(E111)=YEAR(Parametros!$B$3),MONTH(E111)&gt;=10),1,0)</f>
        <v>1</v>
      </c>
      <c r="P111" s="13" t="n">
        <f aca="false">IF(AND(E111&lt;Parametros!$B$3,K111&lt;&gt;"Finalizado"),1,0)</f>
        <v>0</v>
      </c>
      <c r="Q111" s="13" t="n">
        <f aca="false">IF(AND(E111&gt;=Parametros!$B$3,E111&lt;=Parametros!$B$3+30,K111&lt;&gt;"Finalizado"),1,0)</f>
        <v>0</v>
      </c>
    </row>
    <row r="112" customFormat="false" ht="15" hidden="false" customHeight="false" outlineLevel="0" collapsed="false">
      <c r="A112" s="7" t="s">
        <v>204</v>
      </c>
      <c r="B112" s="7" t="s">
        <v>205</v>
      </c>
      <c r="C112" s="7" t="s">
        <v>214</v>
      </c>
      <c r="D112" s="9" t="n">
        <v>46224</v>
      </c>
      <c r="E112" s="9" t="n">
        <v>46265</v>
      </c>
      <c r="F112" s="10" t="n">
        <v>80</v>
      </c>
      <c r="G112" s="11" t="n">
        <f aca="false">IF(OR(D112="",E112="",E112&lt;=D112),"",MIN(100,MAX(0,(Parametros!$B$3-D112)/(E112-D112)*100)))</f>
        <v>82.9268292682927</v>
      </c>
      <c r="H112" s="12" t="n">
        <f aca="false">IF(G112="","",G112-F112)</f>
        <v>2.92682926829268</v>
      </c>
      <c r="I112" s="13" t="str">
        <f aca="false">IF(K112="Finalizado","Verde",IF(G112="","Amarillo",IF(H112&lt;=Parametros!$B$4,"Verde",IF(H112&lt;=Parametros!$B$5,"Amarillo","Rojo"))))</f>
        <v>Verde</v>
      </c>
      <c r="J112" s="14" t="str">
        <f aca="false">IF(K112="Finalizado","Completado",IF(G112="","Sin fecha válida - revisar plazos",IF(H112&lt;=Parametros!$B$4,"En tiempo, según lo planificado",IF(H112&lt;=Parametros!$B$5,"Atraso leve - seguimiento cercano ("&amp;TEXT(H112,"0.0")&amp;" p.p.)","Atraso crítico - requiere intervención ("&amp;TEXT(H112,"0.0")&amp;" p.p.)"))))</f>
        <v>En tiempo, según lo planificado</v>
      </c>
      <c r="K112" s="7" t="s">
        <v>73</v>
      </c>
      <c r="L112" s="7"/>
      <c r="M112" s="7" t="s">
        <v>81</v>
      </c>
      <c r="N112" s="7" t="s">
        <v>51</v>
      </c>
      <c r="O112" s="13" t="n">
        <f aca="false">IF(AND(E112&lt;&gt;"",YEAR(E112)=YEAR(Parametros!$B$3),MONTH(E112)&gt;=10),1,0)</f>
        <v>0</v>
      </c>
      <c r="P112" s="13" t="n">
        <f aca="false">IF(AND(E112&lt;Parametros!$B$3,K112&lt;&gt;"Finalizado"),1,0)</f>
        <v>0</v>
      </c>
      <c r="Q112" s="13" t="n">
        <f aca="false">IF(AND(E112&gt;=Parametros!$B$3,E112&lt;=Parametros!$B$3+30,K112&lt;&gt;"Finalizado"),1,0)</f>
        <v>1</v>
      </c>
    </row>
    <row r="113" customFormat="false" ht="15" hidden="false" customHeight="false" outlineLevel="0" collapsed="false">
      <c r="A113" s="7" t="s">
        <v>204</v>
      </c>
      <c r="B113" s="7" t="s">
        <v>205</v>
      </c>
      <c r="C113" s="7" t="s">
        <v>215</v>
      </c>
      <c r="D113" s="9" t="n">
        <v>46266</v>
      </c>
      <c r="E113" s="9" t="n">
        <v>46326</v>
      </c>
      <c r="F113" s="10" t="n">
        <v>0</v>
      </c>
      <c r="G113" s="11" t="n">
        <f aca="false">IF(OR(D113="",E113="",E113&lt;=D113),"",MIN(100,MAX(0,(Parametros!$B$3-D113)/(E113-D113)*100)))</f>
        <v>0</v>
      </c>
      <c r="H113" s="12" t="n">
        <f aca="false">IF(G113="","",G113-F113)</f>
        <v>0</v>
      </c>
      <c r="I113" s="13" t="str">
        <f aca="false">IF(K113="Finalizado","Verde",IF(G113="","Amarillo",IF(H113&lt;=Parametros!$B$4,"Verde",IF(H113&lt;=Parametros!$B$5,"Amarillo","Rojo"))))</f>
        <v>Verde</v>
      </c>
      <c r="J113" s="14" t="str">
        <f aca="false">IF(K113="Finalizado","Completado",IF(G113="","Sin fecha válida - revisar plazos",IF(H113&lt;=Parametros!$B$4,"En tiempo, según lo planificado",IF(H113&lt;=Parametros!$B$5,"Atraso leve - seguimiento cercano ("&amp;TEXT(H113,"0.0")&amp;" p.p.)","Atraso crítico - requiere intervención ("&amp;TEXT(H113,"0.0")&amp;" p.p.)"))))</f>
        <v>En tiempo, según lo planificado</v>
      </c>
      <c r="K113" s="7" t="s">
        <v>100</v>
      </c>
      <c r="L113" s="7"/>
      <c r="M113" s="7" t="s">
        <v>81</v>
      </c>
      <c r="N113" s="7" t="s">
        <v>51</v>
      </c>
      <c r="O113" s="13" t="n">
        <f aca="false">IF(AND(E113&lt;&gt;"",YEAR(E113)=YEAR(Parametros!$B$3),MONTH(E113)&gt;=10),1,0)</f>
        <v>1</v>
      </c>
      <c r="P113" s="13" t="n">
        <f aca="false">IF(AND(E113&lt;Parametros!$B$3,K113&lt;&gt;"Finalizado"),1,0)</f>
        <v>0</v>
      </c>
      <c r="Q113" s="13" t="n">
        <f aca="false">IF(AND(E113&gt;=Parametros!$B$3,E113&lt;=Parametros!$B$3+30,K113&lt;&gt;"Finalizado"),1,0)</f>
        <v>0</v>
      </c>
    </row>
    <row r="114" customFormat="false" ht="15" hidden="false" customHeight="false" outlineLevel="0" collapsed="false">
      <c r="A114" s="7" t="s">
        <v>204</v>
      </c>
      <c r="B114" s="7" t="s">
        <v>205</v>
      </c>
      <c r="C114" s="7" t="s">
        <v>216</v>
      </c>
      <c r="D114" s="9" t="n">
        <v>46327</v>
      </c>
      <c r="E114" s="9" t="n">
        <v>46387</v>
      </c>
      <c r="F114" s="10" t="n">
        <v>0</v>
      </c>
      <c r="G114" s="11" t="n">
        <f aca="false">IF(OR(D114="",E114="",E114&lt;=D114),"",MIN(100,MAX(0,(Parametros!$B$3-D114)/(E114-D114)*100)))</f>
        <v>0</v>
      </c>
      <c r="H114" s="12" t="n">
        <f aca="false">IF(G114="","",G114-F114)</f>
        <v>0</v>
      </c>
      <c r="I114" s="13" t="str">
        <f aca="false">IF(K114="Finalizado","Verde",IF(G114="","Amarillo",IF(H114&lt;=Parametros!$B$4,"Verde",IF(H114&lt;=Parametros!$B$5,"Amarillo","Rojo"))))</f>
        <v>Verde</v>
      </c>
      <c r="J114" s="14" t="str">
        <f aca="false">IF(K114="Finalizado","Completado",IF(G114="","Sin fecha válida - revisar plazos",IF(H114&lt;=Parametros!$B$4,"En tiempo, según lo planificado",IF(H114&lt;=Parametros!$B$5,"Atraso leve - seguimiento cercano ("&amp;TEXT(H114,"0.0")&amp;" p.p.)","Atraso crítico - requiere intervención ("&amp;TEXT(H114,"0.0")&amp;" p.p.)"))))</f>
        <v>En tiempo, según lo planificado</v>
      </c>
      <c r="K114" s="7" t="s">
        <v>100</v>
      </c>
      <c r="L114" s="7"/>
      <c r="M114" s="7" t="s">
        <v>81</v>
      </c>
      <c r="N114" s="7" t="s">
        <v>51</v>
      </c>
      <c r="O114" s="13" t="n">
        <f aca="false">IF(AND(E114&lt;&gt;"",YEAR(E114)=YEAR(Parametros!$B$3),MONTH(E114)&gt;=10),1,0)</f>
        <v>1</v>
      </c>
      <c r="P114" s="13" t="n">
        <f aca="false">IF(AND(E114&lt;Parametros!$B$3,K114&lt;&gt;"Finalizado"),1,0)</f>
        <v>0</v>
      </c>
      <c r="Q114" s="13" t="n">
        <f aca="false">IF(AND(E114&gt;=Parametros!$B$3,E114&lt;=Parametros!$B$3+30,K114&lt;&gt;"Finalizado"),1,0)</f>
        <v>0</v>
      </c>
    </row>
    <row r="115" customFormat="false" ht="15" hidden="false" customHeight="false" outlineLevel="0" collapsed="false">
      <c r="A115" s="7" t="s">
        <v>217</v>
      </c>
      <c r="B115" s="7" t="s">
        <v>218</v>
      </c>
      <c r="C115" s="7" t="s">
        <v>219</v>
      </c>
      <c r="D115" s="9" t="n">
        <v>46023</v>
      </c>
      <c r="E115" s="9" t="n">
        <v>46234</v>
      </c>
      <c r="F115" s="10" t="n">
        <v>40</v>
      </c>
      <c r="G115" s="11" t="n">
        <f aca="false">IF(OR(D115="",E115="",E115&lt;=D115),"",MIN(100,MAX(0,(Parametros!$B$3-D115)/(E115-D115)*100)))</f>
        <v>100</v>
      </c>
      <c r="H115" s="12" t="n">
        <f aca="false">IF(G115="","",G115-F115)</f>
        <v>60</v>
      </c>
      <c r="I115" s="13" t="str">
        <f aca="false">IF(K115="Finalizado","Verde",IF(G115="","Amarillo",IF(H115&lt;=Parametros!$B$4,"Verde",IF(H115&lt;=Parametros!$B$5,"Amarillo","Rojo"))))</f>
        <v>Rojo</v>
      </c>
      <c r="J115" s="14" t="str">
        <f aca="false">IF(K115="Finalizado","Completado",IF(G115="","Sin fecha válida - revisar plazos",IF(H115&lt;=Parametros!$B$4,"En tiempo, según lo planificado",IF(H115&lt;=Parametros!$B$5,"Atraso leve - seguimiento cercano ("&amp;TEXT(H115,"0.0")&amp;" p.p.)","Atraso crítico - requiere intervención ("&amp;TEXT(H115,"0.0")&amp;" p.p.)"))))</f>
        <v>Atraso crítico - requiere intervención (60.0 p.p.)</v>
      </c>
      <c r="K115" s="7" t="s">
        <v>27</v>
      </c>
      <c r="L115" s="7" t="s">
        <v>220</v>
      </c>
      <c r="M115" s="7" t="s">
        <v>221</v>
      </c>
      <c r="N115" s="7" t="s">
        <v>51</v>
      </c>
      <c r="O115" s="13" t="n">
        <f aca="false">IF(AND(E115&lt;&gt;"",YEAR(E115)=YEAR(Parametros!$B$3),MONTH(E115)&gt;=10),1,0)</f>
        <v>0</v>
      </c>
      <c r="P115" s="13" t="n">
        <f aca="false">IF(AND(E115&lt;Parametros!$B$3,K115&lt;&gt;"Finalizado"),1,0)</f>
        <v>1</v>
      </c>
      <c r="Q115" s="13" t="n">
        <f aca="false">IF(AND(E115&gt;=Parametros!$B$3,E115&lt;=Parametros!$B$3+30,K115&lt;&gt;"Finalizado"),1,0)</f>
        <v>0</v>
      </c>
    </row>
    <row r="116" customFormat="false" ht="15" hidden="false" customHeight="false" outlineLevel="0" collapsed="false">
      <c r="A116" s="7" t="s">
        <v>217</v>
      </c>
      <c r="B116" s="7" t="s">
        <v>218</v>
      </c>
      <c r="C116" s="7" t="s">
        <v>222</v>
      </c>
      <c r="D116" s="9" t="n">
        <v>46023</v>
      </c>
      <c r="E116" s="9" t="n">
        <v>46203</v>
      </c>
      <c r="F116" s="10" t="n">
        <v>100</v>
      </c>
      <c r="G116" s="11" t="n">
        <f aca="false">IF(OR(D116="",E116="",E116&lt;=D116),"",MIN(100,MAX(0,(Parametros!$B$3-D116)/(E116-D116)*100)))</f>
        <v>100</v>
      </c>
      <c r="H116" s="12" t="n">
        <f aca="false">IF(G116="","",G116-F116)</f>
        <v>0</v>
      </c>
      <c r="I116" s="13" t="str">
        <f aca="false">IF(K116="Finalizado","Verde",IF(G116="","Amarillo",IF(H116&lt;=Parametros!$B$4,"Verde",IF(H116&lt;=Parametros!$B$5,"Amarillo","Rojo"))))</f>
        <v>Verde</v>
      </c>
      <c r="J116" s="14" t="str">
        <f aca="false">IF(K116="Finalizado","Completado",IF(G116="","Sin fecha válida - revisar plazos",IF(H116&lt;=Parametros!$B$4,"En tiempo, según lo planificado",IF(H116&lt;=Parametros!$B$5,"Atraso leve - seguimiento cercano ("&amp;TEXT(H116,"0.0")&amp;" p.p.)","Atraso crítico - requiere intervención ("&amp;TEXT(H116,"0.0")&amp;" p.p.)"))))</f>
        <v>Completado</v>
      </c>
      <c r="K116" s="7" t="s">
        <v>38</v>
      </c>
      <c r="L116" s="7" t="s">
        <v>220</v>
      </c>
      <c r="M116" s="7" t="s">
        <v>221</v>
      </c>
      <c r="N116" s="7" t="s">
        <v>51</v>
      </c>
      <c r="O116" s="13" t="n">
        <f aca="false">IF(AND(E116&lt;&gt;"",YEAR(E116)=YEAR(Parametros!$B$3),MONTH(E116)&gt;=10),1,0)</f>
        <v>0</v>
      </c>
      <c r="P116" s="13" t="n">
        <f aca="false">IF(AND(E116&lt;Parametros!$B$3,K116&lt;&gt;"Finalizado"),1,0)</f>
        <v>0</v>
      </c>
      <c r="Q116" s="13" t="n">
        <f aca="false">IF(AND(E116&gt;=Parametros!$B$3,E116&lt;=Parametros!$B$3+30,K116&lt;&gt;"Finalizado"),1,0)</f>
        <v>0</v>
      </c>
    </row>
    <row r="117" customFormat="false" ht="15" hidden="false" customHeight="false" outlineLevel="0" collapsed="false">
      <c r="A117" s="7" t="s">
        <v>217</v>
      </c>
      <c r="B117" s="7" t="s">
        <v>218</v>
      </c>
      <c r="C117" s="7" t="s">
        <v>223</v>
      </c>
      <c r="D117" s="9" t="n">
        <v>46023</v>
      </c>
      <c r="E117" s="9" t="n">
        <v>46234</v>
      </c>
      <c r="F117" s="10" t="n">
        <v>100</v>
      </c>
      <c r="G117" s="11" t="n">
        <f aca="false">IF(OR(D117="",E117="",E117&lt;=D117),"",MIN(100,MAX(0,(Parametros!$B$3-D117)/(E117-D117)*100)))</f>
        <v>100</v>
      </c>
      <c r="H117" s="12" t="n">
        <f aca="false">IF(G117="","",G117-F117)</f>
        <v>0</v>
      </c>
      <c r="I117" s="13" t="str">
        <f aca="false">IF(K117="Finalizado","Verde",IF(G117="","Amarillo",IF(H117&lt;=Parametros!$B$4,"Verde",IF(H117&lt;=Parametros!$B$5,"Amarillo","Rojo"))))</f>
        <v>Verde</v>
      </c>
      <c r="J117" s="14" t="str">
        <f aca="false">IF(K117="Finalizado","Completado",IF(G117="","Sin fecha válida - revisar plazos",IF(H117&lt;=Parametros!$B$4,"En tiempo, según lo planificado",IF(H117&lt;=Parametros!$B$5,"Atraso leve - seguimiento cercano ("&amp;TEXT(H117,"0.0")&amp;" p.p.)","Atraso crítico - requiere intervención ("&amp;TEXT(H117,"0.0")&amp;" p.p.)"))))</f>
        <v>Completado</v>
      </c>
      <c r="K117" s="7" t="s">
        <v>38</v>
      </c>
      <c r="L117" s="7" t="s">
        <v>220</v>
      </c>
      <c r="M117" s="7" t="s">
        <v>221</v>
      </c>
      <c r="N117" s="7" t="s">
        <v>51</v>
      </c>
      <c r="O117" s="13" t="n">
        <f aca="false">IF(AND(E117&lt;&gt;"",YEAR(E117)=YEAR(Parametros!$B$3),MONTH(E117)&gt;=10),1,0)</f>
        <v>0</v>
      </c>
      <c r="P117" s="13" t="n">
        <f aca="false">IF(AND(E117&lt;Parametros!$B$3,K117&lt;&gt;"Finalizado"),1,0)</f>
        <v>0</v>
      </c>
      <c r="Q117" s="13" t="n">
        <f aca="false">IF(AND(E117&gt;=Parametros!$B$3,E117&lt;=Parametros!$B$3+30,K117&lt;&gt;"Finalizado"),1,0)</f>
        <v>0</v>
      </c>
    </row>
    <row r="118" customFormat="false" ht="15" hidden="false" customHeight="false" outlineLevel="0" collapsed="false">
      <c r="A118" s="7" t="s">
        <v>224</v>
      </c>
      <c r="B118" s="7" t="s">
        <v>225</v>
      </c>
      <c r="C118" s="7" t="s">
        <v>226</v>
      </c>
      <c r="D118" s="9" t="n">
        <v>46328</v>
      </c>
      <c r="E118" s="9" t="n">
        <v>46752</v>
      </c>
      <c r="F118" s="10" t="n">
        <v>5</v>
      </c>
      <c r="G118" s="11" t="n">
        <f aca="false">IF(OR(D118="",E118="",E118&lt;=D118),"",MIN(100,MAX(0,(Parametros!$B$3-D118)/(E118-D118)*100)))</f>
        <v>0</v>
      </c>
      <c r="H118" s="12" t="n">
        <f aca="false">IF(G118="","",G118-F118)</f>
        <v>-5</v>
      </c>
      <c r="I118" s="13" t="str">
        <f aca="false">IF(K118="Finalizado","Verde",IF(G118="","Amarillo",IF(H118&lt;=Parametros!$B$4,"Verde",IF(H118&lt;=Parametros!$B$5,"Amarillo","Rojo"))))</f>
        <v>Verde</v>
      </c>
      <c r="J118" s="14" t="str">
        <f aca="false">IF(K118="Finalizado","Completado",IF(G118="","Sin fecha válida - revisar plazos",IF(H118&lt;=Parametros!$B$4,"En tiempo, según lo planificado",IF(H118&lt;=Parametros!$B$5,"Atraso leve - seguimiento cercano ("&amp;TEXT(H118,"0.0")&amp;" p.p.)","Atraso crítico - requiere intervención ("&amp;TEXT(H118,"0.0")&amp;" p.p.)"))))</f>
        <v>En tiempo, según lo planificado</v>
      </c>
      <c r="K118" s="7" t="s">
        <v>100</v>
      </c>
      <c r="L118" s="7"/>
      <c r="M118" s="7" t="s">
        <v>221</v>
      </c>
      <c r="N118" s="7" t="s">
        <v>51</v>
      </c>
      <c r="O118" s="13" t="n">
        <f aca="false">IF(AND(E118&lt;&gt;"",YEAR(E118)=YEAR(Parametros!$B$3),MONTH(E118)&gt;=10),1,0)</f>
        <v>0</v>
      </c>
      <c r="P118" s="13" t="n">
        <f aca="false">IF(AND(E118&lt;Parametros!$B$3,K118&lt;&gt;"Finalizado"),1,0)</f>
        <v>0</v>
      </c>
      <c r="Q118" s="13" t="n">
        <f aca="false">IF(AND(E118&gt;=Parametros!$B$3,E118&lt;=Parametros!$B$3+30,K118&lt;&gt;"Finalizado"),1,0)</f>
        <v>0</v>
      </c>
    </row>
    <row r="119" customFormat="false" ht="15" hidden="false" customHeight="false" outlineLevel="0" collapsed="false">
      <c r="A119" s="7" t="s">
        <v>224</v>
      </c>
      <c r="B119" s="7" t="s">
        <v>225</v>
      </c>
      <c r="C119" s="7" t="s">
        <v>227</v>
      </c>
      <c r="D119" s="9" t="n">
        <v>46143</v>
      </c>
      <c r="E119" s="9" t="n">
        <v>46295</v>
      </c>
      <c r="F119" s="10" t="n">
        <v>41</v>
      </c>
      <c r="G119" s="11" t="n">
        <f aca="false">IF(OR(D119="",E119="",E119&lt;=D119),"",MIN(100,MAX(0,(Parametros!$B$3-D119)/(E119-D119)*100)))</f>
        <v>75.6578947368421</v>
      </c>
      <c r="H119" s="12" t="n">
        <f aca="false">IF(G119="","",G119-F119)</f>
        <v>34.6578947368421</v>
      </c>
      <c r="I119" s="13" t="str">
        <f aca="false">IF(K119="Finalizado","Verde",IF(G119="","Amarillo",IF(H119&lt;=Parametros!$B$4,"Verde",IF(H119&lt;=Parametros!$B$5,"Amarillo","Rojo"))))</f>
        <v>Rojo</v>
      </c>
      <c r="J119" s="14" t="str">
        <f aca="false">IF(K119="Finalizado","Completado",IF(G119="","Sin fecha válida - revisar plazos",IF(H119&lt;=Parametros!$B$4,"En tiempo, según lo planificado",IF(H119&lt;=Parametros!$B$5,"Atraso leve - seguimiento cercano ("&amp;TEXT(H119,"0.0")&amp;" p.p.)","Atraso crítico - requiere intervención ("&amp;TEXT(H119,"0.0")&amp;" p.p.)"))))</f>
        <v>Atraso crítico - requiere intervención (34.7 p.p.)</v>
      </c>
      <c r="K119" s="7" t="s">
        <v>27</v>
      </c>
      <c r="L119" s="7"/>
      <c r="M119" s="7" t="s">
        <v>221</v>
      </c>
      <c r="N119" s="7" t="s">
        <v>189</v>
      </c>
      <c r="O119" s="13" t="n">
        <f aca="false">IF(AND(E119&lt;&gt;"",YEAR(E119)=YEAR(Parametros!$B$3),MONTH(E119)&gt;=10),1,0)</f>
        <v>0</v>
      </c>
      <c r="P119" s="13" t="n">
        <f aca="false">IF(AND(E119&lt;Parametros!$B$3,K119&lt;&gt;"Finalizado"),1,0)</f>
        <v>0</v>
      </c>
      <c r="Q119" s="13" t="n">
        <f aca="false">IF(AND(E119&gt;=Parametros!$B$3,E119&lt;=Parametros!$B$3+30,K119&lt;&gt;"Finalizado"),1,0)</f>
        <v>0</v>
      </c>
    </row>
    <row r="120" customFormat="false" ht="15" hidden="false" customHeight="false" outlineLevel="0" collapsed="false">
      <c r="A120" s="7" t="s">
        <v>224</v>
      </c>
      <c r="B120" s="7" t="s">
        <v>225</v>
      </c>
      <c r="C120" s="7" t="s">
        <v>228</v>
      </c>
      <c r="D120" s="9" t="n">
        <v>46146</v>
      </c>
      <c r="E120" s="9" t="n">
        <v>46295</v>
      </c>
      <c r="F120" s="10" t="n">
        <v>67</v>
      </c>
      <c r="G120" s="11" t="n">
        <f aca="false">IF(OR(D120="",E120="",E120&lt;=D120),"",MIN(100,MAX(0,(Parametros!$B$3-D120)/(E120-D120)*100)))</f>
        <v>75.1677852348993</v>
      </c>
      <c r="H120" s="12" t="n">
        <f aca="false">IF(G120="","",G120-F120)</f>
        <v>8.16778523489933</v>
      </c>
      <c r="I120" s="13" t="str">
        <f aca="false">IF(K120="Finalizado","Verde",IF(G120="","Amarillo",IF(H120&lt;=Parametros!$B$4,"Verde",IF(H120&lt;=Parametros!$B$5,"Amarillo","Rojo"))))</f>
        <v>Amarillo</v>
      </c>
      <c r="J120" s="14" t="str">
        <f aca="false">IF(K120="Finalizado","Completado",IF(G120="","Sin fecha válida - revisar plazos",IF(H120&lt;=Parametros!$B$4,"En tiempo, según lo planificado",IF(H120&lt;=Parametros!$B$5,"Atraso leve - seguimiento cercano ("&amp;TEXT(H120,"0.0")&amp;" p.p.)","Atraso crítico - requiere intervención ("&amp;TEXT(H120,"0.0")&amp;" p.p.)"))))</f>
        <v>Atraso leve - seguimiento cercano (8.2 p.p.)</v>
      </c>
      <c r="K120" s="7" t="s">
        <v>27</v>
      </c>
      <c r="L120" s="7"/>
      <c r="M120" s="7" t="s">
        <v>221</v>
      </c>
      <c r="N120" s="7" t="s">
        <v>51</v>
      </c>
      <c r="O120" s="13" t="n">
        <f aca="false">IF(AND(E120&lt;&gt;"",YEAR(E120)=YEAR(Parametros!$B$3),MONTH(E120)&gt;=10),1,0)</f>
        <v>0</v>
      </c>
      <c r="P120" s="13" t="n">
        <f aca="false">IF(AND(E120&lt;Parametros!$B$3,K120&lt;&gt;"Finalizado"),1,0)</f>
        <v>0</v>
      </c>
      <c r="Q120" s="13" t="n">
        <f aca="false">IF(AND(E120&gt;=Parametros!$B$3,E120&lt;=Parametros!$B$3+30,K120&lt;&gt;"Finalizado"),1,0)</f>
        <v>0</v>
      </c>
    </row>
    <row r="121" customFormat="false" ht="15" hidden="false" customHeight="false" outlineLevel="0" collapsed="false">
      <c r="A121" s="7" t="s">
        <v>224</v>
      </c>
      <c r="B121" s="7" t="s">
        <v>225</v>
      </c>
      <c r="C121" s="7" t="s">
        <v>229</v>
      </c>
      <c r="D121" s="9" t="n">
        <v>46174</v>
      </c>
      <c r="E121" s="9" t="n">
        <v>46387</v>
      </c>
      <c r="F121" s="10" t="n">
        <v>60</v>
      </c>
      <c r="G121" s="11" t="n">
        <f aca="false">IF(OR(D121="",E121="",E121&lt;=D121),"",MIN(100,MAX(0,(Parametros!$B$3-D121)/(E121-D121)*100)))</f>
        <v>39.4366197183099</v>
      </c>
      <c r="H121" s="12" t="n">
        <f aca="false">IF(G121="","",G121-F121)</f>
        <v>-20.5633802816901</v>
      </c>
      <c r="I121" s="13" t="str">
        <f aca="false">IF(K121="Finalizado","Verde",IF(G121="","Amarillo",IF(H121&lt;=Parametros!$B$4,"Verde",IF(H121&lt;=Parametros!$B$5,"Amarillo","Rojo"))))</f>
        <v>Verde</v>
      </c>
      <c r="J121" s="14" t="str">
        <f aca="false">IF(K121="Finalizado","Completado",IF(G121="","Sin fecha válida - revisar plazos",IF(H121&lt;=Parametros!$B$4,"En tiempo, según lo planificado",IF(H121&lt;=Parametros!$B$5,"Atraso leve - seguimiento cercano ("&amp;TEXT(H121,"0.0")&amp;" p.p.)","Atraso crítico - requiere intervención ("&amp;TEXT(H121,"0.0")&amp;" p.p.)"))))</f>
        <v>En tiempo, según lo planificado</v>
      </c>
      <c r="K121" s="7" t="s">
        <v>27</v>
      </c>
      <c r="L121" s="7"/>
      <c r="M121" s="7" t="s">
        <v>221</v>
      </c>
      <c r="N121" s="7" t="s">
        <v>51</v>
      </c>
      <c r="O121" s="13" t="n">
        <f aca="false">IF(AND(E121&lt;&gt;"",YEAR(E121)=YEAR(Parametros!$B$3),MONTH(E121)&gt;=10),1,0)</f>
        <v>1</v>
      </c>
      <c r="P121" s="13" t="n">
        <f aca="false">IF(AND(E121&lt;Parametros!$B$3,K121&lt;&gt;"Finalizado"),1,0)</f>
        <v>0</v>
      </c>
      <c r="Q121" s="13" t="n">
        <f aca="false">IF(AND(E121&gt;=Parametros!$B$3,E121&lt;=Parametros!$B$3+30,K121&lt;&gt;"Finalizado"),1,0)</f>
        <v>0</v>
      </c>
    </row>
    <row r="122" customFormat="false" ht="15" hidden="false" customHeight="false" outlineLevel="0" collapsed="false">
      <c r="A122" s="7" t="s">
        <v>224</v>
      </c>
      <c r="B122" s="7" t="s">
        <v>225</v>
      </c>
      <c r="C122" s="7" t="s">
        <v>230</v>
      </c>
      <c r="D122" s="9" t="n">
        <v>46204</v>
      </c>
      <c r="E122" s="9" t="n">
        <v>46387</v>
      </c>
      <c r="F122" s="10" t="n">
        <v>64</v>
      </c>
      <c r="G122" s="11" t="n">
        <f aca="false">IF(OR(D122="",E122="",E122&lt;=D122),"",MIN(100,MAX(0,(Parametros!$B$3-D122)/(E122-D122)*100)))</f>
        <v>29.5081967213115</v>
      </c>
      <c r="H122" s="12" t="n">
        <f aca="false">IF(G122="","",G122-F122)</f>
        <v>-34.4918032786885</v>
      </c>
      <c r="I122" s="13" t="str">
        <f aca="false">IF(K122="Finalizado","Verde",IF(G122="","Amarillo",IF(H122&lt;=Parametros!$B$4,"Verde",IF(H122&lt;=Parametros!$B$5,"Amarillo","Rojo"))))</f>
        <v>Verde</v>
      </c>
      <c r="J122" s="14" t="str">
        <f aca="false">IF(K122="Finalizado","Completado",IF(G122="","Sin fecha válida - revisar plazos",IF(H122&lt;=Parametros!$B$4,"En tiempo, según lo planificado",IF(H122&lt;=Parametros!$B$5,"Atraso leve - seguimiento cercano ("&amp;TEXT(H122,"0.0")&amp;" p.p.)","Atraso crítico - requiere intervención ("&amp;TEXT(H122,"0.0")&amp;" p.p.)"))))</f>
        <v>En tiempo, según lo planificado</v>
      </c>
      <c r="K122" s="7" t="s">
        <v>27</v>
      </c>
      <c r="L122" s="7"/>
      <c r="M122" s="7" t="s">
        <v>221</v>
      </c>
      <c r="N122" s="7" t="s">
        <v>51</v>
      </c>
      <c r="O122" s="13" t="n">
        <f aca="false">IF(AND(E122&lt;&gt;"",YEAR(E122)=YEAR(Parametros!$B$3),MONTH(E122)&gt;=10),1,0)</f>
        <v>1</v>
      </c>
      <c r="P122" s="13" t="n">
        <f aca="false">IF(AND(E122&lt;Parametros!$B$3,K122&lt;&gt;"Finalizado"),1,0)</f>
        <v>0</v>
      </c>
      <c r="Q122" s="13" t="n">
        <f aca="false">IF(AND(E122&gt;=Parametros!$B$3,E122&lt;=Parametros!$B$3+30,K122&lt;&gt;"Finalizado"),1,0)</f>
        <v>0</v>
      </c>
    </row>
    <row r="123" customFormat="false" ht="15" hidden="false" customHeight="false" outlineLevel="0" collapsed="false">
      <c r="A123" s="7" t="s">
        <v>224</v>
      </c>
      <c r="B123" s="7" t="s">
        <v>225</v>
      </c>
      <c r="C123" s="7" t="s">
        <v>231</v>
      </c>
      <c r="D123" s="9" t="n">
        <v>46266</v>
      </c>
      <c r="E123" s="9" t="n">
        <v>46387</v>
      </c>
      <c r="F123" s="10" t="n">
        <v>4</v>
      </c>
      <c r="G123" s="11" t="n">
        <f aca="false">IF(OR(D123="",E123="",E123&lt;=D123),"",MIN(100,MAX(0,(Parametros!$B$3-D123)/(E123-D123)*100)))</f>
        <v>0</v>
      </c>
      <c r="H123" s="12" t="n">
        <f aca="false">IF(G123="","",G123-F123)</f>
        <v>-4</v>
      </c>
      <c r="I123" s="13" t="str">
        <f aca="false">IF(K123="Finalizado","Verde",IF(G123="","Amarillo",IF(H123&lt;=Parametros!$B$4,"Verde",IF(H123&lt;=Parametros!$B$5,"Amarillo","Rojo"))))</f>
        <v>Verde</v>
      </c>
      <c r="J123" s="14" t="str">
        <f aca="false">IF(K123="Finalizado","Completado",IF(G123="","Sin fecha válida - revisar plazos",IF(H123&lt;=Parametros!$B$4,"En tiempo, según lo planificado",IF(H123&lt;=Parametros!$B$5,"Atraso leve - seguimiento cercano ("&amp;TEXT(H123,"0.0")&amp;" p.p.)","Atraso crítico - requiere intervención ("&amp;TEXT(H123,"0.0")&amp;" p.p.)"))))</f>
        <v>En tiempo, según lo planificado</v>
      </c>
      <c r="K123" s="7" t="s">
        <v>27</v>
      </c>
      <c r="L123" s="7"/>
      <c r="M123" s="7" t="s">
        <v>221</v>
      </c>
      <c r="N123" s="7" t="s">
        <v>51</v>
      </c>
      <c r="O123" s="13" t="n">
        <f aca="false">IF(AND(E123&lt;&gt;"",YEAR(E123)=YEAR(Parametros!$B$3),MONTH(E123)&gt;=10),1,0)</f>
        <v>1</v>
      </c>
      <c r="P123" s="13" t="n">
        <f aca="false">IF(AND(E123&lt;Parametros!$B$3,K123&lt;&gt;"Finalizado"),1,0)</f>
        <v>0</v>
      </c>
      <c r="Q123" s="13" t="n">
        <f aca="false">IF(AND(E123&gt;=Parametros!$B$3,E123&lt;=Parametros!$B$3+30,K123&lt;&gt;"Finalizado"),1,0)</f>
        <v>0</v>
      </c>
    </row>
    <row r="124" customFormat="false" ht="15" hidden="false" customHeight="false" outlineLevel="0" collapsed="false">
      <c r="A124" s="7" t="s">
        <v>224</v>
      </c>
      <c r="B124" s="7" t="s">
        <v>225</v>
      </c>
      <c r="C124" s="7" t="s">
        <v>232</v>
      </c>
      <c r="D124" s="9" t="n">
        <v>46266</v>
      </c>
      <c r="E124" s="9" t="n">
        <v>46387</v>
      </c>
      <c r="F124" s="10" t="n">
        <v>4</v>
      </c>
      <c r="G124" s="11" t="n">
        <f aca="false">IF(OR(D124="",E124="",E124&lt;=D124),"",MIN(100,MAX(0,(Parametros!$B$3-D124)/(E124-D124)*100)))</f>
        <v>0</v>
      </c>
      <c r="H124" s="12" t="n">
        <f aca="false">IF(G124="","",G124-F124)</f>
        <v>-4</v>
      </c>
      <c r="I124" s="13" t="str">
        <f aca="false">IF(K124="Finalizado","Verde",IF(G124="","Amarillo",IF(H124&lt;=Parametros!$B$4,"Verde",IF(H124&lt;=Parametros!$B$5,"Amarillo","Rojo"))))</f>
        <v>Verde</v>
      </c>
      <c r="J124" s="14" t="str">
        <f aca="false">IF(K124="Finalizado","Completado",IF(G124="","Sin fecha válida - revisar plazos",IF(H124&lt;=Parametros!$B$4,"En tiempo, según lo planificado",IF(H124&lt;=Parametros!$B$5,"Atraso leve - seguimiento cercano ("&amp;TEXT(H124,"0.0")&amp;" p.p.)","Atraso crítico - requiere intervención ("&amp;TEXT(H124,"0.0")&amp;" p.p.)"))))</f>
        <v>En tiempo, según lo planificado</v>
      </c>
      <c r="K124" s="7" t="s">
        <v>100</v>
      </c>
      <c r="L124" s="7" t="s">
        <v>233</v>
      </c>
      <c r="M124" s="7" t="s">
        <v>221</v>
      </c>
      <c r="N124" s="7" t="s">
        <v>51</v>
      </c>
      <c r="O124" s="13" t="n">
        <f aca="false">IF(AND(E124&lt;&gt;"",YEAR(E124)=YEAR(Parametros!$B$3),MONTH(E124)&gt;=10),1,0)</f>
        <v>1</v>
      </c>
      <c r="P124" s="13" t="n">
        <f aca="false">IF(AND(E124&lt;Parametros!$B$3,K124&lt;&gt;"Finalizado"),1,0)</f>
        <v>0</v>
      </c>
      <c r="Q124" s="13" t="n">
        <f aca="false">IF(AND(E124&gt;=Parametros!$B$3,E124&lt;=Parametros!$B$3+30,K124&lt;&gt;"Finalizado"),1,0)</f>
        <v>0</v>
      </c>
    </row>
    <row r="125" customFormat="false" ht="15" hidden="false" customHeight="false" outlineLevel="0" collapsed="false">
      <c r="A125" s="7" t="s">
        <v>224</v>
      </c>
      <c r="B125" s="7" t="s">
        <v>225</v>
      </c>
      <c r="C125" s="7" t="s">
        <v>234</v>
      </c>
      <c r="D125" s="9" t="n">
        <v>46296</v>
      </c>
      <c r="E125" s="9" t="n">
        <v>46387</v>
      </c>
      <c r="F125" s="10" t="n">
        <v>5</v>
      </c>
      <c r="G125" s="11" t="n">
        <f aca="false">IF(OR(D125="",E125="",E125&lt;=D125),"",MIN(100,MAX(0,(Parametros!$B$3-D125)/(E125-D125)*100)))</f>
        <v>0</v>
      </c>
      <c r="H125" s="12" t="n">
        <f aca="false">IF(G125="","",G125-F125)</f>
        <v>-5</v>
      </c>
      <c r="I125" s="13" t="str">
        <f aca="false">IF(K125="Finalizado","Verde",IF(G125="","Amarillo",IF(H125&lt;=Parametros!$B$4,"Verde",IF(H125&lt;=Parametros!$B$5,"Amarillo","Rojo"))))</f>
        <v>Verde</v>
      </c>
      <c r="J125" s="14" t="str">
        <f aca="false">IF(K125="Finalizado","Completado",IF(G125="","Sin fecha válida - revisar plazos",IF(H125&lt;=Parametros!$B$4,"En tiempo, según lo planificado",IF(H125&lt;=Parametros!$B$5,"Atraso leve - seguimiento cercano ("&amp;TEXT(H125,"0.0")&amp;" p.p.)","Atraso crítico - requiere intervención ("&amp;TEXT(H125,"0.0")&amp;" p.p.)"))))</f>
        <v>En tiempo, según lo planificado</v>
      </c>
      <c r="K125" s="7" t="s">
        <v>100</v>
      </c>
      <c r="L125" s="7" t="s">
        <v>233</v>
      </c>
      <c r="M125" s="7" t="s">
        <v>221</v>
      </c>
      <c r="N125" s="7" t="s">
        <v>51</v>
      </c>
      <c r="O125" s="13" t="n">
        <f aca="false">IF(AND(E125&lt;&gt;"",YEAR(E125)=YEAR(Parametros!$B$3),MONTH(E125)&gt;=10),1,0)</f>
        <v>1</v>
      </c>
      <c r="P125" s="13" t="n">
        <f aca="false">IF(AND(E125&lt;Parametros!$B$3,K125&lt;&gt;"Finalizado"),1,0)</f>
        <v>0</v>
      </c>
      <c r="Q125" s="13" t="n">
        <f aca="false">IF(AND(E125&gt;=Parametros!$B$3,E125&lt;=Parametros!$B$3+30,K125&lt;&gt;"Finalizado"),1,0)</f>
        <v>0</v>
      </c>
    </row>
    <row r="126" customFormat="false" ht="15" hidden="false" customHeight="false" outlineLevel="0" collapsed="false">
      <c r="A126" s="7" t="s">
        <v>224</v>
      </c>
      <c r="B126" s="7" t="s">
        <v>225</v>
      </c>
      <c r="C126" s="7" t="s">
        <v>235</v>
      </c>
      <c r="D126" s="9" t="n">
        <v>46296</v>
      </c>
      <c r="E126" s="9" t="n">
        <v>46387</v>
      </c>
      <c r="F126" s="10" t="n">
        <v>4</v>
      </c>
      <c r="G126" s="11" t="n">
        <f aca="false">IF(OR(D126="",E126="",E126&lt;=D126),"",MIN(100,MAX(0,(Parametros!$B$3-D126)/(E126-D126)*100)))</f>
        <v>0</v>
      </c>
      <c r="H126" s="12" t="n">
        <f aca="false">IF(G126="","",G126-F126)</f>
        <v>-4</v>
      </c>
      <c r="I126" s="13" t="str">
        <f aca="false">IF(K126="Finalizado","Verde",IF(G126="","Amarillo",IF(H126&lt;=Parametros!$B$4,"Verde",IF(H126&lt;=Parametros!$B$5,"Amarillo","Rojo"))))</f>
        <v>Verde</v>
      </c>
      <c r="J126" s="14" t="str">
        <f aca="false">IF(K126="Finalizado","Completado",IF(G126="","Sin fecha válida - revisar plazos",IF(H126&lt;=Parametros!$B$4,"En tiempo, según lo planificado",IF(H126&lt;=Parametros!$B$5,"Atraso leve - seguimiento cercano ("&amp;TEXT(H126,"0.0")&amp;" p.p.)","Atraso crítico - requiere intervención ("&amp;TEXT(H126,"0.0")&amp;" p.p.)"))))</f>
        <v>En tiempo, según lo planificado</v>
      </c>
      <c r="K126" s="7" t="s">
        <v>100</v>
      </c>
      <c r="L126" s="7" t="s">
        <v>233</v>
      </c>
      <c r="M126" s="7" t="s">
        <v>221</v>
      </c>
      <c r="N126" s="7" t="s">
        <v>51</v>
      </c>
      <c r="O126" s="13" t="n">
        <f aca="false">IF(AND(E126&lt;&gt;"",YEAR(E126)=YEAR(Parametros!$B$3),MONTH(E126)&gt;=10),1,0)</f>
        <v>1</v>
      </c>
      <c r="P126" s="13" t="n">
        <f aca="false">IF(AND(E126&lt;Parametros!$B$3,K126&lt;&gt;"Finalizado"),1,0)</f>
        <v>0</v>
      </c>
      <c r="Q126" s="13" t="n">
        <f aca="false">IF(AND(E126&gt;=Parametros!$B$3,E126&lt;=Parametros!$B$3+30,K126&lt;&gt;"Finalizado"),1,0)</f>
        <v>0</v>
      </c>
    </row>
    <row r="127" customFormat="false" ht="15" hidden="false" customHeight="false" outlineLevel="0" collapsed="false">
      <c r="A127" s="7" t="s">
        <v>224</v>
      </c>
      <c r="B127" s="7" t="s">
        <v>225</v>
      </c>
      <c r="C127" s="7" t="s">
        <v>236</v>
      </c>
      <c r="D127" s="9" t="n">
        <v>46328</v>
      </c>
      <c r="E127" s="9" t="n">
        <v>46387</v>
      </c>
      <c r="F127" s="10" t="n">
        <v>4</v>
      </c>
      <c r="G127" s="11" t="n">
        <f aca="false">IF(OR(D127="",E127="",E127&lt;=D127),"",MIN(100,MAX(0,(Parametros!$B$3-D127)/(E127-D127)*100)))</f>
        <v>0</v>
      </c>
      <c r="H127" s="12" t="n">
        <f aca="false">IF(G127="","",G127-F127)</f>
        <v>-4</v>
      </c>
      <c r="I127" s="13" t="str">
        <f aca="false">IF(K127="Finalizado","Verde",IF(G127="","Amarillo",IF(H127&lt;=Parametros!$B$4,"Verde",IF(H127&lt;=Parametros!$B$5,"Amarillo","Rojo"))))</f>
        <v>Verde</v>
      </c>
      <c r="J127" s="14" t="str">
        <f aca="false">IF(K127="Finalizado","Completado",IF(G127="","Sin fecha válida - revisar plazos",IF(H127&lt;=Parametros!$B$4,"En tiempo, según lo planificado",IF(H127&lt;=Parametros!$B$5,"Atraso leve - seguimiento cercano ("&amp;TEXT(H127,"0.0")&amp;" p.p.)","Atraso crítico - requiere intervención ("&amp;TEXT(H127,"0.0")&amp;" p.p.)"))))</f>
        <v>En tiempo, según lo planificado</v>
      </c>
      <c r="K127" s="7" t="s">
        <v>100</v>
      </c>
      <c r="L127" s="7" t="s">
        <v>233</v>
      </c>
      <c r="M127" s="7" t="s">
        <v>221</v>
      </c>
      <c r="N127" s="7" t="s">
        <v>51</v>
      </c>
      <c r="O127" s="13" t="n">
        <f aca="false">IF(AND(E127&lt;&gt;"",YEAR(E127)=YEAR(Parametros!$B$3),MONTH(E127)&gt;=10),1,0)</f>
        <v>1</v>
      </c>
      <c r="P127" s="13" t="n">
        <f aca="false">IF(AND(E127&lt;Parametros!$B$3,K127&lt;&gt;"Finalizado"),1,0)</f>
        <v>0</v>
      </c>
      <c r="Q127" s="13" t="n">
        <f aca="false">IF(AND(E127&gt;=Parametros!$B$3,E127&lt;=Parametros!$B$3+30,K127&lt;&gt;"Finalizado"),1,0)</f>
        <v>0</v>
      </c>
    </row>
    <row r="128" customFormat="false" ht="15" hidden="false" customHeight="false" outlineLevel="0" collapsed="false">
      <c r="A128" s="7" t="s">
        <v>224</v>
      </c>
      <c r="B128" s="7" t="s">
        <v>225</v>
      </c>
      <c r="C128" s="7" t="s">
        <v>237</v>
      </c>
      <c r="D128" s="9" t="n">
        <v>46328</v>
      </c>
      <c r="E128" s="9" t="n">
        <v>46752</v>
      </c>
      <c r="F128" s="10" t="n">
        <v>30</v>
      </c>
      <c r="G128" s="11" t="n">
        <f aca="false">IF(OR(D128="",E128="",E128&lt;=D128),"",MIN(100,MAX(0,(Parametros!$B$3-D128)/(E128-D128)*100)))</f>
        <v>0</v>
      </c>
      <c r="H128" s="12" t="n">
        <f aca="false">IF(G128="","",G128-F128)</f>
        <v>-30</v>
      </c>
      <c r="I128" s="13" t="str">
        <f aca="false">IF(K128="Finalizado","Verde",IF(G128="","Amarillo",IF(H128&lt;=Parametros!$B$4,"Verde",IF(H128&lt;=Parametros!$B$5,"Amarillo","Rojo"))))</f>
        <v>Verde</v>
      </c>
      <c r="J128" s="14" t="str">
        <f aca="false">IF(K128="Finalizado","Completado",IF(G128="","Sin fecha válida - revisar plazos",IF(H128&lt;=Parametros!$B$4,"En tiempo, según lo planificado",IF(H128&lt;=Parametros!$B$5,"Atraso leve - seguimiento cercano ("&amp;TEXT(H128,"0.0")&amp;" p.p.)","Atraso crítico - requiere intervención ("&amp;TEXT(H128,"0.0")&amp;" p.p.)"))))</f>
        <v>En tiempo, según lo planificado</v>
      </c>
      <c r="K128" s="7" t="s">
        <v>100</v>
      </c>
      <c r="L128" s="7" t="s">
        <v>233</v>
      </c>
      <c r="M128" s="7" t="s">
        <v>221</v>
      </c>
      <c r="N128" s="7" t="s">
        <v>51</v>
      </c>
      <c r="O128" s="13" t="n">
        <f aca="false">IF(AND(E128&lt;&gt;"",YEAR(E128)=YEAR(Parametros!$B$3),MONTH(E128)&gt;=10),1,0)</f>
        <v>0</v>
      </c>
      <c r="P128" s="13" t="n">
        <f aca="false">IF(AND(E128&lt;Parametros!$B$3,K128&lt;&gt;"Finalizado"),1,0)</f>
        <v>0</v>
      </c>
      <c r="Q128" s="13" t="n">
        <f aca="false">IF(AND(E128&gt;=Parametros!$B$3,E128&lt;=Parametros!$B$3+30,K128&lt;&gt;"Finalizado"),1,0)</f>
        <v>0</v>
      </c>
    </row>
    <row r="129" customFormat="false" ht="15" hidden="false" customHeight="false" outlineLevel="0" collapsed="false">
      <c r="A129" s="7" t="s">
        <v>224</v>
      </c>
      <c r="B129" s="7" t="s">
        <v>225</v>
      </c>
      <c r="C129" s="7" t="s">
        <v>238</v>
      </c>
      <c r="D129" s="9" t="n">
        <v>46090</v>
      </c>
      <c r="E129" s="9" t="n">
        <v>46387</v>
      </c>
      <c r="F129" s="10" t="n">
        <v>77</v>
      </c>
      <c r="G129" s="11" t="n">
        <f aca="false">IF(OR(D129="",E129="",E129&lt;=D129),"",MIN(100,MAX(0,(Parametros!$B$3-D129)/(E129-D129)*100)))</f>
        <v>56.5656565656566</v>
      </c>
      <c r="H129" s="12" t="n">
        <f aca="false">IF(G129="","",G129-F129)</f>
        <v>-20.4343434343434</v>
      </c>
      <c r="I129" s="13" t="str">
        <f aca="false">IF(K129="Finalizado","Verde",IF(G129="","Amarillo",IF(H129&lt;=Parametros!$B$4,"Verde",IF(H129&lt;=Parametros!$B$5,"Amarillo","Rojo"))))</f>
        <v>Verde</v>
      </c>
      <c r="J129" s="14" t="str">
        <f aca="false">IF(K129="Finalizado","Completado",IF(G129="","Sin fecha válida - revisar plazos",IF(H129&lt;=Parametros!$B$4,"En tiempo, según lo planificado",IF(H129&lt;=Parametros!$B$5,"Atraso leve - seguimiento cercano ("&amp;TEXT(H129,"0.0")&amp;" p.p.)","Atraso crítico - requiere intervención ("&amp;TEXT(H129,"0.0")&amp;" p.p.)"))))</f>
        <v>En tiempo, según lo planificado</v>
      </c>
      <c r="K129" s="7" t="s">
        <v>27</v>
      </c>
      <c r="L129" s="7" t="s">
        <v>233</v>
      </c>
      <c r="M129" s="7" t="s">
        <v>221</v>
      </c>
      <c r="N129" s="7" t="s">
        <v>51</v>
      </c>
      <c r="O129" s="13" t="n">
        <f aca="false">IF(AND(E129&lt;&gt;"",YEAR(E129)=YEAR(Parametros!$B$3),MONTH(E129)&gt;=10),1,0)</f>
        <v>1</v>
      </c>
      <c r="P129" s="13" t="n">
        <f aca="false">IF(AND(E129&lt;Parametros!$B$3,K129&lt;&gt;"Finalizado"),1,0)</f>
        <v>0</v>
      </c>
      <c r="Q129" s="13" t="n">
        <f aca="false">IF(AND(E129&gt;=Parametros!$B$3,E129&lt;=Parametros!$B$3+30,K129&lt;&gt;"Finalizado"),1,0)</f>
        <v>0</v>
      </c>
    </row>
    <row r="130" customFormat="false" ht="15" hidden="false" customHeight="false" outlineLevel="0" collapsed="false">
      <c r="A130" s="7" t="s">
        <v>239</v>
      </c>
      <c r="B130" s="7" t="s">
        <v>240</v>
      </c>
      <c r="C130" s="7" t="s">
        <v>241</v>
      </c>
      <c r="D130" s="9" t="n">
        <v>46023</v>
      </c>
      <c r="E130" s="9" t="n">
        <v>46112</v>
      </c>
      <c r="F130" s="10" t="n">
        <v>100</v>
      </c>
      <c r="G130" s="11" t="n">
        <f aca="false">IF(OR(D130="",E130="",E130&lt;=D130),"",MIN(100,MAX(0,(Parametros!$B$3-D130)/(E130-D130)*100)))</f>
        <v>100</v>
      </c>
      <c r="H130" s="12" t="n">
        <f aca="false">IF(G130="","",G130-F130)</f>
        <v>0</v>
      </c>
      <c r="I130" s="13" t="str">
        <f aca="false">IF(K130="Finalizado","Verde",IF(G130="","Amarillo",IF(H130&lt;=Parametros!$B$4,"Verde",IF(H130&lt;=Parametros!$B$5,"Amarillo","Rojo"))))</f>
        <v>Verde</v>
      </c>
      <c r="J130" s="14" t="str">
        <f aca="false">IF(K130="Finalizado","Completado",IF(G130="","Sin fecha válida - revisar plazos",IF(H130&lt;=Parametros!$B$4,"En tiempo, según lo planificado",IF(H130&lt;=Parametros!$B$5,"Atraso leve - seguimiento cercano ("&amp;TEXT(H130,"0.0")&amp;" p.p.)","Atraso crítico - requiere intervención ("&amp;TEXT(H130,"0.0")&amp;" p.p.)"))))</f>
        <v>Completado</v>
      </c>
      <c r="K130" s="7" t="s">
        <v>38</v>
      </c>
      <c r="L130" s="7" t="s">
        <v>242</v>
      </c>
      <c r="M130" s="7" t="s">
        <v>221</v>
      </c>
      <c r="N130" s="7" t="s">
        <v>51</v>
      </c>
      <c r="O130" s="13" t="n">
        <f aca="false">IF(AND(E130&lt;&gt;"",YEAR(E130)=YEAR(Parametros!$B$3),MONTH(E130)&gt;=10),1,0)</f>
        <v>0</v>
      </c>
      <c r="P130" s="13" t="n">
        <f aca="false">IF(AND(E130&lt;Parametros!$B$3,K130&lt;&gt;"Finalizado"),1,0)</f>
        <v>0</v>
      </c>
      <c r="Q130" s="13" t="n">
        <f aca="false">IF(AND(E130&gt;=Parametros!$B$3,E130&lt;=Parametros!$B$3+30,K130&lt;&gt;"Finalizado"),1,0)</f>
        <v>0</v>
      </c>
    </row>
    <row r="131" customFormat="false" ht="15" hidden="false" customHeight="false" outlineLevel="0" collapsed="false">
      <c r="A131" s="7" t="s">
        <v>239</v>
      </c>
      <c r="B131" s="7" t="s">
        <v>240</v>
      </c>
      <c r="C131" s="8" t="s">
        <v>243</v>
      </c>
      <c r="D131" s="9" t="n">
        <v>46023</v>
      </c>
      <c r="E131" s="9" t="n">
        <v>46387</v>
      </c>
      <c r="F131" s="10" t="n">
        <v>40</v>
      </c>
      <c r="G131" s="11" t="n">
        <f aca="false">IF(OR(D131="",E131="",E131&lt;=D131),"",MIN(100,MAX(0,(Parametros!$B$3-D131)/(E131-D131)*100)))</f>
        <v>64.5604395604396</v>
      </c>
      <c r="H131" s="12" t="n">
        <f aca="false">IF(G131="","",G131-F131)</f>
        <v>24.5604395604396</v>
      </c>
      <c r="I131" s="13" t="str">
        <f aca="false">IF(K131="Finalizado","Verde",IF(G131="","Amarillo",IF(H131&lt;=Parametros!$B$4,"Verde",IF(H131&lt;=Parametros!$B$5,"Amarillo","Rojo"))))</f>
        <v>Rojo</v>
      </c>
      <c r="J131" s="14" t="str">
        <f aca="false">IF(K131="Finalizado","Completado",IF(G131="","Sin fecha válida - revisar plazos",IF(H131&lt;=Parametros!$B$4,"En tiempo, según lo planificado",IF(H131&lt;=Parametros!$B$5,"Atraso leve - seguimiento cercano ("&amp;TEXT(H131,"0.0")&amp;" p.p.)","Atraso crítico - requiere intervención ("&amp;TEXT(H131,"0.0")&amp;" p.p.)"))))</f>
        <v>Atraso crítico - requiere intervención (24.6 p.p.)</v>
      </c>
      <c r="K131" s="7" t="s">
        <v>27</v>
      </c>
      <c r="L131" s="7" t="s">
        <v>242</v>
      </c>
      <c r="M131" s="7" t="s">
        <v>221</v>
      </c>
      <c r="N131" s="7" t="s">
        <v>51</v>
      </c>
      <c r="O131" s="13" t="n">
        <f aca="false">IF(AND(E131&lt;&gt;"",YEAR(E131)=YEAR(Parametros!$B$3),MONTH(E131)&gt;=10),1,0)</f>
        <v>1</v>
      </c>
      <c r="P131" s="13" t="n">
        <f aca="false">IF(AND(E131&lt;Parametros!$B$3,K131&lt;&gt;"Finalizado"),1,0)</f>
        <v>0</v>
      </c>
      <c r="Q131" s="13" t="n">
        <f aca="false">IF(AND(E131&gt;=Parametros!$B$3,E131&lt;=Parametros!$B$3+30,K131&lt;&gt;"Finalizado"),1,0)</f>
        <v>0</v>
      </c>
    </row>
    <row r="132" customFormat="false" ht="15" hidden="false" customHeight="false" outlineLevel="0" collapsed="false">
      <c r="A132" s="7" t="s">
        <v>239</v>
      </c>
      <c r="B132" s="7" t="s">
        <v>240</v>
      </c>
      <c r="C132" s="7" t="s">
        <v>244</v>
      </c>
      <c r="D132" s="9" t="n">
        <v>46023</v>
      </c>
      <c r="E132" s="9" t="n">
        <v>46387</v>
      </c>
      <c r="F132" s="10" t="n">
        <v>100</v>
      </c>
      <c r="G132" s="11" t="n">
        <f aca="false">IF(OR(D132="",E132="",E132&lt;=D132),"",MIN(100,MAX(0,(Parametros!$B$3-D132)/(E132-D132)*100)))</f>
        <v>64.5604395604396</v>
      </c>
      <c r="H132" s="12" t="n">
        <f aca="false">IF(G132="","",G132-F132)</f>
        <v>-35.4395604395604</v>
      </c>
      <c r="I132" s="13" t="str">
        <f aca="false">IF(K132="Finalizado","Verde",IF(G132="","Amarillo",IF(H132&lt;=Parametros!$B$4,"Verde",IF(H132&lt;=Parametros!$B$5,"Amarillo","Rojo"))))</f>
        <v>Verde</v>
      </c>
      <c r="J132" s="14" t="str">
        <f aca="false">IF(K132="Finalizado","Completado",IF(G132="","Sin fecha válida - revisar plazos",IF(H132&lt;=Parametros!$B$4,"En tiempo, según lo planificado",IF(H132&lt;=Parametros!$B$5,"Atraso leve - seguimiento cercano ("&amp;TEXT(H132,"0.0")&amp;" p.p.)","Atraso crítico - requiere intervención ("&amp;TEXT(H132,"0.0")&amp;" p.p.)"))))</f>
        <v>Completado</v>
      </c>
      <c r="K132" s="7" t="s">
        <v>38</v>
      </c>
      <c r="L132" s="7" t="s">
        <v>242</v>
      </c>
      <c r="M132" s="7" t="s">
        <v>221</v>
      </c>
      <c r="N132" s="7" t="s">
        <v>51</v>
      </c>
      <c r="O132" s="13" t="n">
        <f aca="false">IF(AND(E132&lt;&gt;"",YEAR(E132)=YEAR(Parametros!$B$3),MONTH(E132)&gt;=10),1,0)</f>
        <v>1</v>
      </c>
      <c r="P132" s="13" t="n">
        <f aca="false">IF(AND(E132&lt;Parametros!$B$3,K132&lt;&gt;"Finalizado"),1,0)</f>
        <v>0</v>
      </c>
      <c r="Q132" s="13" t="n">
        <f aca="false">IF(AND(E132&gt;=Parametros!$B$3,E132&lt;=Parametros!$B$3+30,K132&lt;&gt;"Finalizado"),1,0)</f>
        <v>0</v>
      </c>
    </row>
    <row r="133" customFormat="false" ht="15" hidden="false" customHeight="false" outlineLevel="0" collapsed="false">
      <c r="A133" s="7" t="s">
        <v>239</v>
      </c>
      <c r="B133" s="7" t="s">
        <v>240</v>
      </c>
      <c r="C133" s="7" t="s">
        <v>245</v>
      </c>
      <c r="D133" s="9" t="n">
        <v>46023</v>
      </c>
      <c r="E133" s="9" t="n">
        <v>46387</v>
      </c>
      <c r="F133" s="10" t="n">
        <v>0</v>
      </c>
      <c r="G133" s="11" t="n">
        <f aca="false">IF(OR(D133="",E133="",E133&lt;=D133),"",MIN(100,MAX(0,(Parametros!$B$3-D133)/(E133-D133)*100)))</f>
        <v>64.5604395604396</v>
      </c>
      <c r="H133" s="12" t="n">
        <f aca="false">IF(G133="","",G133-F133)</f>
        <v>64.5604395604396</v>
      </c>
      <c r="I133" s="13" t="str">
        <f aca="false">IF(K133="Finalizado","Verde",IF(G133="","Amarillo",IF(H133&lt;=Parametros!$B$4,"Verde",IF(H133&lt;=Parametros!$B$5,"Amarillo","Rojo"))))</f>
        <v>Rojo</v>
      </c>
      <c r="J133" s="14" t="str">
        <f aca="false">IF(K133="Finalizado","Completado",IF(G133="","Sin fecha válida - revisar plazos",IF(H133&lt;=Parametros!$B$4,"En tiempo, según lo planificado",IF(H133&lt;=Parametros!$B$5,"Atraso leve - seguimiento cercano ("&amp;TEXT(H133,"0.0")&amp;" p.p.)","Atraso crítico - requiere intervención ("&amp;TEXT(H133,"0.0")&amp;" p.p.)"))))</f>
        <v>Atraso crítico - requiere intervención (64.6 p.p.)</v>
      </c>
      <c r="K133" s="7" t="s">
        <v>27</v>
      </c>
      <c r="L133" s="7" t="s">
        <v>246</v>
      </c>
      <c r="M133" s="7" t="s">
        <v>221</v>
      </c>
      <c r="N133" s="7" t="s">
        <v>51</v>
      </c>
      <c r="O133" s="13" t="n">
        <f aca="false">IF(AND(E133&lt;&gt;"",YEAR(E133)=YEAR(Parametros!$B$3),MONTH(E133)&gt;=10),1,0)</f>
        <v>1</v>
      </c>
      <c r="P133" s="13" t="n">
        <f aca="false">IF(AND(E133&lt;Parametros!$B$3,K133&lt;&gt;"Finalizado"),1,0)</f>
        <v>0</v>
      </c>
      <c r="Q133" s="13" t="n">
        <f aca="false">IF(AND(E133&gt;=Parametros!$B$3,E133&lt;=Parametros!$B$3+30,K133&lt;&gt;"Finalizado"),1,0)</f>
        <v>0</v>
      </c>
    </row>
    <row r="134" customFormat="false" ht="15" hidden="false" customHeight="false" outlineLevel="0" collapsed="false">
      <c r="A134" s="7" t="s">
        <v>247</v>
      </c>
      <c r="B134" s="7" t="s">
        <v>248</v>
      </c>
      <c r="C134" s="8" t="s">
        <v>249</v>
      </c>
      <c r="D134" s="9" t="n">
        <v>46113</v>
      </c>
      <c r="E134" s="9" t="n">
        <v>46149</v>
      </c>
      <c r="F134" s="10" t="n">
        <v>100</v>
      </c>
      <c r="G134" s="11" t="n">
        <f aca="false">IF(OR(D134="",E134="",E134&lt;=D134),"",MIN(100,MAX(0,(Parametros!$B$3-D134)/(E134-D134)*100)))</f>
        <v>100</v>
      </c>
      <c r="H134" s="12" t="n">
        <f aca="false">IF(G134="","",G134-F134)</f>
        <v>0</v>
      </c>
      <c r="I134" s="13" t="str">
        <f aca="false">IF(K134="Finalizado","Verde",IF(G134="","Amarillo",IF(H134&lt;=Parametros!$B$4,"Verde",IF(H134&lt;=Parametros!$B$5,"Amarillo","Rojo"))))</f>
        <v>Verde</v>
      </c>
      <c r="J134" s="14" t="str">
        <f aca="false">IF(K134="Finalizado","Completado",IF(G134="","Sin fecha válida - revisar plazos",IF(H134&lt;=Parametros!$B$4,"En tiempo, según lo planificado",IF(H134&lt;=Parametros!$B$5,"Atraso leve - seguimiento cercano ("&amp;TEXT(H134,"0.0")&amp;" p.p.)","Atraso crítico - requiere intervención ("&amp;TEXT(H134,"0.0")&amp;" p.p.)"))))</f>
        <v>Completado</v>
      </c>
      <c r="K134" s="7" t="s">
        <v>38</v>
      </c>
      <c r="L134" s="7" t="s">
        <v>250</v>
      </c>
      <c r="M134" s="7" t="s">
        <v>221</v>
      </c>
      <c r="N134" s="7" t="s">
        <v>51</v>
      </c>
      <c r="O134" s="13" t="n">
        <f aca="false">IF(AND(E134&lt;&gt;"",YEAR(E134)=YEAR(Parametros!$B$3),MONTH(E134)&gt;=10),1,0)</f>
        <v>0</v>
      </c>
      <c r="P134" s="13" t="n">
        <f aca="false">IF(AND(E134&lt;Parametros!$B$3,K134&lt;&gt;"Finalizado"),1,0)</f>
        <v>0</v>
      </c>
      <c r="Q134" s="13" t="n">
        <f aca="false">IF(AND(E134&gt;=Parametros!$B$3,E134&lt;=Parametros!$B$3+30,K134&lt;&gt;"Finalizado"),1,0)</f>
        <v>0</v>
      </c>
    </row>
    <row r="135" customFormat="false" ht="15" hidden="false" customHeight="false" outlineLevel="0" collapsed="false">
      <c r="A135" s="7" t="s">
        <v>247</v>
      </c>
      <c r="B135" s="7" t="s">
        <v>248</v>
      </c>
      <c r="C135" s="8" t="s">
        <v>251</v>
      </c>
      <c r="D135" s="9" t="n">
        <v>46113</v>
      </c>
      <c r="E135" s="9" t="n">
        <v>46204</v>
      </c>
      <c r="F135" s="10" t="n">
        <v>100</v>
      </c>
      <c r="G135" s="11" t="n">
        <f aca="false">IF(OR(D135="",E135="",E135&lt;=D135),"",MIN(100,MAX(0,(Parametros!$B$3-D135)/(E135-D135)*100)))</f>
        <v>100</v>
      </c>
      <c r="H135" s="12" t="n">
        <f aca="false">IF(G135="","",G135-F135)</f>
        <v>0</v>
      </c>
      <c r="I135" s="13" t="str">
        <f aca="false">IF(K135="Finalizado","Verde",IF(G135="","Amarillo",IF(H135&lt;=Parametros!$B$4,"Verde",IF(H135&lt;=Parametros!$B$5,"Amarillo","Rojo"))))</f>
        <v>Verde</v>
      </c>
      <c r="J135" s="14" t="str">
        <f aca="false">IF(K135="Finalizado","Completado",IF(G135="","Sin fecha válida - revisar plazos",IF(H135&lt;=Parametros!$B$4,"En tiempo, según lo planificado",IF(H135&lt;=Parametros!$B$5,"Atraso leve - seguimiento cercano ("&amp;TEXT(H135,"0.0")&amp;" p.p.)","Atraso crítico - requiere intervención ("&amp;TEXT(H135,"0.0")&amp;" p.p.)"))))</f>
        <v>Completado</v>
      </c>
      <c r="K135" s="7" t="s">
        <v>38</v>
      </c>
      <c r="L135" s="7"/>
      <c r="M135" s="7" t="s">
        <v>221</v>
      </c>
      <c r="N135" s="7" t="s">
        <v>51</v>
      </c>
      <c r="O135" s="13" t="n">
        <f aca="false">IF(AND(E135&lt;&gt;"",YEAR(E135)=YEAR(Parametros!$B$3),MONTH(E135)&gt;=10),1,0)</f>
        <v>0</v>
      </c>
      <c r="P135" s="13" t="n">
        <f aca="false">IF(AND(E135&lt;Parametros!$B$3,K135&lt;&gt;"Finalizado"),1,0)</f>
        <v>0</v>
      </c>
      <c r="Q135" s="13" t="n">
        <f aca="false">IF(AND(E135&gt;=Parametros!$B$3,E135&lt;=Parametros!$B$3+30,K135&lt;&gt;"Finalizado"),1,0)</f>
        <v>0</v>
      </c>
    </row>
    <row r="136" customFormat="false" ht="15" hidden="false" customHeight="false" outlineLevel="0" collapsed="false">
      <c r="A136" s="7" t="s">
        <v>247</v>
      </c>
      <c r="B136" s="7" t="s">
        <v>248</v>
      </c>
      <c r="C136" s="8" t="s">
        <v>252</v>
      </c>
      <c r="D136" s="9" t="n">
        <v>46113</v>
      </c>
      <c r="E136" s="9" t="n">
        <v>46234</v>
      </c>
      <c r="F136" s="10" t="n">
        <v>100</v>
      </c>
      <c r="G136" s="11" t="n">
        <f aca="false">IF(OR(D136="",E136="",E136&lt;=D136),"",MIN(100,MAX(0,(Parametros!$B$3-D136)/(E136-D136)*100)))</f>
        <v>100</v>
      </c>
      <c r="H136" s="12" t="n">
        <f aca="false">IF(G136="","",G136-F136)</f>
        <v>0</v>
      </c>
      <c r="I136" s="13" t="str">
        <f aca="false">IF(K136="Finalizado","Verde",IF(G136="","Amarillo",IF(H136&lt;=Parametros!$B$4,"Verde",IF(H136&lt;=Parametros!$B$5,"Amarillo","Rojo"))))</f>
        <v>Verde</v>
      </c>
      <c r="J136" s="14" t="str">
        <f aca="false">IF(K136="Finalizado","Completado",IF(G136="","Sin fecha válida - revisar plazos",IF(H136&lt;=Parametros!$B$4,"En tiempo, según lo planificado",IF(H136&lt;=Parametros!$B$5,"Atraso leve - seguimiento cercano ("&amp;TEXT(H136,"0.0")&amp;" p.p.)","Atraso crítico - requiere intervención ("&amp;TEXT(H136,"0.0")&amp;" p.p.)"))))</f>
        <v>Completado</v>
      </c>
      <c r="K136" s="7" t="s">
        <v>38</v>
      </c>
      <c r="L136" s="7"/>
      <c r="M136" s="7" t="s">
        <v>221</v>
      </c>
      <c r="N136" s="7" t="s">
        <v>51</v>
      </c>
      <c r="O136" s="13" t="n">
        <f aca="false">IF(AND(E136&lt;&gt;"",YEAR(E136)=YEAR(Parametros!$B$3),MONTH(E136)&gt;=10),1,0)</f>
        <v>0</v>
      </c>
      <c r="P136" s="13" t="n">
        <f aca="false">IF(AND(E136&lt;Parametros!$B$3,K136&lt;&gt;"Finalizado"),1,0)</f>
        <v>0</v>
      </c>
      <c r="Q136" s="13" t="n">
        <f aca="false">IF(AND(E136&gt;=Parametros!$B$3,E136&lt;=Parametros!$B$3+30,K136&lt;&gt;"Finalizado"),1,0)</f>
        <v>0</v>
      </c>
    </row>
    <row r="137" customFormat="false" ht="15" hidden="false" customHeight="false" outlineLevel="0" collapsed="false">
      <c r="A137" s="7" t="s">
        <v>247</v>
      </c>
      <c r="B137" s="7" t="s">
        <v>248</v>
      </c>
      <c r="C137" s="7" t="s">
        <v>253</v>
      </c>
      <c r="D137" s="9" t="n">
        <v>46235</v>
      </c>
      <c r="E137" s="9" t="n">
        <v>46356</v>
      </c>
      <c r="F137" s="10" t="n">
        <v>0</v>
      </c>
      <c r="G137" s="11" t="n">
        <f aca="false">IF(OR(D137="",E137="",E137&lt;=D137),"",MIN(100,MAX(0,(Parametros!$B$3-D137)/(E137-D137)*100)))</f>
        <v>19.0082644628099</v>
      </c>
      <c r="H137" s="12" t="n">
        <f aca="false">IF(G137="","",G137-F137)</f>
        <v>19.0082644628099</v>
      </c>
      <c r="I137" s="13" t="str">
        <f aca="false">IF(K137="Finalizado","Verde",IF(G137="","Amarillo",IF(H137&lt;=Parametros!$B$4,"Verde",IF(H137&lt;=Parametros!$B$5,"Amarillo","Rojo"))))</f>
        <v>Amarillo</v>
      </c>
      <c r="J137" s="14" t="str">
        <f aca="false">IF(K137="Finalizado","Completado",IF(G137="","Sin fecha válida - revisar plazos",IF(H137&lt;=Parametros!$B$4,"En tiempo, según lo planificado",IF(H137&lt;=Parametros!$B$5,"Atraso leve - seguimiento cercano ("&amp;TEXT(H137,"0.0")&amp;" p.p.)","Atraso crítico - requiere intervención ("&amp;TEXT(H137,"0.0")&amp;" p.p.)"))))</f>
        <v>Atraso leve - seguimiento cercano (19.0 p.p.)</v>
      </c>
      <c r="K137" s="7" t="s">
        <v>100</v>
      </c>
      <c r="L137" s="7"/>
      <c r="M137" s="7" t="s">
        <v>221</v>
      </c>
      <c r="N137" s="7" t="s">
        <v>51</v>
      </c>
      <c r="O137" s="13" t="n">
        <f aca="false">IF(AND(E137&lt;&gt;"",YEAR(E137)=YEAR(Parametros!$B$3),MONTH(E137)&gt;=10),1,0)</f>
        <v>1</v>
      </c>
      <c r="P137" s="13" t="n">
        <f aca="false">IF(AND(E137&lt;Parametros!$B$3,K137&lt;&gt;"Finalizado"),1,0)</f>
        <v>0</v>
      </c>
      <c r="Q137" s="13" t="n">
        <f aca="false">IF(AND(E137&gt;=Parametros!$B$3,E137&lt;=Parametros!$B$3+30,K137&lt;&gt;"Finalizado"),1,0)</f>
        <v>0</v>
      </c>
    </row>
    <row r="138" customFormat="false" ht="15" hidden="false" customHeight="false" outlineLevel="0" collapsed="false">
      <c r="A138" s="7" t="s">
        <v>254</v>
      </c>
      <c r="B138" s="7" t="s">
        <v>255</v>
      </c>
      <c r="C138" s="7" t="s">
        <v>256</v>
      </c>
      <c r="D138" s="9" t="n">
        <v>46027</v>
      </c>
      <c r="E138" s="9" t="n">
        <v>46387</v>
      </c>
      <c r="F138" s="10" t="n">
        <v>55</v>
      </c>
      <c r="G138" s="11" t="n">
        <f aca="false">IF(OR(D138="",E138="",E138&lt;=D138),"",MIN(100,MAX(0,(Parametros!$B$3-D138)/(E138-D138)*100)))</f>
        <v>64.1666666666667</v>
      </c>
      <c r="H138" s="12" t="n">
        <f aca="false">IF(G138="","",G138-F138)</f>
        <v>9.16666666666667</v>
      </c>
      <c r="I138" s="13" t="str">
        <f aca="false">IF(K138="Finalizado","Verde",IF(G138="","Amarillo",IF(H138&lt;=Parametros!$B$4,"Verde",IF(H138&lt;=Parametros!$B$5,"Amarillo","Rojo"))))</f>
        <v>Amarillo</v>
      </c>
      <c r="J138" s="14" t="str">
        <f aca="false">IF(K138="Finalizado","Completado",IF(G138="","Sin fecha válida - revisar plazos",IF(H138&lt;=Parametros!$B$4,"En tiempo, según lo planificado",IF(H138&lt;=Parametros!$B$5,"Atraso leve - seguimiento cercano ("&amp;TEXT(H138,"0.0")&amp;" p.p.)","Atraso crítico - requiere intervención ("&amp;TEXT(H138,"0.0")&amp;" p.p.)"))))</f>
        <v>Atraso leve - seguimiento cercano (9.2 p.p.)</v>
      </c>
      <c r="K138" s="7" t="s">
        <v>27</v>
      </c>
      <c r="L138" s="7"/>
      <c r="M138" s="7" t="s">
        <v>221</v>
      </c>
      <c r="N138" s="7" t="s">
        <v>51</v>
      </c>
      <c r="O138" s="13" t="n">
        <f aca="false">IF(AND(E138&lt;&gt;"",YEAR(E138)=YEAR(Parametros!$B$3),MONTH(E138)&gt;=10),1,0)</f>
        <v>1</v>
      </c>
      <c r="P138" s="13" t="n">
        <f aca="false">IF(AND(E138&lt;Parametros!$B$3,K138&lt;&gt;"Finalizado"),1,0)</f>
        <v>0</v>
      </c>
      <c r="Q138" s="13" t="n">
        <f aca="false">IF(AND(E138&gt;=Parametros!$B$3,E138&lt;=Parametros!$B$3+30,K138&lt;&gt;"Finalizado"),1,0)</f>
        <v>0</v>
      </c>
    </row>
    <row r="139" customFormat="false" ht="15" hidden="false" customHeight="false" outlineLevel="0" collapsed="false">
      <c r="A139" s="7" t="s">
        <v>254</v>
      </c>
      <c r="B139" s="7" t="s">
        <v>255</v>
      </c>
      <c r="C139" s="7" t="s">
        <v>257</v>
      </c>
      <c r="D139" s="9" t="n">
        <v>46023</v>
      </c>
      <c r="E139" s="9" t="n">
        <v>46326</v>
      </c>
      <c r="F139" s="10" t="n">
        <v>80</v>
      </c>
      <c r="G139" s="11" t="n">
        <f aca="false">IF(OR(D139="",E139="",E139&lt;=D139),"",MIN(100,MAX(0,(Parametros!$B$3-D139)/(E139-D139)*100)))</f>
        <v>77.5577557755776</v>
      </c>
      <c r="H139" s="12" t="n">
        <f aca="false">IF(G139="","",G139-F139)</f>
        <v>-2.44224422442245</v>
      </c>
      <c r="I139" s="13" t="str">
        <f aca="false">IF(K139="Finalizado","Verde",IF(G139="","Amarillo",IF(H139&lt;=Parametros!$B$4,"Verde",IF(H139&lt;=Parametros!$B$5,"Amarillo","Rojo"))))</f>
        <v>Verde</v>
      </c>
      <c r="J139" s="14" t="str">
        <f aca="false">IF(K139="Finalizado","Completado",IF(G139="","Sin fecha válida - revisar plazos",IF(H139&lt;=Parametros!$B$4,"En tiempo, según lo planificado",IF(H139&lt;=Parametros!$B$5,"Atraso leve - seguimiento cercano ("&amp;TEXT(H139,"0.0")&amp;" p.p.)","Atraso crítico - requiere intervención ("&amp;TEXT(H139,"0.0")&amp;" p.p.)"))))</f>
        <v>En tiempo, según lo planificado</v>
      </c>
      <c r="K139" s="7" t="s">
        <v>27</v>
      </c>
      <c r="L139" s="7"/>
      <c r="M139" s="7" t="s">
        <v>221</v>
      </c>
      <c r="N139" s="7" t="s">
        <v>51</v>
      </c>
      <c r="O139" s="13" t="n">
        <f aca="false">IF(AND(E139&lt;&gt;"",YEAR(E139)=YEAR(Parametros!$B$3),MONTH(E139)&gt;=10),1,0)</f>
        <v>1</v>
      </c>
      <c r="P139" s="13" t="n">
        <f aca="false">IF(AND(E139&lt;Parametros!$B$3,K139&lt;&gt;"Finalizado"),1,0)</f>
        <v>0</v>
      </c>
      <c r="Q139" s="13" t="n">
        <f aca="false">IF(AND(E139&gt;=Parametros!$B$3,E139&lt;=Parametros!$B$3+30,K139&lt;&gt;"Finalizado"),1,0)</f>
        <v>0</v>
      </c>
    </row>
    <row r="140" customFormat="false" ht="15" hidden="false" customHeight="false" outlineLevel="0" collapsed="false">
      <c r="A140" s="7" t="s">
        <v>254</v>
      </c>
      <c r="B140" s="7" t="s">
        <v>255</v>
      </c>
      <c r="C140" s="7" t="s">
        <v>258</v>
      </c>
      <c r="D140" s="9" t="n">
        <v>46113</v>
      </c>
      <c r="E140" s="9" t="n">
        <v>46507</v>
      </c>
      <c r="F140" s="10" t="n">
        <v>31</v>
      </c>
      <c r="G140" s="11" t="n">
        <f aca="false">IF(OR(D140="",E140="",E140&lt;=D140),"",MIN(100,MAX(0,(Parametros!$B$3-D140)/(E140-D140)*100)))</f>
        <v>36.8020304568528</v>
      </c>
      <c r="H140" s="12" t="n">
        <f aca="false">IF(G140="","",G140-F140)</f>
        <v>5.80203045685279</v>
      </c>
      <c r="I140" s="13" t="str">
        <f aca="false">IF(K140="Finalizado","Verde",IF(G140="","Amarillo",IF(H140&lt;=Parametros!$B$4,"Verde",IF(H140&lt;=Parametros!$B$5,"Amarillo","Rojo"))))</f>
        <v>Amarillo</v>
      </c>
      <c r="J140" s="14" t="str">
        <f aca="false">IF(K140="Finalizado","Completado",IF(G140="","Sin fecha válida - revisar plazos",IF(H140&lt;=Parametros!$B$4,"En tiempo, según lo planificado",IF(H140&lt;=Parametros!$B$5,"Atraso leve - seguimiento cercano ("&amp;TEXT(H140,"0.0")&amp;" p.p.)","Atraso crítico - requiere intervención ("&amp;TEXT(H140,"0.0")&amp;" p.p.)"))))</f>
        <v>Atraso leve - seguimiento cercano (5.8 p.p.)</v>
      </c>
      <c r="K140" s="7" t="s">
        <v>27</v>
      </c>
      <c r="L140" s="7" t="s">
        <v>259</v>
      </c>
      <c r="M140" s="7" t="s">
        <v>221</v>
      </c>
      <c r="N140" s="7" t="s">
        <v>51</v>
      </c>
      <c r="O140" s="13" t="n">
        <f aca="false">IF(AND(E140&lt;&gt;"",YEAR(E140)=YEAR(Parametros!$B$3),MONTH(E140)&gt;=10),1,0)</f>
        <v>0</v>
      </c>
      <c r="P140" s="13" t="n">
        <f aca="false">IF(AND(E140&lt;Parametros!$B$3,K140&lt;&gt;"Finalizado"),1,0)</f>
        <v>0</v>
      </c>
      <c r="Q140" s="13" t="n">
        <f aca="false">IF(AND(E140&gt;=Parametros!$B$3,E140&lt;=Parametros!$B$3+30,K140&lt;&gt;"Finalizado"),1,0)</f>
        <v>0</v>
      </c>
    </row>
    <row r="141" customFormat="false" ht="15" hidden="false" customHeight="false" outlineLevel="0" collapsed="false">
      <c r="A141" s="7" t="s">
        <v>254</v>
      </c>
      <c r="B141" s="7" t="s">
        <v>255</v>
      </c>
      <c r="C141" s="7" t="s">
        <v>260</v>
      </c>
      <c r="D141" s="9" t="n">
        <v>46113</v>
      </c>
      <c r="E141" s="9" t="n">
        <v>46356</v>
      </c>
      <c r="F141" s="10" t="n">
        <v>40</v>
      </c>
      <c r="G141" s="11" t="n">
        <f aca="false">IF(OR(D141="",E141="",E141&lt;=D141),"",MIN(100,MAX(0,(Parametros!$B$3-D141)/(E141-D141)*100)))</f>
        <v>59.6707818930041</v>
      </c>
      <c r="H141" s="12" t="n">
        <f aca="false">IF(G141="","",G141-F141)</f>
        <v>19.6707818930041</v>
      </c>
      <c r="I141" s="13" t="str">
        <f aca="false">IF(K141="Finalizado","Verde",IF(G141="","Amarillo",IF(H141&lt;=Parametros!$B$4,"Verde",IF(H141&lt;=Parametros!$B$5,"Amarillo","Rojo"))))</f>
        <v>Amarillo</v>
      </c>
      <c r="J141" s="14" t="str">
        <f aca="false">IF(K141="Finalizado","Completado",IF(G141="","Sin fecha válida - revisar plazos",IF(H141&lt;=Parametros!$B$4,"En tiempo, según lo planificado",IF(H141&lt;=Parametros!$B$5,"Atraso leve - seguimiento cercano ("&amp;TEXT(H141,"0.0")&amp;" p.p.)","Atraso crítico - requiere intervención ("&amp;TEXT(H141,"0.0")&amp;" p.p.)"))))</f>
        <v>Atraso leve - seguimiento cercano (19.7 p.p.)</v>
      </c>
      <c r="K141" s="7" t="s">
        <v>27</v>
      </c>
      <c r="L141" s="7"/>
      <c r="M141" s="7" t="s">
        <v>221</v>
      </c>
      <c r="N141" s="7" t="s">
        <v>51</v>
      </c>
      <c r="O141" s="13" t="n">
        <f aca="false">IF(AND(E141&lt;&gt;"",YEAR(E141)=YEAR(Parametros!$B$3),MONTH(E141)&gt;=10),1,0)</f>
        <v>1</v>
      </c>
      <c r="P141" s="13" t="n">
        <f aca="false">IF(AND(E141&lt;Parametros!$B$3,K141&lt;&gt;"Finalizado"),1,0)</f>
        <v>0</v>
      </c>
      <c r="Q141" s="13" t="n">
        <f aca="false">IF(AND(E141&gt;=Parametros!$B$3,E141&lt;=Parametros!$B$3+30,K141&lt;&gt;"Finalizado"),1,0)</f>
        <v>0</v>
      </c>
    </row>
    <row r="142" customFormat="false" ht="15" hidden="false" customHeight="false" outlineLevel="0" collapsed="false">
      <c r="A142" s="7" t="s">
        <v>254</v>
      </c>
      <c r="B142" s="7" t="s">
        <v>255</v>
      </c>
      <c r="C142" s="7" t="s">
        <v>261</v>
      </c>
      <c r="D142" s="9" t="n">
        <v>46113</v>
      </c>
      <c r="E142" s="9" t="n">
        <v>46325</v>
      </c>
      <c r="F142" s="10" t="n">
        <v>55</v>
      </c>
      <c r="G142" s="11" t="n">
        <f aca="false">IF(OR(D142="",E142="",E142&lt;=D142),"",MIN(100,MAX(0,(Parametros!$B$3-D142)/(E142-D142)*100)))</f>
        <v>68.3962264150944</v>
      </c>
      <c r="H142" s="12" t="n">
        <f aca="false">IF(G142="","",G142-F142)</f>
        <v>13.3962264150943</v>
      </c>
      <c r="I142" s="13" t="str">
        <f aca="false">IF(K142="Finalizado","Verde",IF(G142="","Amarillo",IF(H142&lt;=Parametros!$B$4,"Verde",IF(H142&lt;=Parametros!$B$5,"Amarillo","Rojo"))))</f>
        <v>Amarillo</v>
      </c>
      <c r="J142" s="14" t="str">
        <f aca="false">IF(K142="Finalizado","Completado",IF(G142="","Sin fecha válida - revisar plazos",IF(H142&lt;=Parametros!$B$4,"En tiempo, según lo planificado",IF(H142&lt;=Parametros!$B$5,"Atraso leve - seguimiento cercano ("&amp;TEXT(H142,"0.0")&amp;" p.p.)","Atraso crítico - requiere intervención ("&amp;TEXT(H142,"0.0")&amp;" p.p.)"))))</f>
        <v>Atraso leve - seguimiento cercano (13.4 p.p.)</v>
      </c>
      <c r="K142" s="7" t="s">
        <v>27</v>
      </c>
      <c r="L142" s="7"/>
      <c r="M142" s="7" t="s">
        <v>221</v>
      </c>
      <c r="N142" s="7" t="s">
        <v>51</v>
      </c>
      <c r="O142" s="13" t="n">
        <f aca="false">IF(AND(E142&lt;&gt;"",YEAR(E142)=YEAR(Parametros!$B$3),MONTH(E142)&gt;=10),1,0)</f>
        <v>1</v>
      </c>
      <c r="P142" s="13" t="n">
        <f aca="false">IF(AND(E142&lt;Parametros!$B$3,K142&lt;&gt;"Finalizado"),1,0)</f>
        <v>0</v>
      </c>
      <c r="Q142" s="13" t="n">
        <f aca="false">IF(AND(E142&gt;=Parametros!$B$3,E142&lt;=Parametros!$B$3+30,K142&lt;&gt;"Finalizado"),1,0)</f>
        <v>0</v>
      </c>
    </row>
    <row r="143" customFormat="false" ht="15" hidden="false" customHeight="false" outlineLevel="0" collapsed="false">
      <c r="A143" s="7" t="s">
        <v>254</v>
      </c>
      <c r="B143" s="7" t="s">
        <v>255</v>
      </c>
      <c r="C143" s="7" t="s">
        <v>262</v>
      </c>
      <c r="D143" s="9" t="n">
        <v>46027</v>
      </c>
      <c r="E143" s="9" t="n">
        <v>46387</v>
      </c>
      <c r="F143" s="10" t="n">
        <v>45</v>
      </c>
      <c r="G143" s="11" t="n">
        <f aca="false">IF(OR(D143="",E143="",E143&lt;=D143),"",MIN(100,MAX(0,(Parametros!$B$3-D143)/(E143-D143)*100)))</f>
        <v>64.1666666666667</v>
      </c>
      <c r="H143" s="12" t="n">
        <f aca="false">IF(G143="","",G143-F143)</f>
        <v>19.1666666666667</v>
      </c>
      <c r="I143" s="13" t="str">
        <f aca="false">IF(K143="Finalizado","Verde",IF(G143="","Amarillo",IF(H143&lt;=Parametros!$B$4,"Verde",IF(H143&lt;=Parametros!$B$5,"Amarillo","Rojo"))))</f>
        <v>Amarillo</v>
      </c>
      <c r="J143" s="14" t="str">
        <f aca="false">IF(K143="Finalizado","Completado",IF(G143="","Sin fecha válida - revisar plazos",IF(H143&lt;=Parametros!$B$4,"En tiempo, según lo planificado",IF(H143&lt;=Parametros!$B$5,"Atraso leve - seguimiento cercano ("&amp;TEXT(H143,"0.0")&amp;" p.p.)","Atraso crítico - requiere intervención ("&amp;TEXT(H143,"0.0")&amp;" p.p.)"))))</f>
        <v>Atraso leve - seguimiento cercano (19.2 p.p.)</v>
      </c>
      <c r="K143" s="7" t="s">
        <v>27</v>
      </c>
      <c r="L143" s="7"/>
      <c r="M143" s="7" t="s">
        <v>221</v>
      </c>
      <c r="N143" s="7" t="s">
        <v>51</v>
      </c>
      <c r="O143" s="13" t="n">
        <f aca="false">IF(AND(E143&lt;&gt;"",YEAR(E143)=YEAR(Parametros!$B$3),MONTH(E143)&gt;=10),1,0)</f>
        <v>1</v>
      </c>
      <c r="P143" s="13" t="n">
        <f aca="false">IF(AND(E143&lt;Parametros!$B$3,K143&lt;&gt;"Finalizado"),1,0)</f>
        <v>0</v>
      </c>
      <c r="Q143" s="13" t="n">
        <f aca="false">IF(AND(E143&gt;=Parametros!$B$3,E143&lt;=Parametros!$B$3+30,K143&lt;&gt;"Finalizado"),1,0)</f>
        <v>0</v>
      </c>
    </row>
    <row r="144" customFormat="false" ht="15" hidden="false" customHeight="false" outlineLevel="0" collapsed="false">
      <c r="A144" s="7" t="s">
        <v>254</v>
      </c>
      <c r="B144" s="7" t="s">
        <v>255</v>
      </c>
      <c r="C144" s="7" t="s">
        <v>263</v>
      </c>
      <c r="D144" s="9" t="n">
        <v>46027</v>
      </c>
      <c r="E144" s="9" t="n">
        <v>46356</v>
      </c>
      <c r="F144" s="10" t="n">
        <v>65</v>
      </c>
      <c r="G144" s="11" t="n">
        <f aca="false">IF(OR(D144="",E144="",E144&lt;=D144),"",MIN(100,MAX(0,(Parametros!$B$3-D144)/(E144-D144)*100)))</f>
        <v>70.2127659574468</v>
      </c>
      <c r="H144" s="12" t="n">
        <f aca="false">IF(G144="","",G144-F144)</f>
        <v>5.21276595744681</v>
      </c>
      <c r="I144" s="13" t="str">
        <f aca="false">IF(K144="Finalizado","Verde",IF(G144="","Amarillo",IF(H144&lt;=Parametros!$B$4,"Verde",IF(H144&lt;=Parametros!$B$5,"Amarillo","Rojo"))))</f>
        <v>Amarillo</v>
      </c>
      <c r="J144" s="14" t="str">
        <f aca="false">IF(K144="Finalizado","Completado",IF(G144="","Sin fecha válida - revisar plazos",IF(H144&lt;=Parametros!$B$4,"En tiempo, según lo planificado",IF(H144&lt;=Parametros!$B$5,"Atraso leve - seguimiento cercano ("&amp;TEXT(H144,"0.0")&amp;" p.p.)","Atraso crítico - requiere intervención ("&amp;TEXT(H144,"0.0")&amp;" p.p.)"))))</f>
        <v>Atraso leve - seguimiento cercano (5.2 p.p.)</v>
      </c>
      <c r="K144" s="7" t="s">
        <v>27</v>
      </c>
      <c r="L144" s="7"/>
      <c r="M144" s="7" t="s">
        <v>221</v>
      </c>
      <c r="N144" s="7" t="s">
        <v>51</v>
      </c>
      <c r="O144" s="13" t="n">
        <f aca="false">IF(AND(E144&lt;&gt;"",YEAR(E144)=YEAR(Parametros!$B$3),MONTH(E144)&gt;=10),1,0)</f>
        <v>1</v>
      </c>
      <c r="P144" s="13" t="n">
        <f aca="false">IF(AND(E144&lt;Parametros!$B$3,K144&lt;&gt;"Finalizado"),1,0)</f>
        <v>0</v>
      </c>
      <c r="Q144" s="13" t="n">
        <f aca="false">IF(AND(E144&gt;=Parametros!$B$3,E144&lt;=Parametros!$B$3+30,K144&lt;&gt;"Finalizado"),1,0)</f>
        <v>0</v>
      </c>
    </row>
    <row r="145" customFormat="false" ht="15" hidden="false" customHeight="false" outlineLevel="0" collapsed="false">
      <c r="A145" s="7" t="s">
        <v>254</v>
      </c>
      <c r="B145" s="7" t="s">
        <v>255</v>
      </c>
      <c r="C145" s="7" t="s">
        <v>264</v>
      </c>
      <c r="D145" s="9" t="n">
        <v>46174</v>
      </c>
      <c r="E145" s="9" t="n">
        <v>46295</v>
      </c>
      <c r="F145" s="10" t="n">
        <v>40</v>
      </c>
      <c r="G145" s="11" t="n">
        <f aca="false">IF(OR(D145="",E145="",E145&lt;=D145),"",MIN(100,MAX(0,(Parametros!$B$3-D145)/(E145-D145)*100)))</f>
        <v>69.4214876033058</v>
      </c>
      <c r="H145" s="12" t="n">
        <f aca="false">IF(G145="","",G145-F145)</f>
        <v>29.4214876033058</v>
      </c>
      <c r="I145" s="13" t="str">
        <f aca="false">IF(K145="Finalizado","Verde",IF(G145="","Amarillo",IF(H145&lt;=Parametros!$B$4,"Verde",IF(H145&lt;=Parametros!$B$5,"Amarillo","Rojo"))))</f>
        <v>Rojo</v>
      </c>
      <c r="J145" s="14" t="str">
        <f aca="false">IF(K145="Finalizado","Completado",IF(G145="","Sin fecha válida - revisar plazos",IF(H145&lt;=Parametros!$B$4,"En tiempo, según lo planificado",IF(H145&lt;=Parametros!$B$5,"Atraso leve - seguimiento cercano ("&amp;TEXT(H145,"0.0")&amp;" p.p.)","Atraso crítico - requiere intervención ("&amp;TEXT(H145,"0.0")&amp;" p.p.)"))))</f>
        <v>Atraso crítico - requiere intervención (29.4 p.p.)</v>
      </c>
      <c r="K145" s="7" t="s">
        <v>27</v>
      </c>
      <c r="L145" s="7"/>
      <c r="M145" s="7" t="s">
        <v>221</v>
      </c>
      <c r="N145" s="7" t="s">
        <v>51</v>
      </c>
      <c r="O145" s="13" t="n">
        <f aca="false">IF(AND(E145&lt;&gt;"",YEAR(E145)=YEAR(Parametros!$B$3),MONTH(E145)&gt;=10),1,0)</f>
        <v>0</v>
      </c>
      <c r="P145" s="13" t="n">
        <f aca="false">IF(AND(E145&lt;Parametros!$B$3,K145&lt;&gt;"Finalizado"),1,0)</f>
        <v>0</v>
      </c>
      <c r="Q145" s="13" t="n">
        <f aca="false">IF(AND(E145&gt;=Parametros!$B$3,E145&lt;=Parametros!$B$3+30,K145&lt;&gt;"Finalizado"),1,0)</f>
        <v>0</v>
      </c>
    </row>
    <row r="146" customFormat="false" ht="15" hidden="false" customHeight="false" outlineLevel="0" collapsed="false">
      <c r="A146" s="7" t="s">
        <v>265</v>
      </c>
      <c r="B146" s="7" t="s">
        <v>266</v>
      </c>
      <c r="C146" s="7" t="s">
        <v>267</v>
      </c>
      <c r="D146" s="9" t="n">
        <v>46153</v>
      </c>
      <c r="E146" s="9" t="n">
        <v>46387</v>
      </c>
      <c r="F146" s="10" t="n">
        <v>0</v>
      </c>
      <c r="G146" s="11" t="n">
        <f aca="false">IF(OR(D146="",E146="",E146&lt;=D146),"",MIN(100,MAX(0,(Parametros!$B$3-D146)/(E146-D146)*100)))</f>
        <v>44.8717948717949</v>
      </c>
      <c r="H146" s="12" t="n">
        <f aca="false">IF(G146="","",G146-F146)</f>
        <v>44.8717948717949</v>
      </c>
      <c r="I146" s="13" t="str">
        <f aca="false">IF(K146="Finalizado","Verde",IF(G146="","Amarillo",IF(H146&lt;=Parametros!$B$4,"Verde",IF(H146&lt;=Parametros!$B$5,"Amarillo","Rojo"))))</f>
        <v>Rojo</v>
      </c>
      <c r="J146" s="14" t="str">
        <f aca="false">IF(K146="Finalizado","Completado",IF(G146="","Sin fecha válida - revisar plazos",IF(H146&lt;=Parametros!$B$4,"En tiempo, según lo planificado",IF(H146&lt;=Parametros!$B$5,"Atraso leve - seguimiento cercano ("&amp;TEXT(H146,"0.0")&amp;" p.p.)","Atraso crítico - requiere intervención ("&amp;TEXT(H146,"0.0")&amp;" p.p.)"))))</f>
        <v>Atraso crítico - requiere intervención (44.9 p.p.)</v>
      </c>
      <c r="K146" s="7" t="s">
        <v>100</v>
      </c>
      <c r="L146" s="7" t="s">
        <v>268</v>
      </c>
      <c r="M146" s="7" t="s">
        <v>221</v>
      </c>
      <c r="N146" s="7" t="s">
        <v>51</v>
      </c>
      <c r="O146" s="13" t="n">
        <f aca="false">IF(AND(E146&lt;&gt;"",YEAR(E146)=YEAR(Parametros!$B$3),MONTH(E146)&gt;=10),1,0)</f>
        <v>1</v>
      </c>
      <c r="P146" s="13" t="n">
        <f aca="false">IF(AND(E146&lt;Parametros!$B$3,K146&lt;&gt;"Finalizado"),1,0)</f>
        <v>0</v>
      </c>
      <c r="Q146" s="13" t="n">
        <f aca="false">IF(AND(E146&gt;=Parametros!$B$3,E146&lt;=Parametros!$B$3+30,K146&lt;&gt;"Finalizado"),1,0)</f>
        <v>0</v>
      </c>
    </row>
    <row r="147" customFormat="false" ht="15" hidden="false" customHeight="false" outlineLevel="0" collapsed="false">
      <c r="A147" s="7" t="s">
        <v>265</v>
      </c>
      <c r="B147" s="7" t="s">
        <v>266</v>
      </c>
      <c r="C147" s="7" t="s">
        <v>269</v>
      </c>
      <c r="D147" s="9" t="n">
        <v>46216</v>
      </c>
      <c r="E147" s="9" t="n">
        <v>46387</v>
      </c>
      <c r="F147" s="10" t="n">
        <v>0</v>
      </c>
      <c r="G147" s="11" t="n">
        <f aca="false">IF(OR(D147="",E147="",E147&lt;=D147),"",MIN(100,MAX(0,(Parametros!$B$3-D147)/(E147-D147)*100)))</f>
        <v>24.5614035087719</v>
      </c>
      <c r="H147" s="12" t="n">
        <f aca="false">IF(G147="","",G147-F147)</f>
        <v>24.5614035087719</v>
      </c>
      <c r="I147" s="13" t="str">
        <f aca="false">IF(K147="Finalizado","Verde",IF(G147="","Amarillo",IF(H147&lt;=Parametros!$B$4,"Verde",IF(H147&lt;=Parametros!$B$5,"Amarillo","Rojo"))))</f>
        <v>Rojo</v>
      </c>
      <c r="J147" s="14" t="str">
        <f aca="false">IF(K147="Finalizado","Completado",IF(G147="","Sin fecha válida - revisar plazos",IF(H147&lt;=Parametros!$B$4,"En tiempo, según lo planificado",IF(H147&lt;=Parametros!$B$5,"Atraso leve - seguimiento cercano ("&amp;TEXT(H147,"0.0")&amp;" p.p.)","Atraso crítico - requiere intervención ("&amp;TEXT(H147,"0.0")&amp;" p.p.)"))))</f>
        <v>Atraso crítico - requiere intervención (24.6 p.p.)</v>
      </c>
      <c r="K147" s="7" t="s">
        <v>100</v>
      </c>
      <c r="L147" s="7"/>
      <c r="M147" s="7" t="s">
        <v>221</v>
      </c>
      <c r="N147" s="7" t="s">
        <v>51</v>
      </c>
      <c r="O147" s="13" t="n">
        <f aca="false">IF(AND(E147&lt;&gt;"",YEAR(E147)=YEAR(Parametros!$B$3),MONTH(E147)&gt;=10),1,0)</f>
        <v>1</v>
      </c>
      <c r="P147" s="13" t="n">
        <f aca="false">IF(AND(E147&lt;Parametros!$B$3,K147&lt;&gt;"Finalizado"),1,0)</f>
        <v>0</v>
      </c>
      <c r="Q147" s="13" t="n">
        <f aca="false">IF(AND(E147&gt;=Parametros!$B$3,E147&lt;=Parametros!$B$3+30,K147&lt;&gt;"Finalizado"),1,0)</f>
        <v>0</v>
      </c>
    </row>
    <row r="148" customFormat="false" ht="15" hidden="false" customHeight="false" outlineLevel="0" collapsed="false">
      <c r="A148" s="7" t="s">
        <v>265</v>
      </c>
      <c r="B148" s="7" t="s">
        <v>266</v>
      </c>
      <c r="C148" s="7" t="s">
        <v>270</v>
      </c>
      <c r="D148" s="9" t="n">
        <v>46279</v>
      </c>
      <c r="E148" s="9" t="n">
        <v>46387</v>
      </c>
      <c r="F148" s="10" t="n">
        <v>0</v>
      </c>
      <c r="G148" s="11" t="n">
        <f aca="false">IF(OR(D148="",E148="",E148&lt;=D148),"",MIN(100,MAX(0,(Parametros!$B$3-D148)/(E148-D148)*100)))</f>
        <v>0</v>
      </c>
      <c r="H148" s="12" t="n">
        <f aca="false">IF(G148="","",G148-F148)</f>
        <v>0</v>
      </c>
      <c r="I148" s="13" t="str">
        <f aca="false">IF(K148="Finalizado","Verde",IF(G148="","Amarillo",IF(H148&lt;=Parametros!$B$4,"Verde",IF(H148&lt;=Parametros!$B$5,"Amarillo","Rojo"))))</f>
        <v>Verde</v>
      </c>
      <c r="J148" s="14" t="str">
        <f aca="false">IF(K148="Finalizado","Completado",IF(G148="","Sin fecha válida - revisar plazos",IF(H148&lt;=Parametros!$B$4,"En tiempo, según lo planificado",IF(H148&lt;=Parametros!$B$5,"Atraso leve - seguimiento cercano ("&amp;TEXT(H148,"0.0")&amp;" p.p.)","Atraso crítico - requiere intervención ("&amp;TEXT(H148,"0.0")&amp;" p.p.)"))))</f>
        <v>En tiempo, según lo planificado</v>
      </c>
      <c r="K148" s="7" t="s">
        <v>100</v>
      </c>
      <c r="L148" s="7"/>
      <c r="M148" s="7" t="s">
        <v>221</v>
      </c>
      <c r="N148" s="7" t="s">
        <v>51</v>
      </c>
      <c r="O148" s="13" t="n">
        <f aca="false">IF(AND(E148&lt;&gt;"",YEAR(E148)=YEAR(Parametros!$B$3),MONTH(E148)&gt;=10),1,0)</f>
        <v>1</v>
      </c>
      <c r="P148" s="13" t="n">
        <f aca="false">IF(AND(E148&lt;Parametros!$B$3,K148&lt;&gt;"Finalizado"),1,0)</f>
        <v>0</v>
      </c>
      <c r="Q148" s="13" t="n">
        <f aca="false">IF(AND(E148&gt;=Parametros!$B$3,E148&lt;=Parametros!$B$3+30,K148&lt;&gt;"Finalizado"),1,0)</f>
        <v>0</v>
      </c>
    </row>
    <row r="149" customFormat="false" ht="15" hidden="false" customHeight="false" outlineLevel="0" collapsed="false">
      <c r="A149" s="7" t="s">
        <v>271</v>
      </c>
      <c r="B149" s="7" t="s">
        <v>272</v>
      </c>
      <c r="C149" s="8" t="s">
        <v>273</v>
      </c>
      <c r="D149" s="9" t="n">
        <v>46068</v>
      </c>
      <c r="E149" s="9" t="n">
        <v>46387</v>
      </c>
      <c r="F149" s="10" t="n">
        <v>100</v>
      </c>
      <c r="G149" s="11" t="n">
        <f aca="false">IF(OR(D149="",E149="",E149&lt;=D149),"",MIN(100,MAX(0,(Parametros!$B$3-D149)/(E149-D149)*100)))</f>
        <v>59.5611285266458</v>
      </c>
      <c r="H149" s="12" t="n">
        <f aca="false">IF(G149="","",G149-F149)</f>
        <v>-40.4388714733542</v>
      </c>
      <c r="I149" s="13" t="str">
        <f aca="false">IF(K149="Finalizado","Verde",IF(G149="","Amarillo",IF(H149&lt;=Parametros!$B$4,"Verde",IF(H149&lt;=Parametros!$B$5,"Amarillo","Rojo"))))</f>
        <v>Verde</v>
      </c>
      <c r="J149" s="14" t="str">
        <f aca="false">IF(K149="Finalizado","Completado",IF(G149="","Sin fecha válida - revisar plazos",IF(H149&lt;=Parametros!$B$4,"En tiempo, según lo planificado",IF(H149&lt;=Parametros!$B$5,"Atraso leve - seguimiento cercano ("&amp;TEXT(H149,"0.0")&amp;" p.p.)","Atraso crítico - requiere intervención ("&amp;TEXT(H149,"0.0")&amp;" p.p.)"))))</f>
        <v>Completado</v>
      </c>
      <c r="K149" s="7" t="s">
        <v>38</v>
      </c>
      <c r="L149" s="7" t="s">
        <v>268</v>
      </c>
      <c r="M149" s="7" t="s">
        <v>221</v>
      </c>
      <c r="N149" s="7" t="s">
        <v>51</v>
      </c>
      <c r="O149" s="13" t="n">
        <f aca="false">IF(AND(E149&lt;&gt;"",YEAR(E149)=YEAR(Parametros!$B$3),MONTH(E149)&gt;=10),1,0)</f>
        <v>1</v>
      </c>
      <c r="P149" s="13" t="n">
        <f aca="false">IF(AND(E149&lt;Parametros!$B$3,K149&lt;&gt;"Finalizado"),1,0)</f>
        <v>0</v>
      </c>
      <c r="Q149" s="13" t="n">
        <f aca="false">IF(AND(E149&gt;=Parametros!$B$3,E149&lt;=Parametros!$B$3+30,K149&lt;&gt;"Finalizado"),1,0)</f>
        <v>0</v>
      </c>
    </row>
    <row r="150" customFormat="false" ht="15" hidden="false" customHeight="false" outlineLevel="0" collapsed="false">
      <c r="A150" s="7" t="s">
        <v>271</v>
      </c>
      <c r="B150" s="7" t="s">
        <v>272</v>
      </c>
      <c r="C150" s="7" t="s">
        <v>274</v>
      </c>
      <c r="D150" s="9" t="n">
        <v>46068</v>
      </c>
      <c r="E150" s="9" t="n">
        <v>46387</v>
      </c>
      <c r="F150" s="10" t="n">
        <v>80</v>
      </c>
      <c r="G150" s="11" t="n">
        <f aca="false">IF(OR(D150="",E150="",E150&lt;=D150),"",MIN(100,MAX(0,(Parametros!$B$3-D150)/(E150-D150)*100)))</f>
        <v>59.5611285266458</v>
      </c>
      <c r="H150" s="12" t="n">
        <f aca="false">IF(G150="","",G150-F150)</f>
        <v>-20.4388714733542</v>
      </c>
      <c r="I150" s="13" t="str">
        <f aca="false">IF(K150="Finalizado","Verde",IF(G150="","Amarillo",IF(H150&lt;=Parametros!$B$4,"Verde",IF(H150&lt;=Parametros!$B$5,"Amarillo","Rojo"))))</f>
        <v>Verde</v>
      </c>
      <c r="J150" s="14" t="str">
        <f aca="false">IF(K150="Finalizado","Completado",IF(G150="","Sin fecha válida - revisar plazos",IF(H150&lt;=Parametros!$B$4,"En tiempo, según lo planificado",IF(H150&lt;=Parametros!$B$5,"Atraso leve - seguimiento cercano ("&amp;TEXT(H150,"0.0")&amp;" p.p.)","Atraso crítico - requiere intervención ("&amp;TEXT(H150,"0.0")&amp;" p.p.)"))))</f>
        <v>En tiempo, según lo planificado</v>
      </c>
      <c r="K150" s="7" t="s">
        <v>27</v>
      </c>
      <c r="L150" s="7" t="s">
        <v>268</v>
      </c>
      <c r="M150" s="7" t="s">
        <v>221</v>
      </c>
      <c r="N150" s="7" t="s">
        <v>51</v>
      </c>
      <c r="O150" s="13" t="n">
        <f aca="false">IF(AND(E150&lt;&gt;"",YEAR(E150)=YEAR(Parametros!$B$3),MONTH(E150)&gt;=10),1,0)</f>
        <v>1</v>
      </c>
      <c r="P150" s="13" t="n">
        <f aca="false">IF(AND(E150&lt;Parametros!$B$3,K150&lt;&gt;"Finalizado"),1,0)</f>
        <v>0</v>
      </c>
      <c r="Q150" s="13" t="n">
        <f aca="false">IF(AND(E150&gt;=Parametros!$B$3,E150&lt;=Parametros!$B$3+30,K150&lt;&gt;"Finalizado"),1,0)</f>
        <v>0</v>
      </c>
    </row>
    <row r="151" customFormat="false" ht="15" hidden="false" customHeight="false" outlineLevel="0" collapsed="false">
      <c r="A151" s="7" t="s">
        <v>271</v>
      </c>
      <c r="B151" s="7" t="s">
        <v>272</v>
      </c>
      <c r="C151" s="7" t="s">
        <v>275</v>
      </c>
      <c r="D151" s="9" t="n">
        <v>46174</v>
      </c>
      <c r="E151" s="9" t="n">
        <v>46387</v>
      </c>
      <c r="F151" s="10" t="n">
        <v>0</v>
      </c>
      <c r="G151" s="11" t="n">
        <f aca="false">IF(OR(D151="",E151="",E151&lt;=D151),"",MIN(100,MAX(0,(Parametros!$B$3-D151)/(E151-D151)*100)))</f>
        <v>39.4366197183099</v>
      </c>
      <c r="H151" s="12" t="n">
        <f aca="false">IF(G151="","",G151-F151)</f>
        <v>39.4366197183099</v>
      </c>
      <c r="I151" s="13" t="str">
        <f aca="false">IF(K151="Finalizado","Verde",IF(G151="","Amarillo",IF(H151&lt;=Parametros!$B$4,"Verde",IF(H151&lt;=Parametros!$B$5,"Amarillo","Rojo"))))</f>
        <v>Rojo</v>
      </c>
      <c r="J151" s="14" t="str">
        <f aca="false">IF(K151="Finalizado","Completado",IF(G151="","Sin fecha válida - revisar plazos",IF(H151&lt;=Parametros!$B$4,"En tiempo, según lo planificado",IF(H151&lt;=Parametros!$B$5,"Atraso leve - seguimiento cercano ("&amp;TEXT(H151,"0.0")&amp;" p.p.)","Atraso crítico - requiere intervención ("&amp;TEXT(H151,"0.0")&amp;" p.p.)"))))</f>
        <v>Atraso crítico - requiere intervención (39.4 p.p.)</v>
      </c>
      <c r="K151" s="7" t="s">
        <v>100</v>
      </c>
      <c r="L151" s="7" t="s">
        <v>268</v>
      </c>
      <c r="M151" s="7" t="s">
        <v>221</v>
      </c>
      <c r="N151" s="7" t="s">
        <v>51</v>
      </c>
      <c r="O151" s="13" t="n">
        <f aca="false">IF(AND(E151&lt;&gt;"",YEAR(E151)=YEAR(Parametros!$B$3),MONTH(E151)&gt;=10),1,0)</f>
        <v>1</v>
      </c>
      <c r="P151" s="13" t="n">
        <f aca="false">IF(AND(E151&lt;Parametros!$B$3,K151&lt;&gt;"Finalizado"),1,0)</f>
        <v>0</v>
      </c>
      <c r="Q151" s="13" t="n">
        <f aca="false">IF(AND(E151&gt;=Parametros!$B$3,E151&lt;=Parametros!$B$3+30,K151&lt;&gt;"Finalizado"),1,0)</f>
        <v>0</v>
      </c>
    </row>
    <row r="152" customFormat="false" ht="15" hidden="false" customHeight="false" outlineLevel="0" collapsed="false">
      <c r="A152" s="7" t="s">
        <v>276</v>
      </c>
      <c r="B152" s="7" t="s">
        <v>277</v>
      </c>
      <c r="C152" s="7" t="s">
        <v>278</v>
      </c>
      <c r="D152" s="9" t="n">
        <v>46112</v>
      </c>
      <c r="E152" s="9" t="n">
        <v>46387</v>
      </c>
      <c r="F152" s="10" t="n">
        <v>80</v>
      </c>
      <c r="G152" s="11" t="n">
        <f aca="false">IF(OR(D152="",E152="",E152&lt;=D152),"",MIN(100,MAX(0,(Parametros!$B$3-D152)/(E152-D152)*100)))</f>
        <v>53.0909090909091</v>
      </c>
      <c r="H152" s="12" t="n">
        <f aca="false">IF(G152="","",G152-F152)</f>
        <v>-26.9090909090909</v>
      </c>
      <c r="I152" s="13" t="str">
        <f aca="false">IF(K152="Finalizado","Verde",IF(G152="","Amarillo",IF(H152&lt;=Parametros!$B$4,"Verde",IF(H152&lt;=Parametros!$B$5,"Amarillo","Rojo"))))</f>
        <v>Verde</v>
      </c>
      <c r="J152" s="14" t="str">
        <f aca="false">IF(K152="Finalizado","Completado",IF(G152="","Sin fecha válida - revisar plazos",IF(H152&lt;=Parametros!$B$4,"En tiempo, según lo planificado",IF(H152&lt;=Parametros!$B$5,"Atraso leve - seguimiento cercano ("&amp;TEXT(H152,"0.0")&amp;" p.p.)","Atraso crítico - requiere intervención ("&amp;TEXT(H152,"0.0")&amp;" p.p.)"))))</f>
        <v>En tiempo, según lo planificado</v>
      </c>
      <c r="K152" s="7" t="s">
        <v>27</v>
      </c>
      <c r="L152" s="7" t="s">
        <v>279</v>
      </c>
      <c r="M152" s="7" t="s">
        <v>221</v>
      </c>
      <c r="N152" s="7" t="s">
        <v>51</v>
      </c>
      <c r="O152" s="13" t="n">
        <f aca="false">IF(AND(E152&lt;&gt;"",YEAR(E152)=YEAR(Parametros!$B$3),MONTH(E152)&gt;=10),1,0)</f>
        <v>1</v>
      </c>
      <c r="P152" s="13" t="n">
        <f aca="false">IF(AND(E152&lt;Parametros!$B$3,K152&lt;&gt;"Finalizado"),1,0)</f>
        <v>0</v>
      </c>
      <c r="Q152" s="13" t="n">
        <f aca="false">IF(AND(E152&gt;=Parametros!$B$3,E152&lt;=Parametros!$B$3+30,K152&lt;&gt;"Finalizado"),1,0)</f>
        <v>0</v>
      </c>
    </row>
    <row r="153" customFormat="false" ht="15" hidden="false" customHeight="false" outlineLevel="0" collapsed="false">
      <c r="A153" s="7" t="s">
        <v>276</v>
      </c>
      <c r="B153" s="7" t="s">
        <v>277</v>
      </c>
      <c r="C153" s="7" t="s">
        <v>280</v>
      </c>
      <c r="D153" s="9" t="n">
        <v>46112</v>
      </c>
      <c r="E153" s="9" t="n">
        <v>46387</v>
      </c>
      <c r="F153" s="10" t="n">
        <v>66</v>
      </c>
      <c r="G153" s="11" t="n">
        <f aca="false">IF(OR(D153="",E153="",E153&lt;=D153),"",MIN(100,MAX(0,(Parametros!$B$3-D153)/(E153-D153)*100)))</f>
        <v>53.0909090909091</v>
      </c>
      <c r="H153" s="12" t="n">
        <f aca="false">IF(G153="","",G153-F153)</f>
        <v>-12.9090909090909</v>
      </c>
      <c r="I153" s="13" t="str">
        <f aca="false">IF(K153="Finalizado","Verde",IF(G153="","Amarillo",IF(H153&lt;=Parametros!$B$4,"Verde",IF(H153&lt;=Parametros!$B$5,"Amarillo","Rojo"))))</f>
        <v>Verde</v>
      </c>
      <c r="J153" s="14" t="str">
        <f aca="false">IF(K153="Finalizado","Completado",IF(G153="","Sin fecha válida - revisar plazos",IF(H153&lt;=Parametros!$B$4,"En tiempo, según lo planificado",IF(H153&lt;=Parametros!$B$5,"Atraso leve - seguimiento cercano ("&amp;TEXT(H153,"0.0")&amp;" p.p.)","Atraso crítico - requiere intervención ("&amp;TEXT(H153,"0.0")&amp;" p.p.)"))))</f>
        <v>En tiempo, según lo planificado</v>
      </c>
      <c r="K153" s="7" t="s">
        <v>27</v>
      </c>
      <c r="L153" s="7" t="s">
        <v>279</v>
      </c>
      <c r="M153" s="7" t="s">
        <v>221</v>
      </c>
      <c r="N153" s="7" t="s">
        <v>51</v>
      </c>
      <c r="O153" s="13" t="n">
        <f aca="false">IF(AND(E153&lt;&gt;"",YEAR(E153)=YEAR(Parametros!$B$3),MONTH(E153)&gt;=10),1,0)</f>
        <v>1</v>
      </c>
      <c r="P153" s="13" t="n">
        <f aca="false">IF(AND(E153&lt;Parametros!$B$3,K153&lt;&gt;"Finalizado"),1,0)</f>
        <v>0</v>
      </c>
      <c r="Q153" s="13" t="n">
        <f aca="false">IF(AND(E153&gt;=Parametros!$B$3,E153&lt;=Parametros!$B$3+30,K153&lt;&gt;"Finalizado"),1,0)</f>
        <v>0</v>
      </c>
    </row>
    <row r="154" customFormat="false" ht="15" hidden="false" customHeight="false" outlineLevel="0" collapsed="false">
      <c r="A154" s="7" t="s">
        <v>276</v>
      </c>
      <c r="B154" s="7" t="s">
        <v>277</v>
      </c>
      <c r="C154" s="7" t="s">
        <v>281</v>
      </c>
      <c r="D154" s="9" t="n">
        <v>46112</v>
      </c>
      <c r="E154" s="9" t="n">
        <v>46387</v>
      </c>
      <c r="F154" s="10" t="n">
        <v>80</v>
      </c>
      <c r="G154" s="11" t="n">
        <f aca="false">IF(OR(D154="",E154="",E154&lt;=D154),"",MIN(100,MAX(0,(Parametros!$B$3-D154)/(E154-D154)*100)))</f>
        <v>53.0909090909091</v>
      </c>
      <c r="H154" s="12" t="n">
        <f aca="false">IF(G154="","",G154-F154)</f>
        <v>-26.9090909090909</v>
      </c>
      <c r="I154" s="13" t="str">
        <f aca="false">IF(K154="Finalizado","Verde",IF(G154="","Amarillo",IF(H154&lt;=Parametros!$B$4,"Verde",IF(H154&lt;=Parametros!$B$5,"Amarillo","Rojo"))))</f>
        <v>Verde</v>
      </c>
      <c r="J154" s="14" t="str">
        <f aca="false">IF(K154="Finalizado","Completado",IF(G154="","Sin fecha válida - revisar plazos",IF(H154&lt;=Parametros!$B$4,"En tiempo, según lo planificado",IF(H154&lt;=Parametros!$B$5,"Atraso leve - seguimiento cercano ("&amp;TEXT(H154,"0.0")&amp;" p.p.)","Atraso crítico - requiere intervención ("&amp;TEXT(H154,"0.0")&amp;" p.p.)"))))</f>
        <v>En tiempo, según lo planificado</v>
      </c>
      <c r="K154" s="7" t="s">
        <v>27</v>
      </c>
      <c r="L154" s="7" t="s">
        <v>279</v>
      </c>
      <c r="M154" s="7" t="s">
        <v>221</v>
      </c>
      <c r="N154" s="7" t="s">
        <v>51</v>
      </c>
      <c r="O154" s="13" t="n">
        <f aca="false">IF(AND(E154&lt;&gt;"",YEAR(E154)=YEAR(Parametros!$B$3),MONTH(E154)&gt;=10),1,0)</f>
        <v>1</v>
      </c>
      <c r="P154" s="13" t="n">
        <f aca="false">IF(AND(E154&lt;Parametros!$B$3,K154&lt;&gt;"Finalizado"),1,0)</f>
        <v>0</v>
      </c>
      <c r="Q154" s="13" t="n">
        <f aca="false">IF(AND(E154&gt;=Parametros!$B$3,E154&lt;=Parametros!$B$3+30,K154&lt;&gt;"Finalizado"),1,0)</f>
        <v>0</v>
      </c>
    </row>
    <row r="155" customFormat="false" ht="15" hidden="false" customHeight="false" outlineLevel="0" collapsed="false">
      <c r="A155" s="7" t="s">
        <v>282</v>
      </c>
      <c r="B155" s="7" t="s">
        <v>283</v>
      </c>
      <c r="C155" s="7" t="s">
        <v>284</v>
      </c>
      <c r="D155" s="9" t="n">
        <v>46055</v>
      </c>
      <c r="E155" s="9" t="n">
        <v>46387</v>
      </c>
      <c r="F155" s="10" t="n">
        <v>66</v>
      </c>
      <c r="G155" s="11" t="n">
        <f aca="false">IF(OR(D155="",E155="",E155&lt;=D155),"",MIN(100,MAX(0,(Parametros!$B$3-D155)/(E155-D155)*100)))</f>
        <v>61.144578313253</v>
      </c>
      <c r="H155" s="12" t="n">
        <f aca="false">IF(G155="","",G155-F155)</f>
        <v>-4.85542168674698</v>
      </c>
      <c r="I155" s="13" t="str">
        <f aca="false">IF(K155="Finalizado","Verde",IF(G155="","Amarillo",IF(H155&lt;=Parametros!$B$4,"Verde",IF(H155&lt;=Parametros!$B$5,"Amarillo","Rojo"))))</f>
        <v>Verde</v>
      </c>
      <c r="J155" s="14" t="str">
        <f aca="false">IF(K155="Finalizado","Completado",IF(G155="","Sin fecha válida - revisar plazos",IF(H155&lt;=Parametros!$B$4,"En tiempo, según lo planificado",IF(H155&lt;=Parametros!$B$5,"Atraso leve - seguimiento cercano ("&amp;TEXT(H155,"0.0")&amp;" p.p.)","Atraso crítico - requiere intervención ("&amp;TEXT(H155,"0.0")&amp;" p.p.)"))))</f>
        <v>En tiempo, según lo planificado</v>
      </c>
      <c r="K155" s="7" t="s">
        <v>27</v>
      </c>
      <c r="L155" s="7" t="s">
        <v>279</v>
      </c>
      <c r="M155" s="7" t="s">
        <v>221</v>
      </c>
      <c r="N155" s="7" t="s">
        <v>51</v>
      </c>
      <c r="O155" s="13" t="n">
        <f aca="false">IF(AND(E155&lt;&gt;"",YEAR(E155)=YEAR(Parametros!$B$3),MONTH(E155)&gt;=10),1,0)</f>
        <v>1</v>
      </c>
      <c r="P155" s="13" t="n">
        <f aca="false">IF(AND(E155&lt;Parametros!$B$3,K155&lt;&gt;"Finalizado"),1,0)</f>
        <v>0</v>
      </c>
      <c r="Q155" s="13" t="n">
        <f aca="false">IF(AND(E155&gt;=Parametros!$B$3,E155&lt;=Parametros!$B$3+30,K155&lt;&gt;"Finalizado"),1,0)</f>
        <v>0</v>
      </c>
    </row>
    <row r="156" customFormat="false" ht="15" hidden="false" customHeight="false" outlineLevel="0" collapsed="false">
      <c r="A156" s="7" t="s">
        <v>282</v>
      </c>
      <c r="B156" s="7" t="s">
        <v>283</v>
      </c>
      <c r="C156" s="8" t="s">
        <v>285</v>
      </c>
      <c r="D156" s="9" t="n">
        <v>46023</v>
      </c>
      <c r="E156" s="9" t="n">
        <v>46325</v>
      </c>
      <c r="F156" s="10" t="n">
        <v>20</v>
      </c>
      <c r="G156" s="11" t="n">
        <f aca="false">IF(OR(D156="",E156="",E156&lt;=D156),"",MIN(100,MAX(0,(Parametros!$B$3-D156)/(E156-D156)*100)))</f>
        <v>77.8145695364238</v>
      </c>
      <c r="H156" s="12" t="n">
        <f aca="false">IF(G156="","",G156-F156)</f>
        <v>57.8145695364238</v>
      </c>
      <c r="I156" s="13" t="str">
        <f aca="false">IF(K156="Finalizado","Verde",IF(G156="","Amarillo",IF(H156&lt;=Parametros!$B$4,"Verde",IF(H156&lt;=Parametros!$B$5,"Amarillo","Rojo"))))</f>
        <v>Rojo</v>
      </c>
      <c r="J156" s="14" t="str">
        <f aca="false">IF(K156="Finalizado","Completado",IF(G156="","Sin fecha válida - revisar plazos",IF(H156&lt;=Parametros!$B$4,"En tiempo, según lo planificado",IF(H156&lt;=Parametros!$B$5,"Atraso leve - seguimiento cercano ("&amp;TEXT(H156,"0.0")&amp;" p.p.)","Atraso crítico - requiere intervención ("&amp;TEXT(H156,"0.0")&amp;" p.p.)"))))</f>
        <v>Atraso crítico - requiere intervención (57.8 p.p.)</v>
      </c>
      <c r="K156" s="7" t="s">
        <v>73</v>
      </c>
      <c r="L156" s="7" t="s">
        <v>286</v>
      </c>
      <c r="M156" s="7" t="s">
        <v>221</v>
      </c>
      <c r="N156" s="7" t="s">
        <v>51</v>
      </c>
      <c r="O156" s="13" t="n">
        <f aca="false">IF(AND(E156&lt;&gt;"",YEAR(E156)=YEAR(Parametros!$B$3),MONTH(E156)&gt;=10),1,0)</f>
        <v>1</v>
      </c>
      <c r="P156" s="13" t="n">
        <f aca="false">IF(AND(E156&lt;Parametros!$B$3,K156&lt;&gt;"Finalizado"),1,0)</f>
        <v>0</v>
      </c>
      <c r="Q156" s="13" t="n">
        <f aca="false">IF(AND(E156&gt;=Parametros!$B$3,E156&lt;=Parametros!$B$3+30,K156&lt;&gt;"Finalizado"),1,0)</f>
        <v>0</v>
      </c>
    </row>
    <row r="157" customFormat="false" ht="15" hidden="false" customHeight="false" outlineLevel="0" collapsed="false">
      <c r="A157" s="7" t="s">
        <v>282</v>
      </c>
      <c r="B157" s="7" t="s">
        <v>283</v>
      </c>
      <c r="C157" s="8" t="s">
        <v>287</v>
      </c>
      <c r="D157" s="9" t="n">
        <v>46235</v>
      </c>
      <c r="E157" s="9" t="n">
        <v>46356</v>
      </c>
      <c r="F157" s="10" t="n">
        <v>5</v>
      </c>
      <c r="G157" s="11" t="n">
        <f aca="false">IF(OR(D157="",E157="",E157&lt;=D157),"",MIN(100,MAX(0,(Parametros!$B$3-D157)/(E157-D157)*100)))</f>
        <v>19.0082644628099</v>
      </c>
      <c r="H157" s="12" t="n">
        <f aca="false">IF(G157="","",G157-F157)</f>
        <v>14.0082644628099</v>
      </c>
      <c r="I157" s="13" t="str">
        <f aca="false">IF(K157="Finalizado","Verde",IF(G157="","Amarillo",IF(H157&lt;=Parametros!$B$4,"Verde",IF(H157&lt;=Parametros!$B$5,"Amarillo","Rojo"))))</f>
        <v>Amarillo</v>
      </c>
      <c r="J157" s="14" t="str">
        <f aca="false">IF(K157="Finalizado","Completado",IF(G157="","Sin fecha válida - revisar plazos",IF(H157&lt;=Parametros!$B$4,"En tiempo, según lo planificado",IF(H157&lt;=Parametros!$B$5,"Atraso leve - seguimiento cercano ("&amp;TEXT(H157,"0.0")&amp;" p.p.)","Atraso crítico - requiere intervención ("&amp;TEXT(H157,"0.0")&amp;" p.p.)"))))</f>
        <v>Atraso leve - seguimiento cercano (14.0 p.p.)</v>
      </c>
      <c r="K157" s="7" t="s">
        <v>73</v>
      </c>
      <c r="L157" s="7"/>
      <c r="M157" s="7" t="s">
        <v>221</v>
      </c>
      <c r="N157" s="7" t="s">
        <v>51</v>
      </c>
      <c r="O157" s="13" t="n">
        <f aca="false">IF(AND(E157&lt;&gt;"",YEAR(E157)=YEAR(Parametros!$B$3),MONTH(E157)&gt;=10),1,0)</f>
        <v>1</v>
      </c>
      <c r="P157" s="13" t="n">
        <f aca="false">IF(AND(E157&lt;Parametros!$B$3,K157&lt;&gt;"Finalizado"),1,0)</f>
        <v>0</v>
      </c>
      <c r="Q157" s="13" t="n">
        <f aca="false">IF(AND(E157&gt;=Parametros!$B$3,E157&lt;=Parametros!$B$3+30,K157&lt;&gt;"Finalizado"),1,0)</f>
        <v>0</v>
      </c>
    </row>
    <row r="158" customFormat="false" ht="15" hidden="false" customHeight="false" outlineLevel="0" collapsed="false">
      <c r="A158" s="7" t="s">
        <v>282</v>
      </c>
      <c r="B158" s="7" t="s">
        <v>283</v>
      </c>
      <c r="C158" s="8" t="s">
        <v>288</v>
      </c>
      <c r="D158" s="9" t="n">
        <v>46235</v>
      </c>
      <c r="E158" s="9" t="n">
        <v>46356</v>
      </c>
      <c r="F158" s="10" t="n">
        <v>0</v>
      </c>
      <c r="G158" s="11" t="n">
        <f aca="false">IF(OR(D158="",E158="",E158&lt;=D158),"",MIN(100,MAX(0,(Parametros!$B$3-D158)/(E158-D158)*100)))</f>
        <v>19.0082644628099</v>
      </c>
      <c r="H158" s="12" t="n">
        <f aca="false">IF(G158="","",G158-F158)</f>
        <v>19.0082644628099</v>
      </c>
      <c r="I158" s="13" t="str">
        <f aca="false">IF(K158="Finalizado","Verde",IF(G158="","Amarillo",IF(H158&lt;=Parametros!$B$4,"Verde",IF(H158&lt;=Parametros!$B$5,"Amarillo","Rojo"))))</f>
        <v>Amarillo</v>
      </c>
      <c r="J158" s="14" t="str">
        <f aca="false">IF(K158="Finalizado","Completado",IF(G158="","Sin fecha válida - revisar plazos",IF(H158&lt;=Parametros!$B$4,"En tiempo, según lo planificado",IF(H158&lt;=Parametros!$B$5,"Atraso leve - seguimiento cercano ("&amp;TEXT(H158,"0.0")&amp;" p.p.)","Atraso crítico - requiere intervención ("&amp;TEXT(H158,"0.0")&amp;" p.p.)"))))</f>
        <v>Atraso leve - seguimiento cercano (19.0 p.p.)</v>
      </c>
      <c r="K158" s="7" t="s">
        <v>100</v>
      </c>
      <c r="L158" s="7"/>
      <c r="M158" s="7" t="s">
        <v>221</v>
      </c>
      <c r="N158" s="7" t="s">
        <v>51</v>
      </c>
      <c r="O158" s="13" t="n">
        <f aca="false">IF(AND(E158&lt;&gt;"",YEAR(E158)=YEAR(Parametros!$B$3),MONTH(E158)&gt;=10),1,0)</f>
        <v>1</v>
      </c>
      <c r="P158" s="13" t="n">
        <f aca="false">IF(AND(E158&lt;Parametros!$B$3,K158&lt;&gt;"Finalizado"),1,0)</f>
        <v>0</v>
      </c>
      <c r="Q158" s="13" t="n">
        <f aca="false">IF(AND(E158&gt;=Parametros!$B$3,E158&lt;=Parametros!$B$3+30,K158&lt;&gt;"Finalizado"),1,0)</f>
        <v>0</v>
      </c>
    </row>
    <row r="159" customFormat="false" ht="15" hidden="false" customHeight="false" outlineLevel="0" collapsed="false">
      <c r="A159" s="7" t="s">
        <v>282</v>
      </c>
      <c r="B159" s="7" t="s">
        <v>283</v>
      </c>
      <c r="C159" s="8" t="s">
        <v>289</v>
      </c>
      <c r="D159" s="9" t="n">
        <v>46235</v>
      </c>
      <c r="E159" s="9" t="n">
        <v>46356</v>
      </c>
      <c r="F159" s="10" t="n">
        <v>5</v>
      </c>
      <c r="G159" s="11" t="n">
        <f aca="false">IF(OR(D159="",E159="",E159&lt;=D159),"",MIN(100,MAX(0,(Parametros!$B$3-D159)/(E159-D159)*100)))</f>
        <v>19.0082644628099</v>
      </c>
      <c r="H159" s="12" t="n">
        <f aca="false">IF(G159="","",G159-F159)</f>
        <v>14.0082644628099</v>
      </c>
      <c r="I159" s="13" t="str">
        <f aca="false">IF(K159="Finalizado","Verde",IF(G159="","Amarillo",IF(H159&lt;=Parametros!$B$4,"Verde",IF(H159&lt;=Parametros!$B$5,"Amarillo","Rojo"))))</f>
        <v>Amarillo</v>
      </c>
      <c r="J159" s="14" t="str">
        <f aca="false">IF(K159="Finalizado","Completado",IF(G159="","Sin fecha válida - revisar plazos",IF(H159&lt;=Parametros!$B$4,"En tiempo, según lo planificado",IF(H159&lt;=Parametros!$B$5,"Atraso leve - seguimiento cercano ("&amp;TEXT(H159,"0.0")&amp;" p.p.)","Atraso crítico - requiere intervención ("&amp;TEXT(H159,"0.0")&amp;" p.p.)"))))</f>
        <v>Atraso leve - seguimiento cercano (14.0 p.p.)</v>
      </c>
      <c r="K159" s="7" t="s">
        <v>73</v>
      </c>
      <c r="L159" s="7"/>
      <c r="M159" s="7" t="s">
        <v>221</v>
      </c>
      <c r="N159" s="7" t="s">
        <v>51</v>
      </c>
      <c r="O159" s="13" t="n">
        <f aca="false">IF(AND(E159&lt;&gt;"",YEAR(E159)=YEAR(Parametros!$B$3),MONTH(E159)&gt;=10),1,0)</f>
        <v>1</v>
      </c>
      <c r="P159" s="13" t="n">
        <f aca="false">IF(AND(E159&lt;Parametros!$B$3,K159&lt;&gt;"Finalizado"),1,0)</f>
        <v>0</v>
      </c>
      <c r="Q159" s="13" t="n">
        <f aca="false">IF(AND(E159&gt;=Parametros!$B$3,E159&lt;=Parametros!$B$3+30,K159&lt;&gt;"Finalizado"),1,0)</f>
        <v>0</v>
      </c>
    </row>
    <row r="160" customFormat="false" ht="15" hidden="false" customHeight="false" outlineLevel="0" collapsed="false">
      <c r="A160" s="7" t="s">
        <v>282</v>
      </c>
      <c r="B160" s="7" t="s">
        <v>283</v>
      </c>
      <c r="C160" s="7" t="s">
        <v>290</v>
      </c>
      <c r="D160" s="9" t="n">
        <v>45931</v>
      </c>
      <c r="E160" s="9" t="n">
        <v>46387</v>
      </c>
      <c r="F160" s="10" t="n">
        <v>0</v>
      </c>
      <c r="G160" s="11" t="n">
        <f aca="false">IF(OR(D160="",E160="",E160&lt;=D160),"",MIN(100,MAX(0,(Parametros!$B$3-D160)/(E160-D160)*100)))</f>
        <v>71.7105263157895</v>
      </c>
      <c r="H160" s="12" t="n">
        <f aca="false">IF(G160="","",G160-F160)</f>
        <v>71.7105263157895</v>
      </c>
      <c r="I160" s="13" t="str">
        <f aca="false">IF(K160="Finalizado","Verde",IF(G160="","Amarillo",IF(H160&lt;=Parametros!$B$4,"Verde",IF(H160&lt;=Parametros!$B$5,"Amarillo","Rojo"))))</f>
        <v>Rojo</v>
      </c>
      <c r="J160" s="14" t="str">
        <f aca="false">IF(K160="Finalizado","Completado",IF(G160="","Sin fecha válida - revisar plazos",IF(H160&lt;=Parametros!$B$4,"En tiempo, según lo planificado",IF(H160&lt;=Parametros!$B$5,"Atraso leve - seguimiento cercano ("&amp;TEXT(H160,"0.0")&amp;" p.p.)","Atraso crítico - requiere intervención ("&amp;TEXT(H160,"0.0")&amp;" p.p.)"))))</f>
        <v>Atraso crítico - requiere intervención (71.7 p.p.)</v>
      </c>
      <c r="K160" s="7" t="s">
        <v>73</v>
      </c>
      <c r="L160" s="7"/>
      <c r="M160" s="7" t="s">
        <v>221</v>
      </c>
      <c r="N160" s="7" t="s">
        <v>51</v>
      </c>
      <c r="O160" s="13" t="n">
        <f aca="false">IF(AND(E160&lt;&gt;"",YEAR(E160)=YEAR(Parametros!$B$3),MONTH(E160)&gt;=10),1,0)</f>
        <v>1</v>
      </c>
      <c r="P160" s="13" t="n">
        <f aca="false">IF(AND(E160&lt;Parametros!$B$3,K160&lt;&gt;"Finalizado"),1,0)</f>
        <v>0</v>
      </c>
      <c r="Q160" s="13" t="n">
        <f aca="false">IF(AND(E160&gt;=Parametros!$B$3,E160&lt;=Parametros!$B$3+30,K160&lt;&gt;"Finalizado"),1,0)</f>
        <v>0</v>
      </c>
    </row>
    <row r="161" customFormat="false" ht="15" hidden="false" customHeight="false" outlineLevel="0" collapsed="false">
      <c r="A161" s="7" t="s">
        <v>282</v>
      </c>
      <c r="B161" s="7" t="s">
        <v>283</v>
      </c>
      <c r="C161" s="8" t="s">
        <v>291</v>
      </c>
      <c r="D161" s="9" t="n">
        <v>45931</v>
      </c>
      <c r="E161" s="9" t="n">
        <v>45995</v>
      </c>
      <c r="F161" s="10" t="n">
        <v>100</v>
      </c>
      <c r="G161" s="11" t="n">
        <f aca="false">IF(OR(D161="",E161="",E161&lt;=D161),"",MIN(100,MAX(0,(Parametros!$B$3-D161)/(E161-D161)*100)))</f>
        <v>100</v>
      </c>
      <c r="H161" s="12" t="n">
        <f aca="false">IF(G161="","",G161-F161)</f>
        <v>0</v>
      </c>
      <c r="I161" s="13" t="str">
        <f aca="false">IF(K161="Finalizado","Verde",IF(G161="","Amarillo",IF(H161&lt;=Parametros!$B$4,"Verde",IF(H161&lt;=Parametros!$B$5,"Amarillo","Rojo"))))</f>
        <v>Verde</v>
      </c>
      <c r="J161" s="14" t="str">
        <f aca="false">IF(K161="Finalizado","Completado",IF(G161="","Sin fecha válida - revisar plazos",IF(H161&lt;=Parametros!$B$4,"En tiempo, según lo planificado",IF(H161&lt;=Parametros!$B$5,"Atraso leve - seguimiento cercano ("&amp;TEXT(H161,"0.0")&amp;" p.p.)","Atraso crítico - requiere intervención ("&amp;TEXT(H161,"0.0")&amp;" p.p.)"))))</f>
        <v>Completado</v>
      </c>
      <c r="K161" s="7" t="s">
        <v>38</v>
      </c>
      <c r="L161" s="7"/>
      <c r="M161" s="7" t="s">
        <v>221</v>
      </c>
      <c r="N161" s="7" t="s">
        <v>51</v>
      </c>
      <c r="O161" s="13" t="n">
        <f aca="false">IF(AND(E161&lt;&gt;"",YEAR(E161)=YEAR(Parametros!$B$3),MONTH(E161)&gt;=10),1,0)</f>
        <v>0</v>
      </c>
      <c r="P161" s="13" t="n">
        <f aca="false">IF(AND(E161&lt;Parametros!$B$3,K161&lt;&gt;"Finalizado"),1,0)</f>
        <v>0</v>
      </c>
      <c r="Q161" s="13" t="n">
        <f aca="false">IF(AND(E161&gt;=Parametros!$B$3,E161&lt;=Parametros!$B$3+30,K161&lt;&gt;"Finalizado"),1,0)</f>
        <v>0</v>
      </c>
    </row>
    <row r="162" customFormat="false" ht="15" hidden="false" customHeight="false" outlineLevel="0" collapsed="false">
      <c r="A162" s="7" t="s">
        <v>282</v>
      </c>
      <c r="B162" s="7" t="s">
        <v>283</v>
      </c>
      <c r="C162" s="7" t="s">
        <v>292</v>
      </c>
      <c r="D162" s="9" t="n">
        <v>46082</v>
      </c>
      <c r="E162" s="9" t="n">
        <v>46356</v>
      </c>
      <c r="F162" s="10" t="n">
        <v>33</v>
      </c>
      <c r="G162" s="11" t="n">
        <f aca="false">IF(OR(D162="",E162="",E162&lt;=D162),"",MIN(100,MAX(0,(Parametros!$B$3-D162)/(E162-D162)*100)))</f>
        <v>64.2335766423358</v>
      </c>
      <c r="H162" s="12" t="n">
        <f aca="false">IF(G162="","",G162-F162)</f>
        <v>31.2335766423358</v>
      </c>
      <c r="I162" s="13" t="str">
        <f aca="false">IF(K162="Finalizado","Verde",IF(G162="","Amarillo",IF(H162&lt;=Parametros!$B$4,"Verde",IF(H162&lt;=Parametros!$B$5,"Amarillo","Rojo"))))</f>
        <v>Rojo</v>
      </c>
      <c r="J162" s="14" t="str">
        <f aca="false">IF(K162="Finalizado","Completado",IF(G162="","Sin fecha válida - revisar plazos",IF(H162&lt;=Parametros!$B$4,"En tiempo, según lo planificado",IF(H162&lt;=Parametros!$B$5,"Atraso leve - seguimiento cercano ("&amp;TEXT(H162,"0.0")&amp;" p.p.)","Atraso crítico - requiere intervención ("&amp;TEXT(H162,"0.0")&amp;" p.p.)"))))</f>
        <v>Atraso crítico - requiere intervención (31.2 p.p.)</v>
      </c>
      <c r="K162" s="7" t="s">
        <v>27</v>
      </c>
      <c r="L162" s="7" t="s">
        <v>268</v>
      </c>
      <c r="M162" s="7" t="s">
        <v>221</v>
      </c>
      <c r="N162" s="7" t="s">
        <v>51</v>
      </c>
      <c r="O162" s="13" t="n">
        <f aca="false">IF(AND(E162&lt;&gt;"",YEAR(E162)=YEAR(Parametros!$B$3),MONTH(E162)&gt;=10),1,0)</f>
        <v>1</v>
      </c>
      <c r="P162" s="13" t="n">
        <f aca="false">IF(AND(E162&lt;Parametros!$B$3,K162&lt;&gt;"Finalizado"),1,0)</f>
        <v>0</v>
      </c>
      <c r="Q162" s="13" t="n">
        <f aca="false">IF(AND(E162&gt;=Parametros!$B$3,E162&lt;=Parametros!$B$3+30,K162&lt;&gt;"Finalizado"),1,0)</f>
        <v>0</v>
      </c>
    </row>
    <row r="163" customFormat="false" ht="15" hidden="false" customHeight="false" outlineLevel="0" collapsed="false">
      <c r="A163" s="7" t="s">
        <v>282</v>
      </c>
      <c r="B163" s="7" t="s">
        <v>283</v>
      </c>
      <c r="C163" s="8" t="s">
        <v>293</v>
      </c>
      <c r="D163" s="9" t="n">
        <v>46080</v>
      </c>
      <c r="E163" s="9" t="n">
        <v>46326</v>
      </c>
      <c r="F163" s="10" t="n">
        <v>41.66</v>
      </c>
      <c r="G163" s="11" t="n">
        <f aca="false">IF(OR(D163="",E163="",E163&lt;=D163),"",MIN(100,MAX(0,(Parametros!$B$3-D163)/(E163-D163)*100)))</f>
        <v>72.3577235772358</v>
      </c>
      <c r="H163" s="12" t="n">
        <f aca="false">IF(G163="","",G163-F163)</f>
        <v>30.6977235772358</v>
      </c>
      <c r="I163" s="13" t="str">
        <f aca="false">IF(K163="Finalizado","Verde",IF(G163="","Amarillo",IF(H163&lt;=Parametros!$B$4,"Verde",IF(H163&lt;=Parametros!$B$5,"Amarillo","Rojo"))))</f>
        <v>Rojo</v>
      </c>
      <c r="J163" s="14" t="str">
        <f aca="false">IF(K163="Finalizado","Completado",IF(G163="","Sin fecha válida - revisar plazos",IF(H163&lt;=Parametros!$B$4,"En tiempo, según lo planificado",IF(H163&lt;=Parametros!$B$5,"Atraso leve - seguimiento cercano ("&amp;TEXT(H163,"0.0")&amp;" p.p.)","Atraso crítico - requiere intervención ("&amp;TEXT(H163,"0.0")&amp;" p.p.)"))))</f>
        <v>Atraso crítico - requiere intervención (30.7 p.p.)</v>
      </c>
      <c r="K163" s="7" t="s">
        <v>27</v>
      </c>
      <c r="L163" s="7" t="s">
        <v>294</v>
      </c>
      <c r="M163" s="7" t="s">
        <v>221</v>
      </c>
      <c r="N163" s="7" t="s">
        <v>51</v>
      </c>
      <c r="O163" s="13" t="n">
        <f aca="false">IF(AND(E163&lt;&gt;"",YEAR(E163)=YEAR(Parametros!$B$3),MONTH(E163)&gt;=10),1,0)</f>
        <v>1</v>
      </c>
      <c r="P163" s="13" t="n">
        <f aca="false">IF(AND(E163&lt;Parametros!$B$3,K163&lt;&gt;"Finalizado"),1,0)</f>
        <v>0</v>
      </c>
      <c r="Q163" s="13" t="n">
        <f aca="false">IF(AND(E163&gt;=Parametros!$B$3,E163&lt;=Parametros!$B$3+30,K163&lt;&gt;"Finalizado"),1,0)</f>
        <v>0</v>
      </c>
    </row>
    <row r="164" customFormat="false" ht="15" hidden="false" customHeight="false" outlineLevel="0" collapsed="false">
      <c r="A164" s="7" t="s">
        <v>295</v>
      </c>
      <c r="B164" s="7" t="s">
        <v>296</v>
      </c>
      <c r="C164" s="7" t="s">
        <v>297</v>
      </c>
      <c r="D164" s="9" t="n">
        <v>46161</v>
      </c>
      <c r="E164" s="9" t="n">
        <v>46174</v>
      </c>
      <c r="F164" s="10" t="n">
        <v>100</v>
      </c>
      <c r="G164" s="11" t="n">
        <f aca="false">IF(OR(D164="",E164="",E164&lt;=D164),"",MIN(100,MAX(0,(Parametros!$B$3-D164)/(E164-D164)*100)))</f>
        <v>100</v>
      </c>
      <c r="H164" s="12" t="n">
        <f aca="false">IF(G164="","",G164-F164)</f>
        <v>0</v>
      </c>
      <c r="I164" s="13" t="str">
        <f aca="false">IF(K164="Finalizado","Verde",IF(G164="","Amarillo",IF(H164&lt;=Parametros!$B$4,"Verde",IF(H164&lt;=Parametros!$B$5,"Amarillo","Rojo"))))</f>
        <v>Verde</v>
      </c>
      <c r="J164" s="14" t="str">
        <f aca="false">IF(K164="Finalizado","Completado",IF(G164="","Sin fecha válida - revisar plazos",IF(H164&lt;=Parametros!$B$4,"En tiempo, según lo planificado",IF(H164&lt;=Parametros!$B$5,"Atraso leve - seguimiento cercano ("&amp;TEXT(H164,"0.0")&amp;" p.p.)","Atraso crítico - requiere intervención ("&amp;TEXT(H164,"0.0")&amp;" p.p.)"))))</f>
        <v>Completado</v>
      </c>
      <c r="K164" s="7" t="s">
        <v>38</v>
      </c>
      <c r="L164" s="7" t="s">
        <v>298</v>
      </c>
      <c r="M164" s="7" t="s">
        <v>221</v>
      </c>
      <c r="N164" s="7" t="s">
        <v>51</v>
      </c>
      <c r="O164" s="13" t="n">
        <f aca="false">IF(AND(E164&lt;&gt;"",YEAR(E164)=YEAR(Parametros!$B$3),MONTH(E164)&gt;=10),1,0)</f>
        <v>0</v>
      </c>
      <c r="P164" s="13" t="n">
        <f aca="false">IF(AND(E164&lt;Parametros!$B$3,K164&lt;&gt;"Finalizado"),1,0)</f>
        <v>0</v>
      </c>
      <c r="Q164" s="13" t="n">
        <f aca="false">IF(AND(E164&gt;=Parametros!$B$3,E164&lt;=Parametros!$B$3+30,K164&lt;&gt;"Finalizado"),1,0)</f>
        <v>0</v>
      </c>
    </row>
    <row r="165" customFormat="false" ht="15" hidden="false" customHeight="false" outlineLevel="0" collapsed="false">
      <c r="A165" s="7" t="s">
        <v>295</v>
      </c>
      <c r="B165" s="7" t="s">
        <v>296</v>
      </c>
      <c r="C165" s="7" t="s">
        <v>299</v>
      </c>
      <c r="D165" s="9" t="n">
        <v>46167</v>
      </c>
      <c r="E165" s="9" t="n">
        <v>46174</v>
      </c>
      <c r="F165" s="10" t="n">
        <v>100</v>
      </c>
      <c r="G165" s="11" t="n">
        <f aca="false">IF(OR(D165="",E165="",E165&lt;=D165),"",MIN(100,MAX(0,(Parametros!$B$3-D165)/(E165-D165)*100)))</f>
        <v>100</v>
      </c>
      <c r="H165" s="12" t="n">
        <f aca="false">IF(G165="","",G165-F165)</f>
        <v>0</v>
      </c>
      <c r="I165" s="13" t="str">
        <f aca="false">IF(K165="Finalizado","Verde",IF(G165="","Amarillo",IF(H165&lt;=Parametros!$B$4,"Verde",IF(H165&lt;=Parametros!$B$5,"Amarillo","Rojo"))))</f>
        <v>Verde</v>
      </c>
      <c r="J165" s="14" t="str">
        <f aca="false">IF(K165="Finalizado","Completado",IF(G165="","Sin fecha válida - revisar plazos",IF(H165&lt;=Parametros!$B$4,"En tiempo, según lo planificado",IF(H165&lt;=Parametros!$B$5,"Atraso leve - seguimiento cercano ("&amp;TEXT(H165,"0.0")&amp;" p.p.)","Atraso crítico - requiere intervención ("&amp;TEXT(H165,"0.0")&amp;" p.p.)"))))</f>
        <v>Completado</v>
      </c>
      <c r="K165" s="7" t="s">
        <v>38</v>
      </c>
      <c r="L165" s="7"/>
      <c r="M165" s="7" t="s">
        <v>221</v>
      </c>
      <c r="N165" s="7" t="s">
        <v>189</v>
      </c>
      <c r="O165" s="13" t="n">
        <f aca="false">IF(AND(E165&lt;&gt;"",YEAR(E165)=YEAR(Parametros!$B$3),MONTH(E165)&gt;=10),1,0)</f>
        <v>0</v>
      </c>
      <c r="P165" s="13" t="n">
        <f aca="false">IF(AND(E165&lt;Parametros!$B$3,K165&lt;&gt;"Finalizado"),1,0)</f>
        <v>0</v>
      </c>
      <c r="Q165" s="13" t="n">
        <f aca="false">IF(AND(E165&gt;=Parametros!$B$3,E165&lt;=Parametros!$B$3+30,K165&lt;&gt;"Finalizado"),1,0)</f>
        <v>0</v>
      </c>
    </row>
    <row r="166" customFormat="false" ht="15" hidden="false" customHeight="false" outlineLevel="0" collapsed="false">
      <c r="A166" s="7" t="s">
        <v>295</v>
      </c>
      <c r="B166" s="7" t="s">
        <v>296</v>
      </c>
      <c r="C166" s="7" t="s">
        <v>300</v>
      </c>
      <c r="D166" s="9" t="n">
        <v>46266</v>
      </c>
      <c r="E166" s="9" t="n">
        <v>46326</v>
      </c>
      <c r="F166" s="10" t="n">
        <v>0</v>
      </c>
      <c r="G166" s="11" t="n">
        <f aca="false">IF(OR(D166="",E166="",E166&lt;=D166),"",MIN(100,MAX(0,(Parametros!$B$3-D166)/(E166-D166)*100)))</f>
        <v>0</v>
      </c>
      <c r="H166" s="12" t="n">
        <f aca="false">IF(G166="","",G166-F166)</f>
        <v>0</v>
      </c>
      <c r="I166" s="13" t="str">
        <f aca="false">IF(K166="Finalizado","Verde",IF(G166="","Amarillo",IF(H166&lt;=Parametros!$B$4,"Verde",IF(H166&lt;=Parametros!$B$5,"Amarillo","Rojo"))))</f>
        <v>Verde</v>
      </c>
      <c r="J166" s="14" t="str">
        <f aca="false">IF(K166="Finalizado","Completado",IF(G166="","Sin fecha válida - revisar plazos",IF(H166&lt;=Parametros!$B$4,"En tiempo, según lo planificado",IF(H166&lt;=Parametros!$B$5,"Atraso leve - seguimiento cercano ("&amp;TEXT(H166,"0.0")&amp;" p.p.)","Atraso crítico - requiere intervención ("&amp;TEXT(H166,"0.0")&amp;" p.p.)"))))</f>
        <v>En tiempo, según lo planificado</v>
      </c>
      <c r="K166" s="7" t="s">
        <v>100</v>
      </c>
      <c r="L166" s="7"/>
      <c r="M166" s="7" t="s">
        <v>221</v>
      </c>
      <c r="N166" s="7" t="s">
        <v>51</v>
      </c>
      <c r="O166" s="13" t="n">
        <f aca="false">IF(AND(E166&lt;&gt;"",YEAR(E166)=YEAR(Parametros!$B$3),MONTH(E166)&gt;=10),1,0)</f>
        <v>1</v>
      </c>
      <c r="P166" s="13" t="n">
        <f aca="false">IF(AND(E166&lt;Parametros!$B$3,K166&lt;&gt;"Finalizado"),1,0)</f>
        <v>0</v>
      </c>
      <c r="Q166" s="13" t="n">
        <f aca="false">IF(AND(E166&gt;=Parametros!$B$3,E166&lt;=Parametros!$B$3+30,K166&lt;&gt;"Finalizado"),1,0)</f>
        <v>0</v>
      </c>
    </row>
    <row r="167" customFormat="false" ht="15" hidden="false" customHeight="false" outlineLevel="0" collapsed="false">
      <c r="A167" s="7" t="s">
        <v>295</v>
      </c>
      <c r="B167" s="7" t="s">
        <v>296</v>
      </c>
      <c r="C167" s="7" t="s">
        <v>301</v>
      </c>
      <c r="D167" s="9" t="n">
        <v>46174</v>
      </c>
      <c r="E167" s="9" t="n">
        <v>46265</v>
      </c>
      <c r="F167" s="10" t="n">
        <v>20</v>
      </c>
      <c r="G167" s="11" t="n">
        <f aca="false">IF(OR(D167="",E167="",E167&lt;=D167),"",MIN(100,MAX(0,(Parametros!$B$3-D167)/(E167-D167)*100)))</f>
        <v>92.3076923076923</v>
      </c>
      <c r="H167" s="12" t="n">
        <f aca="false">IF(G167="","",G167-F167)</f>
        <v>72.3076923076923</v>
      </c>
      <c r="I167" s="13" t="str">
        <f aca="false">IF(K167="Finalizado","Verde",IF(G167="","Amarillo",IF(H167&lt;=Parametros!$B$4,"Verde",IF(H167&lt;=Parametros!$B$5,"Amarillo","Rojo"))))</f>
        <v>Rojo</v>
      </c>
      <c r="J167" s="14" t="str">
        <f aca="false">IF(K167="Finalizado","Completado",IF(G167="","Sin fecha válida - revisar plazos",IF(H167&lt;=Parametros!$B$4,"En tiempo, según lo planificado",IF(H167&lt;=Parametros!$B$5,"Atraso leve - seguimiento cercano ("&amp;TEXT(H167,"0.0")&amp;" p.p.)","Atraso crítico - requiere intervención ("&amp;TEXT(H167,"0.0")&amp;" p.p.)"))))</f>
        <v>Atraso crítico - requiere intervención (72.3 p.p.)</v>
      </c>
      <c r="K167" s="7" t="s">
        <v>27</v>
      </c>
      <c r="L167" s="7"/>
      <c r="M167" s="7" t="s">
        <v>221</v>
      </c>
      <c r="N167" s="7" t="s">
        <v>51</v>
      </c>
      <c r="O167" s="13" t="n">
        <f aca="false">IF(AND(E167&lt;&gt;"",YEAR(E167)=YEAR(Parametros!$B$3),MONTH(E167)&gt;=10),1,0)</f>
        <v>0</v>
      </c>
      <c r="P167" s="13" t="n">
        <f aca="false">IF(AND(E167&lt;Parametros!$B$3,K167&lt;&gt;"Finalizado"),1,0)</f>
        <v>0</v>
      </c>
      <c r="Q167" s="13" t="n">
        <f aca="false">IF(AND(E167&gt;=Parametros!$B$3,E167&lt;=Parametros!$B$3+30,K167&lt;&gt;"Finalizado"),1,0)</f>
        <v>1</v>
      </c>
    </row>
    <row r="168" customFormat="false" ht="15" hidden="false" customHeight="false" outlineLevel="0" collapsed="false">
      <c r="A168" s="7" t="s">
        <v>295</v>
      </c>
      <c r="B168" s="7" t="s">
        <v>296</v>
      </c>
      <c r="C168" s="7" t="s">
        <v>302</v>
      </c>
      <c r="D168" s="9" t="n">
        <v>46174</v>
      </c>
      <c r="E168" s="9" t="n">
        <v>46387</v>
      </c>
      <c r="F168" s="10" t="n">
        <v>50</v>
      </c>
      <c r="G168" s="11" t="n">
        <f aca="false">IF(OR(D168="",E168="",E168&lt;=D168),"",MIN(100,MAX(0,(Parametros!$B$3-D168)/(E168-D168)*100)))</f>
        <v>39.4366197183099</v>
      </c>
      <c r="H168" s="12" t="n">
        <f aca="false">IF(G168="","",G168-F168)</f>
        <v>-10.5633802816901</v>
      </c>
      <c r="I168" s="13" t="str">
        <f aca="false">IF(K168="Finalizado","Verde",IF(G168="","Amarillo",IF(H168&lt;=Parametros!$B$4,"Verde",IF(H168&lt;=Parametros!$B$5,"Amarillo","Rojo"))))</f>
        <v>Verde</v>
      </c>
      <c r="J168" s="14" t="str">
        <f aca="false">IF(K168="Finalizado","Completado",IF(G168="","Sin fecha válida - revisar plazos",IF(H168&lt;=Parametros!$B$4,"En tiempo, según lo planificado",IF(H168&lt;=Parametros!$B$5,"Atraso leve - seguimiento cercano ("&amp;TEXT(H168,"0.0")&amp;" p.p.)","Atraso crítico - requiere intervención ("&amp;TEXT(H168,"0.0")&amp;" p.p.)"))))</f>
        <v>En tiempo, según lo planificado</v>
      </c>
      <c r="K168" s="7" t="s">
        <v>27</v>
      </c>
      <c r="L168" s="7"/>
      <c r="M168" s="7" t="s">
        <v>221</v>
      </c>
      <c r="N168" s="7" t="s">
        <v>51</v>
      </c>
      <c r="O168" s="13" t="n">
        <f aca="false">IF(AND(E168&lt;&gt;"",YEAR(E168)=YEAR(Parametros!$B$3),MONTH(E168)&gt;=10),1,0)</f>
        <v>1</v>
      </c>
      <c r="P168" s="13" t="n">
        <f aca="false">IF(AND(E168&lt;Parametros!$B$3,K168&lt;&gt;"Finalizado"),1,0)</f>
        <v>0</v>
      </c>
      <c r="Q168" s="13" t="n">
        <f aca="false">IF(AND(E168&gt;=Parametros!$B$3,E168&lt;=Parametros!$B$3+30,K168&lt;&gt;"Finalizado"),1,0)</f>
        <v>0</v>
      </c>
    </row>
    <row r="169" customFormat="false" ht="15" hidden="false" customHeight="false" outlineLevel="0" collapsed="false">
      <c r="A169" s="7" t="s">
        <v>295</v>
      </c>
      <c r="B169" s="7" t="s">
        <v>296</v>
      </c>
      <c r="C169" s="7" t="s">
        <v>303</v>
      </c>
      <c r="D169" s="9" t="n">
        <v>46167</v>
      </c>
      <c r="E169" s="9" t="n">
        <v>46174</v>
      </c>
      <c r="F169" s="10" t="n">
        <v>100</v>
      </c>
      <c r="G169" s="11" t="n">
        <f aca="false">IF(OR(D169="",E169="",E169&lt;=D169),"",MIN(100,MAX(0,(Parametros!$B$3-D169)/(E169-D169)*100)))</f>
        <v>100</v>
      </c>
      <c r="H169" s="12" t="n">
        <f aca="false">IF(G169="","",G169-F169)</f>
        <v>0</v>
      </c>
      <c r="I169" s="13" t="str">
        <f aca="false">IF(K169="Finalizado","Verde",IF(G169="","Amarillo",IF(H169&lt;=Parametros!$B$4,"Verde",IF(H169&lt;=Parametros!$B$5,"Amarillo","Rojo"))))</f>
        <v>Verde</v>
      </c>
      <c r="J169" s="14" t="str">
        <f aca="false">IF(K169="Finalizado","Completado",IF(G169="","Sin fecha válida - revisar plazos",IF(H169&lt;=Parametros!$B$4,"En tiempo, según lo planificado",IF(H169&lt;=Parametros!$B$5,"Atraso leve - seguimiento cercano ("&amp;TEXT(H169,"0.0")&amp;" p.p.)","Atraso crítico - requiere intervención ("&amp;TEXT(H169,"0.0")&amp;" p.p.)"))))</f>
        <v>Completado</v>
      </c>
      <c r="K169" s="7" t="s">
        <v>38</v>
      </c>
      <c r="L169" s="7"/>
      <c r="M169" s="7" t="s">
        <v>221</v>
      </c>
      <c r="N169" s="7" t="s">
        <v>51</v>
      </c>
      <c r="O169" s="13" t="n">
        <f aca="false">IF(AND(E169&lt;&gt;"",YEAR(E169)=YEAR(Parametros!$B$3),MONTH(E169)&gt;=10),1,0)</f>
        <v>0</v>
      </c>
      <c r="P169" s="13" t="n">
        <f aca="false">IF(AND(E169&lt;Parametros!$B$3,K169&lt;&gt;"Finalizado"),1,0)</f>
        <v>0</v>
      </c>
      <c r="Q169" s="13" t="n">
        <f aca="false">IF(AND(E169&gt;=Parametros!$B$3,E169&lt;=Parametros!$B$3+30,K169&lt;&gt;"Finalizado"),1,0)</f>
        <v>0</v>
      </c>
    </row>
    <row r="170" customFormat="false" ht="15" hidden="false" customHeight="false" outlineLevel="0" collapsed="false">
      <c r="A170" s="7" t="s">
        <v>304</v>
      </c>
      <c r="B170" s="7" t="s">
        <v>305</v>
      </c>
      <c r="C170" s="8" t="s">
        <v>306</v>
      </c>
      <c r="D170" s="9" t="n">
        <v>46296</v>
      </c>
      <c r="E170" s="9" t="n">
        <v>46387</v>
      </c>
      <c r="F170" s="10" t="n">
        <v>0</v>
      </c>
      <c r="G170" s="11" t="n">
        <f aca="false">IF(OR(D170="",E170="",E170&lt;=D170),"",MIN(100,MAX(0,(Parametros!$B$3-D170)/(E170-D170)*100)))</f>
        <v>0</v>
      </c>
      <c r="H170" s="12" t="n">
        <f aca="false">IF(G170="","",G170-F170)</f>
        <v>0</v>
      </c>
      <c r="I170" s="13" t="str">
        <f aca="false">IF(K170="Finalizado","Verde",IF(G170="","Amarillo",IF(H170&lt;=Parametros!$B$4,"Verde",IF(H170&lt;=Parametros!$B$5,"Amarillo","Rojo"))))</f>
        <v>Verde</v>
      </c>
      <c r="J170" s="14" t="str">
        <f aca="false">IF(K170="Finalizado","Completado",IF(G170="","Sin fecha válida - revisar plazos",IF(H170&lt;=Parametros!$B$4,"En tiempo, según lo planificado",IF(H170&lt;=Parametros!$B$5,"Atraso leve - seguimiento cercano ("&amp;TEXT(H170,"0.0")&amp;" p.p.)","Atraso crítico - requiere intervención ("&amp;TEXT(H170,"0.0")&amp;" p.p.)"))))</f>
        <v>En tiempo, según lo planificado</v>
      </c>
      <c r="K170" s="7" t="s">
        <v>100</v>
      </c>
      <c r="L170" s="7"/>
      <c r="M170" s="7" t="s">
        <v>307</v>
      </c>
      <c r="N170" s="7" t="s">
        <v>51</v>
      </c>
      <c r="O170" s="13" t="n">
        <f aca="false">IF(AND(E170&lt;&gt;"",YEAR(E170)=YEAR(Parametros!$B$3),MONTH(E170)&gt;=10),1,0)</f>
        <v>1</v>
      </c>
      <c r="P170" s="13" t="n">
        <f aca="false">IF(AND(E170&lt;Parametros!$B$3,K170&lt;&gt;"Finalizado"),1,0)</f>
        <v>0</v>
      </c>
      <c r="Q170" s="13" t="n">
        <f aca="false">IF(AND(E170&gt;=Parametros!$B$3,E170&lt;=Parametros!$B$3+30,K170&lt;&gt;"Finalizado"),1,0)</f>
        <v>0</v>
      </c>
    </row>
    <row r="171" customFormat="false" ht="15" hidden="false" customHeight="false" outlineLevel="0" collapsed="false">
      <c r="A171" s="7" t="s">
        <v>304</v>
      </c>
      <c r="B171" s="7" t="s">
        <v>305</v>
      </c>
      <c r="C171" s="8" t="s">
        <v>308</v>
      </c>
      <c r="D171" s="9" t="n">
        <v>46204</v>
      </c>
      <c r="E171" s="9" t="n">
        <v>46295</v>
      </c>
      <c r="F171" s="10" t="n">
        <v>40</v>
      </c>
      <c r="G171" s="11" t="n">
        <f aca="false">IF(OR(D171="",E171="",E171&lt;=D171),"",MIN(100,MAX(0,(Parametros!$B$3-D171)/(E171-D171)*100)))</f>
        <v>59.3406593406593</v>
      </c>
      <c r="H171" s="12" t="n">
        <f aca="false">IF(G171="","",G171-F171)</f>
        <v>19.3406593406593</v>
      </c>
      <c r="I171" s="13" t="str">
        <f aca="false">IF(K171="Finalizado","Verde",IF(G171="","Amarillo",IF(H171&lt;=Parametros!$B$4,"Verde",IF(H171&lt;=Parametros!$B$5,"Amarillo","Rojo"))))</f>
        <v>Amarillo</v>
      </c>
      <c r="J171" s="14" t="str">
        <f aca="false">IF(K171="Finalizado","Completado",IF(G171="","Sin fecha válida - revisar plazos",IF(H171&lt;=Parametros!$B$4,"En tiempo, según lo planificado",IF(H171&lt;=Parametros!$B$5,"Atraso leve - seguimiento cercano ("&amp;TEXT(H171,"0.0")&amp;" p.p.)","Atraso crítico - requiere intervención ("&amp;TEXT(H171,"0.0")&amp;" p.p.)"))))</f>
        <v>Atraso leve - seguimiento cercano (19.3 p.p.)</v>
      </c>
      <c r="K171" s="7" t="s">
        <v>27</v>
      </c>
      <c r="L171" s="7"/>
      <c r="M171" s="7" t="s">
        <v>307</v>
      </c>
      <c r="N171" s="7" t="s">
        <v>51</v>
      </c>
      <c r="O171" s="13" t="n">
        <f aca="false">IF(AND(E171&lt;&gt;"",YEAR(E171)=YEAR(Parametros!$B$3),MONTH(E171)&gt;=10),1,0)</f>
        <v>0</v>
      </c>
      <c r="P171" s="13" t="n">
        <f aca="false">IF(AND(E171&lt;Parametros!$B$3,K171&lt;&gt;"Finalizado"),1,0)</f>
        <v>0</v>
      </c>
      <c r="Q171" s="13" t="n">
        <f aca="false">IF(AND(E171&gt;=Parametros!$B$3,E171&lt;=Parametros!$B$3+30,K171&lt;&gt;"Finalizado"),1,0)</f>
        <v>0</v>
      </c>
    </row>
    <row r="172" customFormat="false" ht="15" hidden="false" customHeight="false" outlineLevel="0" collapsed="false">
      <c r="A172" s="7" t="s">
        <v>304</v>
      </c>
      <c r="B172" s="7" t="s">
        <v>305</v>
      </c>
      <c r="C172" s="8" t="s">
        <v>309</v>
      </c>
      <c r="D172" s="9" t="n">
        <v>46113</v>
      </c>
      <c r="E172" s="9" t="n">
        <v>46203</v>
      </c>
      <c r="F172" s="10" t="n">
        <v>100</v>
      </c>
      <c r="G172" s="11" t="n">
        <f aca="false">IF(OR(D172="",E172="",E172&lt;=D172),"",MIN(100,MAX(0,(Parametros!$B$3-D172)/(E172-D172)*100)))</f>
        <v>100</v>
      </c>
      <c r="H172" s="12" t="n">
        <f aca="false">IF(G172="","",G172-F172)</f>
        <v>0</v>
      </c>
      <c r="I172" s="13" t="str">
        <f aca="false">IF(K172="Finalizado","Verde",IF(G172="","Amarillo",IF(H172&lt;=Parametros!$B$4,"Verde",IF(H172&lt;=Parametros!$B$5,"Amarillo","Rojo"))))</f>
        <v>Verde</v>
      </c>
      <c r="J172" s="14" t="str">
        <f aca="false">IF(K172="Finalizado","Completado",IF(G172="","Sin fecha válida - revisar plazos",IF(H172&lt;=Parametros!$B$4,"En tiempo, según lo planificado",IF(H172&lt;=Parametros!$B$5,"Atraso leve - seguimiento cercano ("&amp;TEXT(H172,"0.0")&amp;" p.p.)","Atraso crítico - requiere intervención ("&amp;TEXT(H172,"0.0")&amp;" p.p.)"))))</f>
        <v>Completado</v>
      </c>
      <c r="K172" s="7" t="s">
        <v>38</v>
      </c>
      <c r="L172" s="7"/>
      <c r="M172" s="7" t="s">
        <v>307</v>
      </c>
      <c r="N172" s="7" t="s">
        <v>51</v>
      </c>
      <c r="O172" s="13" t="n">
        <f aca="false">IF(AND(E172&lt;&gt;"",YEAR(E172)=YEAR(Parametros!$B$3),MONTH(E172)&gt;=10),1,0)</f>
        <v>0</v>
      </c>
      <c r="P172" s="13" t="n">
        <f aca="false">IF(AND(E172&lt;Parametros!$B$3,K172&lt;&gt;"Finalizado"),1,0)</f>
        <v>0</v>
      </c>
      <c r="Q172" s="13" t="n">
        <f aca="false">IF(AND(E172&gt;=Parametros!$B$3,E172&lt;=Parametros!$B$3+30,K172&lt;&gt;"Finalizado"),1,0)</f>
        <v>0</v>
      </c>
    </row>
    <row r="173" customFormat="false" ht="15" hidden="false" customHeight="false" outlineLevel="0" collapsed="false">
      <c r="A173" s="7" t="s">
        <v>304</v>
      </c>
      <c r="B173" s="7" t="s">
        <v>305</v>
      </c>
      <c r="C173" s="8" t="s">
        <v>310</v>
      </c>
      <c r="D173" s="9" t="n">
        <v>46113</v>
      </c>
      <c r="E173" s="9" t="n">
        <v>46203</v>
      </c>
      <c r="F173" s="10" t="n">
        <v>100</v>
      </c>
      <c r="G173" s="11" t="n">
        <f aca="false">IF(OR(D173="",E173="",E173&lt;=D173),"",MIN(100,MAX(0,(Parametros!$B$3-D173)/(E173-D173)*100)))</f>
        <v>100</v>
      </c>
      <c r="H173" s="12" t="n">
        <f aca="false">IF(G173="","",G173-F173)</f>
        <v>0</v>
      </c>
      <c r="I173" s="13" t="str">
        <f aca="false">IF(K173="Finalizado","Verde",IF(G173="","Amarillo",IF(H173&lt;=Parametros!$B$4,"Verde",IF(H173&lt;=Parametros!$B$5,"Amarillo","Rojo"))))</f>
        <v>Verde</v>
      </c>
      <c r="J173" s="14" t="str">
        <f aca="false">IF(K173="Finalizado","Completado",IF(G173="","Sin fecha válida - revisar plazos",IF(H173&lt;=Parametros!$B$4,"En tiempo, según lo planificado",IF(H173&lt;=Parametros!$B$5,"Atraso leve - seguimiento cercano ("&amp;TEXT(H173,"0.0")&amp;" p.p.)","Atraso crítico - requiere intervención ("&amp;TEXT(H173,"0.0")&amp;" p.p.)"))))</f>
        <v>Completado</v>
      </c>
      <c r="K173" s="7" t="s">
        <v>38</v>
      </c>
      <c r="L173" s="7"/>
      <c r="M173" s="7" t="s">
        <v>307</v>
      </c>
      <c r="N173" s="7" t="s">
        <v>51</v>
      </c>
      <c r="O173" s="13" t="n">
        <f aca="false">IF(AND(E173&lt;&gt;"",YEAR(E173)=YEAR(Parametros!$B$3),MONTH(E173)&gt;=10),1,0)</f>
        <v>0</v>
      </c>
      <c r="P173" s="13" t="n">
        <f aca="false">IF(AND(E173&lt;Parametros!$B$3,K173&lt;&gt;"Finalizado"),1,0)</f>
        <v>0</v>
      </c>
      <c r="Q173" s="13" t="n">
        <f aca="false">IF(AND(E173&gt;=Parametros!$B$3,E173&lt;=Parametros!$B$3+30,K173&lt;&gt;"Finalizado"),1,0)</f>
        <v>0</v>
      </c>
    </row>
    <row r="174" customFormat="false" ht="15" hidden="false" customHeight="false" outlineLevel="0" collapsed="false">
      <c r="A174" s="7" t="s">
        <v>304</v>
      </c>
      <c r="B174" s="7" t="s">
        <v>305</v>
      </c>
      <c r="C174" s="8" t="s">
        <v>311</v>
      </c>
      <c r="D174" s="9" t="n">
        <v>46113</v>
      </c>
      <c r="E174" s="9" t="n">
        <v>46203</v>
      </c>
      <c r="F174" s="10" t="n">
        <v>100</v>
      </c>
      <c r="G174" s="11" t="n">
        <f aca="false">IF(OR(D174="",E174="",E174&lt;=D174),"",MIN(100,MAX(0,(Parametros!$B$3-D174)/(E174-D174)*100)))</f>
        <v>100</v>
      </c>
      <c r="H174" s="12" t="n">
        <f aca="false">IF(G174="","",G174-F174)</f>
        <v>0</v>
      </c>
      <c r="I174" s="13" t="str">
        <f aca="false">IF(K174="Finalizado","Verde",IF(G174="","Amarillo",IF(H174&lt;=Parametros!$B$4,"Verde",IF(H174&lt;=Parametros!$B$5,"Amarillo","Rojo"))))</f>
        <v>Verde</v>
      </c>
      <c r="J174" s="14" t="str">
        <f aca="false">IF(K174="Finalizado","Completado",IF(G174="","Sin fecha válida - revisar plazos",IF(H174&lt;=Parametros!$B$4,"En tiempo, según lo planificado",IF(H174&lt;=Parametros!$B$5,"Atraso leve - seguimiento cercano ("&amp;TEXT(H174,"0.0")&amp;" p.p.)","Atraso crítico - requiere intervención ("&amp;TEXT(H174,"0.0")&amp;" p.p.)"))))</f>
        <v>Completado</v>
      </c>
      <c r="K174" s="7" t="s">
        <v>38</v>
      </c>
      <c r="L174" s="7"/>
      <c r="M174" s="7" t="s">
        <v>307</v>
      </c>
      <c r="N174" s="7" t="s">
        <v>51</v>
      </c>
      <c r="O174" s="13" t="n">
        <f aca="false">IF(AND(E174&lt;&gt;"",YEAR(E174)=YEAR(Parametros!$B$3),MONTH(E174)&gt;=10),1,0)</f>
        <v>0</v>
      </c>
      <c r="P174" s="13" t="n">
        <f aca="false">IF(AND(E174&lt;Parametros!$B$3,K174&lt;&gt;"Finalizado"),1,0)</f>
        <v>0</v>
      </c>
      <c r="Q174" s="13" t="n">
        <f aca="false">IF(AND(E174&gt;=Parametros!$B$3,E174&lt;=Parametros!$B$3+30,K174&lt;&gt;"Finalizado"),1,0)</f>
        <v>0</v>
      </c>
    </row>
    <row r="175" customFormat="false" ht="15" hidden="false" customHeight="false" outlineLevel="0" collapsed="false">
      <c r="A175" s="7" t="s">
        <v>304</v>
      </c>
      <c r="B175" s="7" t="s">
        <v>305</v>
      </c>
      <c r="C175" s="8" t="s">
        <v>312</v>
      </c>
      <c r="D175" s="9" t="n">
        <v>46113</v>
      </c>
      <c r="E175" s="9" t="n">
        <v>46203</v>
      </c>
      <c r="F175" s="10" t="n">
        <v>100</v>
      </c>
      <c r="G175" s="11" t="n">
        <f aca="false">IF(OR(D175="",E175="",E175&lt;=D175),"",MIN(100,MAX(0,(Parametros!$B$3-D175)/(E175-D175)*100)))</f>
        <v>100</v>
      </c>
      <c r="H175" s="12" t="n">
        <f aca="false">IF(G175="","",G175-F175)</f>
        <v>0</v>
      </c>
      <c r="I175" s="13" t="str">
        <f aca="false">IF(K175="Finalizado","Verde",IF(G175="","Amarillo",IF(H175&lt;=Parametros!$B$4,"Verde",IF(H175&lt;=Parametros!$B$5,"Amarillo","Rojo"))))</f>
        <v>Verde</v>
      </c>
      <c r="J175" s="14" t="str">
        <f aca="false">IF(K175="Finalizado","Completado",IF(G175="","Sin fecha válida - revisar plazos",IF(H175&lt;=Parametros!$B$4,"En tiempo, según lo planificado",IF(H175&lt;=Parametros!$B$5,"Atraso leve - seguimiento cercano ("&amp;TEXT(H175,"0.0")&amp;" p.p.)","Atraso crítico - requiere intervención ("&amp;TEXT(H175,"0.0")&amp;" p.p.)"))))</f>
        <v>Completado</v>
      </c>
      <c r="K175" s="7" t="s">
        <v>38</v>
      </c>
      <c r="L175" s="7"/>
      <c r="M175" s="7" t="s">
        <v>307</v>
      </c>
      <c r="N175" s="7" t="s">
        <v>51</v>
      </c>
      <c r="O175" s="13" t="n">
        <f aca="false">IF(AND(E175&lt;&gt;"",YEAR(E175)=YEAR(Parametros!$B$3),MONTH(E175)&gt;=10),1,0)</f>
        <v>0</v>
      </c>
      <c r="P175" s="13" t="n">
        <f aca="false">IF(AND(E175&lt;Parametros!$B$3,K175&lt;&gt;"Finalizado"),1,0)</f>
        <v>0</v>
      </c>
      <c r="Q175" s="13" t="n">
        <f aca="false">IF(AND(E175&gt;=Parametros!$B$3,E175&lt;=Parametros!$B$3+30,K175&lt;&gt;"Finalizado"),1,0)</f>
        <v>0</v>
      </c>
    </row>
    <row r="176" customFormat="false" ht="15" hidden="false" customHeight="false" outlineLevel="0" collapsed="false">
      <c r="A176" s="7" t="s">
        <v>304</v>
      </c>
      <c r="B176" s="7" t="s">
        <v>305</v>
      </c>
      <c r="C176" s="8" t="s">
        <v>313</v>
      </c>
      <c r="D176" s="9" t="n">
        <v>46023</v>
      </c>
      <c r="E176" s="9" t="n">
        <v>46112</v>
      </c>
      <c r="F176" s="10" t="n">
        <v>100</v>
      </c>
      <c r="G176" s="11" t="n">
        <f aca="false">IF(OR(D176="",E176="",E176&lt;=D176),"",MIN(100,MAX(0,(Parametros!$B$3-D176)/(E176-D176)*100)))</f>
        <v>100</v>
      </c>
      <c r="H176" s="12" t="n">
        <f aca="false">IF(G176="","",G176-F176)</f>
        <v>0</v>
      </c>
      <c r="I176" s="13" t="str">
        <f aca="false">IF(K176="Finalizado","Verde",IF(G176="","Amarillo",IF(H176&lt;=Parametros!$B$4,"Verde",IF(H176&lt;=Parametros!$B$5,"Amarillo","Rojo"))))</f>
        <v>Verde</v>
      </c>
      <c r="J176" s="14" t="str">
        <f aca="false">IF(K176="Finalizado","Completado",IF(G176="","Sin fecha válida - revisar plazos",IF(H176&lt;=Parametros!$B$4,"En tiempo, según lo planificado",IF(H176&lt;=Parametros!$B$5,"Atraso leve - seguimiento cercano ("&amp;TEXT(H176,"0.0")&amp;" p.p.)","Atraso crítico - requiere intervención ("&amp;TEXT(H176,"0.0")&amp;" p.p.)"))))</f>
        <v>Completado</v>
      </c>
      <c r="K176" s="7" t="s">
        <v>38</v>
      </c>
      <c r="L176" s="7"/>
      <c r="M176" s="7" t="s">
        <v>307</v>
      </c>
      <c r="N176" s="7" t="s">
        <v>51</v>
      </c>
      <c r="O176" s="13" t="n">
        <f aca="false">IF(AND(E176&lt;&gt;"",YEAR(E176)=YEAR(Parametros!$B$3),MONTH(E176)&gt;=10),1,0)</f>
        <v>0</v>
      </c>
      <c r="P176" s="13" t="n">
        <f aca="false">IF(AND(E176&lt;Parametros!$B$3,K176&lt;&gt;"Finalizado"),1,0)</f>
        <v>0</v>
      </c>
      <c r="Q176" s="13" t="n">
        <f aca="false">IF(AND(E176&gt;=Parametros!$B$3,E176&lt;=Parametros!$B$3+30,K176&lt;&gt;"Finalizado"),1,0)</f>
        <v>0</v>
      </c>
    </row>
    <row r="177" customFormat="false" ht="15" hidden="false" customHeight="false" outlineLevel="0" collapsed="false">
      <c r="A177" s="7" t="s">
        <v>304</v>
      </c>
      <c r="B177" s="7" t="s">
        <v>305</v>
      </c>
      <c r="C177" s="8" t="s">
        <v>314</v>
      </c>
      <c r="D177" s="9" t="n">
        <v>46113</v>
      </c>
      <c r="E177" s="9" t="n">
        <v>46203</v>
      </c>
      <c r="F177" s="10" t="n">
        <v>100</v>
      </c>
      <c r="G177" s="11" t="n">
        <f aca="false">IF(OR(D177="",E177="",E177&lt;=D177),"",MIN(100,MAX(0,(Parametros!$B$3-D177)/(E177-D177)*100)))</f>
        <v>100</v>
      </c>
      <c r="H177" s="12" t="n">
        <f aca="false">IF(G177="","",G177-F177)</f>
        <v>0</v>
      </c>
      <c r="I177" s="13" t="str">
        <f aca="false">IF(K177="Finalizado","Verde",IF(G177="","Amarillo",IF(H177&lt;=Parametros!$B$4,"Verde",IF(H177&lt;=Parametros!$B$5,"Amarillo","Rojo"))))</f>
        <v>Verde</v>
      </c>
      <c r="J177" s="14" t="str">
        <f aca="false">IF(K177="Finalizado","Completado",IF(G177="","Sin fecha válida - revisar plazos",IF(H177&lt;=Parametros!$B$4,"En tiempo, según lo planificado",IF(H177&lt;=Parametros!$B$5,"Atraso leve - seguimiento cercano ("&amp;TEXT(H177,"0.0")&amp;" p.p.)","Atraso crítico - requiere intervención ("&amp;TEXT(H177,"0.0")&amp;" p.p.)"))))</f>
        <v>Completado</v>
      </c>
      <c r="K177" s="7" t="s">
        <v>38</v>
      </c>
      <c r="L177" s="7"/>
      <c r="M177" s="7" t="s">
        <v>307</v>
      </c>
      <c r="N177" s="7" t="s">
        <v>51</v>
      </c>
      <c r="O177" s="13" t="n">
        <f aca="false">IF(AND(E177&lt;&gt;"",YEAR(E177)=YEAR(Parametros!$B$3),MONTH(E177)&gt;=10),1,0)</f>
        <v>0</v>
      </c>
      <c r="P177" s="13" t="n">
        <f aca="false">IF(AND(E177&lt;Parametros!$B$3,K177&lt;&gt;"Finalizado"),1,0)</f>
        <v>0</v>
      </c>
      <c r="Q177" s="13" t="n">
        <f aca="false">IF(AND(E177&gt;=Parametros!$B$3,E177&lt;=Parametros!$B$3+30,K177&lt;&gt;"Finalizado"),1,0)</f>
        <v>0</v>
      </c>
    </row>
    <row r="178" customFormat="false" ht="15" hidden="false" customHeight="false" outlineLevel="0" collapsed="false">
      <c r="A178" s="7" t="s">
        <v>304</v>
      </c>
      <c r="B178" s="7" t="s">
        <v>305</v>
      </c>
      <c r="C178" s="8" t="s">
        <v>315</v>
      </c>
      <c r="D178" s="9" t="n">
        <v>46023</v>
      </c>
      <c r="E178" s="9" t="n">
        <v>46112</v>
      </c>
      <c r="F178" s="10" t="n">
        <v>100</v>
      </c>
      <c r="G178" s="11" t="n">
        <f aca="false">IF(OR(D178="",E178="",E178&lt;=D178),"",MIN(100,MAX(0,(Parametros!$B$3-D178)/(E178-D178)*100)))</f>
        <v>100</v>
      </c>
      <c r="H178" s="12" t="n">
        <f aca="false">IF(G178="","",G178-F178)</f>
        <v>0</v>
      </c>
      <c r="I178" s="13" t="str">
        <f aca="false">IF(K178="Finalizado","Verde",IF(G178="","Amarillo",IF(H178&lt;=Parametros!$B$4,"Verde",IF(H178&lt;=Parametros!$B$5,"Amarillo","Rojo"))))</f>
        <v>Verde</v>
      </c>
      <c r="J178" s="14" t="str">
        <f aca="false">IF(K178="Finalizado","Completado",IF(G178="","Sin fecha válida - revisar plazos",IF(H178&lt;=Parametros!$B$4,"En tiempo, según lo planificado",IF(H178&lt;=Parametros!$B$5,"Atraso leve - seguimiento cercano ("&amp;TEXT(H178,"0.0")&amp;" p.p.)","Atraso crítico - requiere intervención ("&amp;TEXT(H178,"0.0")&amp;" p.p.)"))))</f>
        <v>Completado</v>
      </c>
      <c r="K178" s="7" t="s">
        <v>38</v>
      </c>
      <c r="L178" s="7"/>
      <c r="M178" s="7" t="s">
        <v>307</v>
      </c>
      <c r="N178" s="7" t="s">
        <v>51</v>
      </c>
      <c r="O178" s="13" t="n">
        <f aca="false">IF(AND(E178&lt;&gt;"",YEAR(E178)=YEAR(Parametros!$B$3),MONTH(E178)&gt;=10),1,0)</f>
        <v>0</v>
      </c>
      <c r="P178" s="13" t="n">
        <f aca="false">IF(AND(E178&lt;Parametros!$B$3,K178&lt;&gt;"Finalizado"),1,0)</f>
        <v>0</v>
      </c>
      <c r="Q178" s="13" t="n">
        <f aca="false">IF(AND(E178&gt;=Parametros!$B$3,E178&lt;=Parametros!$B$3+30,K178&lt;&gt;"Finalizado"),1,0)</f>
        <v>0</v>
      </c>
    </row>
    <row r="179" customFormat="false" ht="15" hidden="false" customHeight="false" outlineLevel="0" collapsed="false">
      <c r="A179" s="7" t="s">
        <v>304</v>
      </c>
      <c r="B179" s="7" t="s">
        <v>305</v>
      </c>
      <c r="C179" s="8" t="s">
        <v>316</v>
      </c>
      <c r="D179" s="9" t="n">
        <v>46296</v>
      </c>
      <c r="E179" s="9" t="n">
        <v>46387</v>
      </c>
      <c r="F179" s="10" t="n">
        <v>25</v>
      </c>
      <c r="G179" s="11" t="n">
        <f aca="false">IF(OR(D179="",E179="",E179&lt;=D179),"",MIN(100,MAX(0,(Parametros!$B$3-D179)/(E179-D179)*100)))</f>
        <v>0</v>
      </c>
      <c r="H179" s="12" t="n">
        <f aca="false">IF(G179="","",G179-F179)</f>
        <v>-25</v>
      </c>
      <c r="I179" s="13" t="str">
        <f aca="false">IF(K179="Finalizado","Verde",IF(G179="","Amarillo",IF(H179&lt;=Parametros!$B$4,"Verde",IF(H179&lt;=Parametros!$B$5,"Amarillo","Rojo"))))</f>
        <v>Verde</v>
      </c>
      <c r="J179" s="14" t="str">
        <f aca="false">IF(K179="Finalizado","Completado",IF(G179="","Sin fecha válida - revisar plazos",IF(H179&lt;=Parametros!$B$4,"En tiempo, según lo planificado",IF(H179&lt;=Parametros!$B$5,"Atraso leve - seguimiento cercano ("&amp;TEXT(H179,"0.0")&amp;" p.p.)","Atraso crítico - requiere intervención ("&amp;TEXT(H179,"0.0")&amp;" p.p.)"))))</f>
        <v>En tiempo, según lo planificado</v>
      </c>
      <c r="K179" s="7" t="s">
        <v>27</v>
      </c>
      <c r="L179" s="7"/>
      <c r="M179" s="7" t="s">
        <v>307</v>
      </c>
      <c r="N179" s="7" t="s">
        <v>51</v>
      </c>
      <c r="O179" s="13" t="n">
        <f aca="false">IF(AND(E179&lt;&gt;"",YEAR(E179)=YEAR(Parametros!$B$3),MONTH(E179)&gt;=10),1,0)</f>
        <v>1</v>
      </c>
      <c r="P179" s="13" t="n">
        <f aca="false">IF(AND(E179&lt;Parametros!$B$3,K179&lt;&gt;"Finalizado"),1,0)</f>
        <v>0</v>
      </c>
      <c r="Q179" s="13" t="n">
        <f aca="false">IF(AND(E179&gt;=Parametros!$B$3,E179&lt;=Parametros!$B$3+30,K179&lt;&gt;"Finalizado"),1,0)</f>
        <v>0</v>
      </c>
    </row>
    <row r="180" customFormat="false" ht="15" hidden="false" customHeight="false" outlineLevel="0" collapsed="false">
      <c r="A180" s="7" t="s">
        <v>304</v>
      </c>
      <c r="B180" s="7" t="s">
        <v>305</v>
      </c>
      <c r="C180" s="8" t="s">
        <v>317</v>
      </c>
      <c r="D180" s="9" t="n">
        <v>45931</v>
      </c>
      <c r="E180" s="9" t="n">
        <v>46022</v>
      </c>
      <c r="F180" s="10" t="n">
        <v>100</v>
      </c>
      <c r="G180" s="11" t="n">
        <f aca="false">IF(OR(D180="",E180="",E180&lt;=D180),"",MIN(100,MAX(0,(Parametros!$B$3-D180)/(E180-D180)*100)))</f>
        <v>100</v>
      </c>
      <c r="H180" s="12" t="n">
        <f aca="false">IF(G180="","",G180-F180)</f>
        <v>0</v>
      </c>
      <c r="I180" s="13" t="str">
        <f aca="false">IF(K180="Finalizado","Verde",IF(G180="","Amarillo",IF(H180&lt;=Parametros!$B$4,"Verde",IF(H180&lt;=Parametros!$B$5,"Amarillo","Rojo"))))</f>
        <v>Verde</v>
      </c>
      <c r="J180" s="14" t="str">
        <f aca="false">IF(K180="Finalizado","Completado",IF(G180="","Sin fecha válida - revisar plazos",IF(H180&lt;=Parametros!$B$4,"En tiempo, según lo planificado",IF(H180&lt;=Parametros!$B$5,"Atraso leve - seguimiento cercano ("&amp;TEXT(H180,"0.0")&amp;" p.p.)","Atraso crítico - requiere intervención ("&amp;TEXT(H180,"0.0")&amp;" p.p.)"))))</f>
        <v>Completado</v>
      </c>
      <c r="K180" s="7" t="s">
        <v>38</v>
      </c>
      <c r="L180" s="7"/>
      <c r="M180" s="7" t="s">
        <v>307</v>
      </c>
      <c r="N180" s="7" t="s">
        <v>51</v>
      </c>
      <c r="O180" s="13" t="n">
        <f aca="false">IF(AND(E180&lt;&gt;"",YEAR(E180)=YEAR(Parametros!$B$3),MONTH(E180)&gt;=10),1,0)</f>
        <v>0</v>
      </c>
      <c r="P180" s="13" t="n">
        <f aca="false">IF(AND(E180&lt;Parametros!$B$3,K180&lt;&gt;"Finalizado"),1,0)</f>
        <v>0</v>
      </c>
      <c r="Q180" s="13" t="n">
        <f aca="false">IF(AND(E180&gt;=Parametros!$B$3,E180&lt;=Parametros!$B$3+30,K180&lt;&gt;"Finalizado"),1,0)</f>
        <v>0</v>
      </c>
    </row>
    <row r="181" customFormat="false" ht="15" hidden="false" customHeight="false" outlineLevel="0" collapsed="false">
      <c r="A181" s="7" t="s">
        <v>304</v>
      </c>
      <c r="B181" s="7" t="s">
        <v>305</v>
      </c>
      <c r="C181" s="8" t="s">
        <v>318</v>
      </c>
      <c r="D181" s="9" t="n">
        <v>45748</v>
      </c>
      <c r="E181" s="9" t="n">
        <v>45838</v>
      </c>
      <c r="F181" s="10" t="n">
        <v>100</v>
      </c>
      <c r="G181" s="11" t="n">
        <f aca="false">IF(OR(D181="",E181="",E181&lt;=D181),"",MIN(100,MAX(0,(Parametros!$B$3-D181)/(E181-D181)*100)))</f>
        <v>100</v>
      </c>
      <c r="H181" s="12" t="n">
        <f aca="false">IF(G181="","",G181-F181)</f>
        <v>0</v>
      </c>
      <c r="I181" s="13" t="str">
        <f aca="false">IF(K181="Finalizado","Verde",IF(G181="","Amarillo",IF(H181&lt;=Parametros!$B$4,"Verde",IF(H181&lt;=Parametros!$B$5,"Amarillo","Rojo"))))</f>
        <v>Verde</v>
      </c>
      <c r="J181" s="14" t="str">
        <f aca="false">IF(K181="Finalizado","Completado",IF(G181="","Sin fecha válida - revisar plazos",IF(H181&lt;=Parametros!$B$4,"En tiempo, según lo planificado",IF(H181&lt;=Parametros!$B$5,"Atraso leve - seguimiento cercano ("&amp;TEXT(H181,"0.0")&amp;" p.p.)","Atraso crítico - requiere intervención ("&amp;TEXT(H181,"0.0")&amp;" p.p.)"))))</f>
        <v>Completado</v>
      </c>
      <c r="K181" s="7" t="s">
        <v>38</v>
      </c>
      <c r="L181" s="7"/>
      <c r="M181" s="7" t="s">
        <v>307</v>
      </c>
      <c r="N181" s="7" t="s">
        <v>51</v>
      </c>
      <c r="O181" s="13" t="n">
        <f aca="false">IF(AND(E181&lt;&gt;"",YEAR(E181)=YEAR(Parametros!$B$3),MONTH(E181)&gt;=10),1,0)</f>
        <v>0</v>
      </c>
      <c r="P181" s="13" t="n">
        <f aca="false">IF(AND(E181&lt;Parametros!$B$3,K181&lt;&gt;"Finalizado"),1,0)</f>
        <v>0</v>
      </c>
      <c r="Q181" s="13" t="n">
        <f aca="false">IF(AND(E181&gt;=Parametros!$B$3,E181&lt;=Parametros!$B$3+30,K181&lt;&gt;"Finalizado"),1,0)</f>
        <v>0</v>
      </c>
    </row>
    <row r="182" customFormat="false" ht="15" hidden="false" customHeight="false" outlineLevel="0" collapsed="false">
      <c r="A182" s="7" t="s">
        <v>304</v>
      </c>
      <c r="B182" s="7" t="s">
        <v>305</v>
      </c>
      <c r="C182" s="8" t="s">
        <v>319</v>
      </c>
      <c r="D182" s="9" t="n">
        <v>46113</v>
      </c>
      <c r="E182" s="9" t="n">
        <v>46203</v>
      </c>
      <c r="F182" s="10" t="n">
        <v>100</v>
      </c>
      <c r="G182" s="11" t="n">
        <f aca="false">IF(OR(D182="",E182="",E182&lt;=D182),"",MIN(100,MAX(0,(Parametros!$B$3-D182)/(E182-D182)*100)))</f>
        <v>100</v>
      </c>
      <c r="H182" s="12" t="n">
        <f aca="false">IF(G182="","",G182-F182)</f>
        <v>0</v>
      </c>
      <c r="I182" s="13" t="str">
        <f aca="false">IF(K182="Finalizado","Verde",IF(G182="","Amarillo",IF(H182&lt;=Parametros!$B$4,"Verde",IF(H182&lt;=Parametros!$B$5,"Amarillo","Rojo"))))</f>
        <v>Verde</v>
      </c>
      <c r="J182" s="14" t="str">
        <f aca="false">IF(K182="Finalizado","Completado",IF(G182="","Sin fecha válida - revisar plazos",IF(H182&lt;=Parametros!$B$4,"En tiempo, según lo planificado",IF(H182&lt;=Parametros!$B$5,"Atraso leve - seguimiento cercano ("&amp;TEXT(H182,"0.0")&amp;" p.p.)","Atraso crítico - requiere intervención ("&amp;TEXT(H182,"0.0")&amp;" p.p.)"))))</f>
        <v>Completado</v>
      </c>
      <c r="K182" s="7" t="s">
        <v>38</v>
      </c>
      <c r="L182" s="7"/>
      <c r="M182" s="7" t="s">
        <v>307</v>
      </c>
      <c r="N182" s="7" t="s">
        <v>51</v>
      </c>
      <c r="O182" s="13" t="n">
        <f aca="false">IF(AND(E182&lt;&gt;"",YEAR(E182)=YEAR(Parametros!$B$3),MONTH(E182)&gt;=10),1,0)</f>
        <v>0</v>
      </c>
      <c r="P182" s="13" t="n">
        <f aca="false">IF(AND(E182&lt;Parametros!$B$3,K182&lt;&gt;"Finalizado"),1,0)</f>
        <v>0</v>
      </c>
      <c r="Q182" s="13" t="n">
        <f aca="false">IF(AND(E182&gt;=Parametros!$B$3,E182&lt;=Parametros!$B$3+30,K182&lt;&gt;"Finalizado"),1,0)</f>
        <v>0</v>
      </c>
    </row>
    <row r="183" customFormat="false" ht="15" hidden="false" customHeight="false" outlineLevel="0" collapsed="false">
      <c r="A183" s="7" t="s">
        <v>304</v>
      </c>
      <c r="B183" s="7" t="s">
        <v>305</v>
      </c>
      <c r="C183" s="8" t="s">
        <v>320</v>
      </c>
      <c r="D183" s="9" t="n">
        <v>46023</v>
      </c>
      <c r="E183" s="9" t="n">
        <v>46112</v>
      </c>
      <c r="F183" s="10" t="n">
        <v>100</v>
      </c>
      <c r="G183" s="11" t="n">
        <f aca="false">IF(OR(D183="",E183="",E183&lt;=D183),"",MIN(100,MAX(0,(Parametros!$B$3-D183)/(E183-D183)*100)))</f>
        <v>100</v>
      </c>
      <c r="H183" s="12" t="n">
        <f aca="false">IF(G183="","",G183-F183)</f>
        <v>0</v>
      </c>
      <c r="I183" s="13" t="str">
        <f aca="false">IF(K183="Finalizado","Verde",IF(G183="","Amarillo",IF(H183&lt;=Parametros!$B$4,"Verde",IF(H183&lt;=Parametros!$B$5,"Amarillo","Rojo"))))</f>
        <v>Verde</v>
      </c>
      <c r="J183" s="14" t="str">
        <f aca="false">IF(K183="Finalizado","Completado",IF(G183="","Sin fecha válida - revisar plazos",IF(H183&lt;=Parametros!$B$4,"En tiempo, según lo planificado",IF(H183&lt;=Parametros!$B$5,"Atraso leve - seguimiento cercano ("&amp;TEXT(H183,"0.0")&amp;" p.p.)","Atraso crítico - requiere intervención ("&amp;TEXT(H183,"0.0")&amp;" p.p.)"))))</f>
        <v>Completado</v>
      </c>
      <c r="K183" s="7" t="s">
        <v>38</v>
      </c>
      <c r="L183" s="7"/>
      <c r="M183" s="7" t="s">
        <v>307</v>
      </c>
      <c r="N183" s="7" t="s">
        <v>51</v>
      </c>
      <c r="O183" s="13" t="n">
        <f aca="false">IF(AND(E183&lt;&gt;"",YEAR(E183)=YEAR(Parametros!$B$3),MONTH(E183)&gt;=10),1,0)</f>
        <v>0</v>
      </c>
      <c r="P183" s="13" t="n">
        <f aca="false">IF(AND(E183&lt;Parametros!$B$3,K183&lt;&gt;"Finalizado"),1,0)</f>
        <v>0</v>
      </c>
      <c r="Q183" s="13" t="n">
        <f aca="false">IF(AND(E183&gt;=Parametros!$B$3,E183&lt;=Parametros!$B$3+30,K183&lt;&gt;"Finalizado"),1,0)</f>
        <v>0</v>
      </c>
    </row>
    <row r="184" customFormat="false" ht="15" hidden="false" customHeight="false" outlineLevel="0" collapsed="false">
      <c r="A184" s="7" t="s">
        <v>304</v>
      </c>
      <c r="B184" s="7" t="s">
        <v>305</v>
      </c>
      <c r="C184" s="8" t="s">
        <v>321</v>
      </c>
      <c r="D184" s="9" t="n">
        <v>46113</v>
      </c>
      <c r="E184" s="9" t="n">
        <v>46203</v>
      </c>
      <c r="F184" s="10" t="n">
        <v>100</v>
      </c>
      <c r="G184" s="11" t="n">
        <f aca="false">IF(OR(D184="",E184="",E184&lt;=D184),"",MIN(100,MAX(0,(Parametros!$B$3-D184)/(E184-D184)*100)))</f>
        <v>100</v>
      </c>
      <c r="H184" s="12" t="n">
        <f aca="false">IF(G184="","",G184-F184)</f>
        <v>0</v>
      </c>
      <c r="I184" s="13" t="str">
        <f aca="false">IF(K184="Finalizado","Verde",IF(G184="","Amarillo",IF(H184&lt;=Parametros!$B$4,"Verde",IF(H184&lt;=Parametros!$B$5,"Amarillo","Rojo"))))</f>
        <v>Verde</v>
      </c>
      <c r="J184" s="14" t="str">
        <f aca="false">IF(K184="Finalizado","Completado",IF(G184="","Sin fecha válida - revisar plazos",IF(H184&lt;=Parametros!$B$4,"En tiempo, según lo planificado",IF(H184&lt;=Parametros!$B$5,"Atraso leve - seguimiento cercano ("&amp;TEXT(H184,"0.0")&amp;" p.p.)","Atraso crítico - requiere intervención ("&amp;TEXT(H184,"0.0")&amp;" p.p.)"))))</f>
        <v>Completado</v>
      </c>
      <c r="K184" s="7" t="s">
        <v>38</v>
      </c>
      <c r="L184" s="7"/>
      <c r="M184" s="7" t="s">
        <v>307</v>
      </c>
      <c r="N184" s="7" t="s">
        <v>51</v>
      </c>
      <c r="O184" s="13" t="n">
        <f aca="false">IF(AND(E184&lt;&gt;"",YEAR(E184)=YEAR(Parametros!$B$3),MONTH(E184)&gt;=10),1,0)</f>
        <v>0</v>
      </c>
      <c r="P184" s="13" t="n">
        <f aca="false">IF(AND(E184&lt;Parametros!$B$3,K184&lt;&gt;"Finalizado"),1,0)</f>
        <v>0</v>
      </c>
      <c r="Q184" s="13" t="n">
        <f aca="false">IF(AND(E184&gt;=Parametros!$B$3,E184&lt;=Parametros!$B$3+30,K184&lt;&gt;"Finalizado"),1,0)</f>
        <v>0</v>
      </c>
    </row>
    <row r="185" customFormat="false" ht="15" hidden="false" customHeight="false" outlineLevel="0" collapsed="false">
      <c r="A185" s="7" t="s">
        <v>304</v>
      </c>
      <c r="B185" s="7" t="s">
        <v>305</v>
      </c>
      <c r="C185" s="8" t="s">
        <v>322</v>
      </c>
      <c r="D185" s="9" t="n">
        <v>46204</v>
      </c>
      <c r="E185" s="9" t="n">
        <v>46295</v>
      </c>
      <c r="F185" s="10" t="n">
        <v>65</v>
      </c>
      <c r="G185" s="11" t="n">
        <f aca="false">IF(OR(D185="",E185="",E185&lt;=D185),"",MIN(100,MAX(0,(Parametros!$B$3-D185)/(E185-D185)*100)))</f>
        <v>59.3406593406593</v>
      </c>
      <c r="H185" s="12" t="n">
        <f aca="false">IF(G185="","",G185-F185)</f>
        <v>-5.65934065934066</v>
      </c>
      <c r="I185" s="13" t="str">
        <f aca="false">IF(K185="Finalizado","Verde",IF(G185="","Amarillo",IF(H185&lt;=Parametros!$B$4,"Verde",IF(H185&lt;=Parametros!$B$5,"Amarillo","Rojo"))))</f>
        <v>Verde</v>
      </c>
      <c r="J185" s="14" t="str">
        <f aca="false">IF(K185="Finalizado","Completado",IF(G185="","Sin fecha válida - revisar plazos",IF(H185&lt;=Parametros!$B$4,"En tiempo, según lo planificado",IF(H185&lt;=Parametros!$B$5,"Atraso leve - seguimiento cercano ("&amp;TEXT(H185,"0.0")&amp;" p.p.)","Atraso crítico - requiere intervención ("&amp;TEXT(H185,"0.0")&amp;" p.p.)"))))</f>
        <v>En tiempo, según lo planificado</v>
      </c>
      <c r="K185" s="7" t="s">
        <v>27</v>
      </c>
      <c r="L185" s="7"/>
      <c r="M185" s="7" t="s">
        <v>307</v>
      </c>
      <c r="N185" s="7" t="s">
        <v>51</v>
      </c>
      <c r="O185" s="13" t="n">
        <f aca="false">IF(AND(E185&lt;&gt;"",YEAR(E185)=YEAR(Parametros!$B$3),MONTH(E185)&gt;=10),1,0)</f>
        <v>0</v>
      </c>
      <c r="P185" s="13" t="n">
        <f aca="false">IF(AND(E185&lt;Parametros!$B$3,K185&lt;&gt;"Finalizado"),1,0)</f>
        <v>0</v>
      </c>
      <c r="Q185" s="13" t="n">
        <f aca="false">IF(AND(E185&gt;=Parametros!$B$3,E185&lt;=Parametros!$B$3+30,K185&lt;&gt;"Finalizado"),1,0)</f>
        <v>0</v>
      </c>
    </row>
    <row r="186" customFormat="false" ht="15" hidden="false" customHeight="false" outlineLevel="0" collapsed="false">
      <c r="A186" s="7" t="s">
        <v>304</v>
      </c>
      <c r="B186" s="7" t="s">
        <v>305</v>
      </c>
      <c r="C186" s="8" t="s">
        <v>323</v>
      </c>
      <c r="D186" s="9" t="n">
        <v>46296</v>
      </c>
      <c r="E186" s="9" t="n">
        <v>46387</v>
      </c>
      <c r="F186" s="10" t="n">
        <v>0</v>
      </c>
      <c r="G186" s="11" t="n">
        <f aca="false">IF(OR(D186="",E186="",E186&lt;=D186),"",MIN(100,MAX(0,(Parametros!$B$3-D186)/(E186-D186)*100)))</f>
        <v>0</v>
      </c>
      <c r="H186" s="12" t="n">
        <f aca="false">IF(G186="","",G186-F186)</f>
        <v>0</v>
      </c>
      <c r="I186" s="13" t="str">
        <f aca="false">IF(K186="Finalizado","Verde",IF(G186="","Amarillo",IF(H186&lt;=Parametros!$B$4,"Verde",IF(H186&lt;=Parametros!$B$5,"Amarillo","Rojo"))))</f>
        <v>Verde</v>
      </c>
      <c r="J186" s="14" t="str">
        <f aca="false">IF(K186="Finalizado","Completado",IF(G186="","Sin fecha válida - revisar plazos",IF(H186&lt;=Parametros!$B$4,"En tiempo, según lo planificado",IF(H186&lt;=Parametros!$B$5,"Atraso leve - seguimiento cercano ("&amp;TEXT(H186,"0.0")&amp;" p.p.)","Atraso crítico - requiere intervención ("&amp;TEXT(H186,"0.0")&amp;" p.p.)"))))</f>
        <v>En tiempo, según lo planificado</v>
      </c>
      <c r="K186" s="7" t="s">
        <v>100</v>
      </c>
      <c r="L186" s="7"/>
      <c r="M186" s="7" t="s">
        <v>307</v>
      </c>
      <c r="N186" s="7" t="s">
        <v>51</v>
      </c>
      <c r="O186" s="13" t="n">
        <f aca="false">IF(AND(E186&lt;&gt;"",YEAR(E186)=YEAR(Parametros!$B$3),MONTH(E186)&gt;=10),1,0)</f>
        <v>1</v>
      </c>
      <c r="P186" s="13" t="n">
        <f aca="false">IF(AND(E186&lt;Parametros!$B$3,K186&lt;&gt;"Finalizado"),1,0)</f>
        <v>0</v>
      </c>
      <c r="Q186" s="13" t="n">
        <f aca="false">IF(AND(E186&gt;=Parametros!$B$3,E186&lt;=Parametros!$B$3+30,K186&lt;&gt;"Finalizado"),1,0)</f>
        <v>0</v>
      </c>
    </row>
    <row r="187" customFormat="false" ht="15" hidden="false" customHeight="false" outlineLevel="0" collapsed="false">
      <c r="A187" s="7" t="s">
        <v>304</v>
      </c>
      <c r="B187" s="7" t="s">
        <v>305</v>
      </c>
      <c r="C187" s="8" t="s">
        <v>324</v>
      </c>
      <c r="D187" s="9" t="n">
        <v>46296</v>
      </c>
      <c r="E187" s="9" t="n">
        <v>46387</v>
      </c>
      <c r="F187" s="10" t="n">
        <v>0</v>
      </c>
      <c r="G187" s="11" t="n">
        <f aca="false">IF(OR(D187="",E187="",E187&lt;=D187),"",MIN(100,MAX(0,(Parametros!$B$3-D187)/(E187-D187)*100)))</f>
        <v>0</v>
      </c>
      <c r="H187" s="12" t="n">
        <f aca="false">IF(G187="","",G187-F187)</f>
        <v>0</v>
      </c>
      <c r="I187" s="13" t="str">
        <f aca="false">IF(K187="Finalizado","Verde",IF(G187="","Amarillo",IF(H187&lt;=Parametros!$B$4,"Verde",IF(H187&lt;=Parametros!$B$5,"Amarillo","Rojo"))))</f>
        <v>Verde</v>
      </c>
      <c r="J187" s="14" t="str">
        <f aca="false">IF(K187="Finalizado","Completado",IF(G187="","Sin fecha válida - revisar plazos",IF(H187&lt;=Parametros!$B$4,"En tiempo, según lo planificado",IF(H187&lt;=Parametros!$B$5,"Atraso leve - seguimiento cercano ("&amp;TEXT(H187,"0.0")&amp;" p.p.)","Atraso crítico - requiere intervención ("&amp;TEXT(H187,"0.0")&amp;" p.p.)"))))</f>
        <v>En tiempo, según lo planificado</v>
      </c>
      <c r="K187" s="7" t="s">
        <v>100</v>
      </c>
      <c r="L187" s="7"/>
      <c r="M187" s="7" t="s">
        <v>307</v>
      </c>
      <c r="N187" s="7" t="s">
        <v>51</v>
      </c>
      <c r="O187" s="13" t="n">
        <f aca="false">IF(AND(E187&lt;&gt;"",YEAR(E187)=YEAR(Parametros!$B$3),MONTH(E187)&gt;=10),1,0)</f>
        <v>1</v>
      </c>
      <c r="P187" s="13" t="n">
        <f aca="false">IF(AND(E187&lt;Parametros!$B$3,K187&lt;&gt;"Finalizado"),1,0)</f>
        <v>0</v>
      </c>
      <c r="Q187" s="13" t="n">
        <f aca="false">IF(AND(E187&gt;=Parametros!$B$3,E187&lt;=Parametros!$B$3+30,K187&lt;&gt;"Finalizado"),1,0)</f>
        <v>0</v>
      </c>
    </row>
    <row r="188" customFormat="false" ht="15" hidden="false" customHeight="false" outlineLevel="0" collapsed="false">
      <c r="A188" s="7" t="s">
        <v>304</v>
      </c>
      <c r="B188" s="7" t="s">
        <v>305</v>
      </c>
      <c r="C188" s="8" t="s">
        <v>325</v>
      </c>
      <c r="D188" s="9" t="n">
        <v>46143</v>
      </c>
      <c r="E188" s="9" t="n">
        <v>46387</v>
      </c>
      <c r="F188" s="10" t="n">
        <v>75</v>
      </c>
      <c r="G188" s="11" t="n">
        <f aca="false">IF(OR(D188="",E188="",E188&lt;=D188),"",MIN(100,MAX(0,(Parametros!$B$3-D188)/(E188-D188)*100)))</f>
        <v>47.1311475409836</v>
      </c>
      <c r="H188" s="12" t="n">
        <f aca="false">IF(G188="","",G188-F188)</f>
        <v>-27.8688524590164</v>
      </c>
      <c r="I188" s="13" t="str">
        <f aca="false">IF(K188="Finalizado","Verde",IF(G188="","Amarillo",IF(H188&lt;=Parametros!$B$4,"Verde",IF(H188&lt;=Parametros!$B$5,"Amarillo","Rojo"))))</f>
        <v>Verde</v>
      </c>
      <c r="J188" s="14" t="str">
        <f aca="false">IF(K188="Finalizado","Completado",IF(G188="","Sin fecha válida - revisar plazos",IF(H188&lt;=Parametros!$B$4,"En tiempo, según lo planificado",IF(H188&lt;=Parametros!$B$5,"Atraso leve - seguimiento cercano ("&amp;TEXT(H188,"0.0")&amp;" p.p.)","Atraso crítico - requiere intervención ("&amp;TEXT(H188,"0.0")&amp;" p.p.)"))))</f>
        <v>En tiempo, según lo planificado</v>
      </c>
      <c r="K188" s="7" t="s">
        <v>27</v>
      </c>
      <c r="L188" s="7"/>
      <c r="M188" s="7" t="s">
        <v>307</v>
      </c>
      <c r="N188" s="7" t="s">
        <v>51</v>
      </c>
      <c r="O188" s="13" t="n">
        <f aca="false">IF(AND(E188&lt;&gt;"",YEAR(E188)=YEAR(Parametros!$B$3),MONTH(E188)&gt;=10),1,0)</f>
        <v>1</v>
      </c>
      <c r="P188" s="13" t="n">
        <f aca="false">IF(AND(E188&lt;Parametros!$B$3,K188&lt;&gt;"Finalizado"),1,0)</f>
        <v>0</v>
      </c>
      <c r="Q188" s="13" t="n">
        <f aca="false">IF(AND(E188&gt;=Parametros!$B$3,E188&lt;=Parametros!$B$3+30,K188&lt;&gt;"Finalizado"),1,0)</f>
        <v>0</v>
      </c>
    </row>
    <row r="189" customFormat="false" ht="15" hidden="false" customHeight="false" outlineLevel="0" collapsed="false">
      <c r="A189" s="7" t="s">
        <v>304</v>
      </c>
      <c r="B189" s="7" t="s">
        <v>305</v>
      </c>
      <c r="C189" s="7" t="s">
        <v>326</v>
      </c>
      <c r="D189" s="9" t="n">
        <v>46177</v>
      </c>
      <c r="E189" s="9" t="n">
        <v>46265</v>
      </c>
      <c r="F189" s="10" t="n">
        <v>95</v>
      </c>
      <c r="G189" s="11" t="n">
        <f aca="false">IF(OR(D189="",E189="",E189&lt;=D189),"",MIN(100,MAX(0,(Parametros!$B$3-D189)/(E189-D189)*100)))</f>
        <v>92.0454545454546</v>
      </c>
      <c r="H189" s="12" t="n">
        <f aca="false">IF(G189="","",G189-F189)</f>
        <v>-2.95454545454545</v>
      </c>
      <c r="I189" s="13" t="str">
        <f aca="false">IF(K189="Finalizado","Verde",IF(G189="","Amarillo",IF(H189&lt;=Parametros!$B$4,"Verde",IF(H189&lt;=Parametros!$B$5,"Amarillo","Rojo"))))</f>
        <v>Verde</v>
      </c>
      <c r="J189" s="14" t="str">
        <f aca="false">IF(K189="Finalizado","Completado",IF(G189="","Sin fecha válida - revisar plazos",IF(H189&lt;=Parametros!$B$4,"En tiempo, según lo planificado",IF(H189&lt;=Parametros!$B$5,"Atraso leve - seguimiento cercano ("&amp;TEXT(H189,"0.0")&amp;" p.p.)","Atraso crítico - requiere intervención ("&amp;TEXT(H189,"0.0")&amp;" p.p.)"))))</f>
        <v>En tiempo, según lo planificado</v>
      </c>
      <c r="K189" s="7" t="s">
        <v>27</v>
      </c>
      <c r="L189" s="7"/>
      <c r="M189" s="7" t="s">
        <v>307</v>
      </c>
      <c r="N189" s="7" t="s">
        <v>51</v>
      </c>
      <c r="O189" s="13" t="n">
        <f aca="false">IF(AND(E189&lt;&gt;"",YEAR(E189)=YEAR(Parametros!$B$3),MONTH(E189)&gt;=10),1,0)</f>
        <v>0</v>
      </c>
      <c r="P189" s="13" t="n">
        <f aca="false">IF(AND(E189&lt;Parametros!$B$3,K189&lt;&gt;"Finalizado"),1,0)</f>
        <v>0</v>
      </c>
      <c r="Q189" s="13" t="n">
        <f aca="false">IF(AND(E189&gt;=Parametros!$B$3,E189&lt;=Parametros!$B$3+30,K189&lt;&gt;"Finalizado"),1,0)</f>
        <v>1</v>
      </c>
    </row>
    <row r="190" customFormat="false" ht="15" hidden="false" customHeight="false" outlineLevel="0" collapsed="false">
      <c r="A190" s="7" t="s">
        <v>327</v>
      </c>
      <c r="B190" s="7" t="s">
        <v>328</v>
      </c>
      <c r="C190" s="8" t="s">
        <v>329</v>
      </c>
      <c r="D190" s="9" t="n">
        <v>46023</v>
      </c>
      <c r="E190" s="9" t="n">
        <v>46356</v>
      </c>
      <c r="F190" s="10" t="n">
        <v>80</v>
      </c>
      <c r="G190" s="11" t="n">
        <f aca="false">IF(OR(D190="",E190="",E190&lt;=D190),"",MIN(100,MAX(0,(Parametros!$B$3-D190)/(E190-D190)*100)))</f>
        <v>70.5705705705706</v>
      </c>
      <c r="H190" s="12" t="n">
        <f aca="false">IF(G190="","",G190-F190)</f>
        <v>-9.42942942942943</v>
      </c>
      <c r="I190" s="13" t="str">
        <f aca="false">IF(K190="Finalizado","Verde",IF(G190="","Amarillo",IF(H190&lt;=Parametros!$B$4,"Verde",IF(H190&lt;=Parametros!$B$5,"Amarillo","Rojo"))))</f>
        <v>Verde</v>
      </c>
      <c r="J190" s="14" t="str">
        <f aca="false">IF(K190="Finalizado","Completado",IF(G190="","Sin fecha válida - revisar plazos",IF(H190&lt;=Parametros!$B$4,"En tiempo, según lo planificado",IF(H190&lt;=Parametros!$B$5,"Atraso leve - seguimiento cercano ("&amp;TEXT(H190,"0.0")&amp;" p.p.)","Atraso crítico - requiere intervención ("&amp;TEXT(H190,"0.0")&amp;" p.p.)"))))</f>
        <v>En tiempo, según lo planificado</v>
      </c>
      <c r="K190" s="7" t="s">
        <v>73</v>
      </c>
      <c r="L190" s="7" t="s">
        <v>330</v>
      </c>
      <c r="M190" s="7" t="s">
        <v>307</v>
      </c>
      <c r="N190" s="7" t="s">
        <v>51</v>
      </c>
      <c r="O190" s="13" t="n">
        <f aca="false">IF(AND(E190&lt;&gt;"",YEAR(E190)=YEAR(Parametros!$B$3),MONTH(E190)&gt;=10),1,0)</f>
        <v>1</v>
      </c>
      <c r="P190" s="13" t="n">
        <f aca="false">IF(AND(E190&lt;Parametros!$B$3,K190&lt;&gt;"Finalizado"),1,0)</f>
        <v>0</v>
      </c>
      <c r="Q190" s="13" t="n">
        <f aca="false">IF(AND(E190&gt;=Parametros!$B$3,E190&lt;=Parametros!$B$3+30,K190&lt;&gt;"Finalizado"),1,0)</f>
        <v>0</v>
      </c>
    </row>
    <row r="191" customFormat="false" ht="15" hidden="false" customHeight="false" outlineLevel="0" collapsed="false">
      <c r="A191" s="7" t="s">
        <v>327</v>
      </c>
      <c r="B191" s="7" t="s">
        <v>328</v>
      </c>
      <c r="C191" s="8" t="s">
        <v>331</v>
      </c>
      <c r="D191" s="9" t="n">
        <v>46023</v>
      </c>
      <c r="E191" s="9" t="n">
        <v>46356</v>
      </c>
      <c r="F191" s="10" t="n">
        <v>80</v>
      </c>
      <c r="G191" s="11" t="n">
        <f aca="false">IF(OR(D191="",E191="",E191&lt;=D191),"",MIN(100,MAX(0,(Parametros!$B$3-D191)/(E191-D191)*100)))</f>
        <v>70.5705705705706</v>
      </c>
      <c r="H191" s="12" t="n">
        <f aca="false">IF(G191="","",G191-F191)</f>
        <v>-9.42942942942943</v>
      </c>
      <c r="I191" s="13" t="str">
        <f aca="false">IF(K191="Finalizado","Verde",IF(G191="","Amarillo",IF(H191&lt;=Parametros!$B$4,"Verde",IF(H191&lt;=Parametros!$B$5,"Amarillo","Rojo"))))</f>
        <v>Verde</v>
      </c>
      <c r="J191" s="14" t="str">
        <f aca="false">IF(K191="Finalizado","Completado",IF(G191="","Sin fecha válida - revisar plazos",IF(H191&lt;=Parametros!$B$4,"En tiempo, según lo planificado",IF(H191&lt;=Parametros!$B$5,"Atraso leve - seguimiento cercano ("&amp;TEXT(H191,"0.0")&amp;" p.p.)","Atraso crítico - requiere intervención ("&amp;TEXT(H191,"0.0")&amp;" p.p.)"))))</f>
        <v>En tiempo, según lo planificado</v>
      </c>
      <c r="K191" s="7" t="s">
        <v>73</v>
      </c>
      <c r="L191" s="7"/>
      <c r="M191" s="7" t="s">
        <v>307</v>
      </c>
      <c r="N191" s="7" t="s">
        <v>51</v>
      </c>
      <c r="O191" s="13" t="n">
        <f aca="false">IF(AND(E191&lt;&gt;"",YEAR(E191)=YEAR(Parametros!$B$3),MONTH(E191)&gt;=10),1,0)</f>
        <v>1</v>
      </c>
      <c r="P191" s="13" t="n">
        <f aca="false">IF(AND(E191&lt;Parametros!$B$3,K191&lt;&gt;"Finalizado"),1,0)</f>
        <v>0</v>
      </c>
      <c r="Q191" s="13" t="n">
        <f aca="false">IF(AND(E191&gt;=Parametros!$B$3,E191&lt;=Parametros!$B$3+30,K191&lt;&gt;"Finalizado"),1,0)</f>
        <v>0</v>
      </c>
    </row>
    <row r="192" customFormat="false" ht="15" hidden="false" customHeight="false" outlineLevel="0" collapsed="false">
      <c r="A192" s="7" t="s">
        <v>327</v>
      </c>
      <c r="B192" s="7" t="s">
        <v>328</v>
      </c>
      <c r="C192" s="8" t="s">
        <v>332</v>
      </c>
      <c r="D192" s="9" t="n">
        <v>46023</v>
      </c>
      <c r="E192" s="9" t="n">
        <v>46356</v>
      </c>
      <c r="F192" s="10" t="n">
        <v>40</v>
      </c>
      <c r="G192" s="11" t="n">
        <f aca="false">IF(OR(D192="",E192="",E192&lt;=D192),"",MIN(100,MAX(0,(Parametros!$B$3-D192)/(E192-D192)*100)))</f>
        <v>70.5705705705706</v>
      </c>
      <c r="H192" s="12" t="n">
        <f aca="false">IF(G192="","",G192-F192)</f>
        <v>30.5705705705706</v>
      </c>
      <c r="I192" s="13" t="str">
        <f aca="false">IF(K192="Finalizado","Verde",IF(G192="","Amarillo",IF(H192&lt;=Parametros!$B$4,"Verde",IF(H192&lt;=Parametros!$B$5,"Amarillo","Rojo"))))</f>
        <v>Rojo</v>
      </c>
      <c r="J192" s="14" t="str">
        <f aca="false">IF(K192="Finalizado","Completado",IF(G192="","Sin fecha válida - revisar plazos",IF(H192&lt;=Parametros!$B$4,"En tiempo, según lo planificado",IF(H192&lt;=Parametros!$B$5,"Atraso leve - seguimiento cercano ("&amp;TEXT(H192,"0.0")&amp;" p.p.)","Atraso crítico - requiere intervención ("&amp;TEXT(H192,"0.0")&amp;" p.p.)"))))</f>
        <v>Atraso crítico - requiere intervención (30.6 p.p.)</v>
      </c>
      <c r="K192" s="7" t="s">
        <v>73</v>
      </c>
      <c r="L192" s="7"/>
      <c r="M192" s="7" t="s">
        <v>307</v>
      </c>
      <c r="N192" s="7" t="s">
        <v>51</v>
      </c>
      <c r="O192" s="13" t="n">
        <f aca="false">IF(AND(E192&lt;&gt;"",YEAR(E192)=YEAR(Parametros!$B$3),MONTH(E192)&gt;=10),1,0)</f>
        <v>1</v>
      </c>
      <c r="P192" s="13" t="n">
        <f aca="false">IF(AND(E192&lt;Parametros!$B$3,K192&lt;&gt;"Finalizado"),1,0)</f>
        <v>0</v>
      </c>
      <c r="Q192" s="13" t="n">
        <f aca="false">IF(AND(E192&gt;=Parametros!$B$3,E192&lt;=Parametros!$B$3+30,K192&lt;&gt;"Finalizado"),1,0)</f>
        <v>0</v>
      </c>
    </row>
    <row r="193" customFormat="false" ht="15" hidden="false" customHeight="false" outlineLevel="0" collapsed="false">
      <c r="A193" s="7" t="s">
        <v>333</v>
      </c>
      <c r="B193" s="7" t="s">
        <v>334</v>
      </c>
      <c r="C193" s="8" t="s">
        <v>335</v>
      </c>
      <c r="D193" s="9" t="n">
        <v>45809</v>
      </c>
      <c r="E193" s="9" t="n">
        <v>46142</v>
      </c>
      <c r="F193" s="10" t="n">
        <v>100</v>
      </c>
      <c r="G193" s="11" t="n">
        <f aca="false">IF(OR(D193="",E193="",E193&lt;=D193),"",MIN(100,MAX(0,(Parametros!$B$3-D193)/(E193-D193)*100)))</f>
        <v>100</v>
      </c>
      <c r="H193" s="12" t="n">
        <f aca="false">IF(G193="","",G193-F193)</f>
        <v>0</v>
      </c>
      <c r="I193" s="13" t="str">
        <f aca="false">IF(K193="Finalizado","Verde",IF(G193="","Amarillo",IF(H193&lt;=Parametros!$B$4,"Verde",IF(H193&lt;=Parametros!$B$5,"Amarillo","Rojo"))))</f>
        <v>Verde</v>
      </c>
      <c r="J193" s="14" t="str">
        <f aca="false">IF(K193="Finalizado","Completado",IF(G193="","Sin fecha válida - revisar plazos",IF(H193&lt;=Parametros!$B$4,"En tiempo, según lo planificado",IF(H193&lt;=Parametros!$B$5,"Atraso leve - seguimiento cercano ("&amp;TEXT(H193,"0.0")&amp;" p.p.)","Atraso crítico - requiere intervención ("&amp;TEXT(H193,"0.0")&amp;" p.p.)"))))</f>
        <v>Completado</v>
      </c>
      <c r="K193" s="7" t="s">
        <v>38</v>
      </c>
      <c r="L193" s="7"/>
      <c r="M193" s="7" t="s">
        <v>336</v>
      </c>
      <c r="N193" s="7" t="s">
        <v>51</v>
      </c>
      <c r="O193" s="13" t="n">
        <f aca="false">IF(AND(E193&lt;&gt;"",YEAR(E193)=YEAR(Parametros!$B$3),MONTH(E193)&gt;=10),1,0)</f>
        <v>0</v>
      </c>
      <c r="P193" s="13" t="n">
        <f aca="false">IF(AND(E193&lt;Parametros!$B$3,K193&lt;&gt;"Finalizado"),1,0)</f>
        <v>0</v>
      </c>
      <c r="Q193" s="13" t="n">
        <f aca="false">IF(AND(E193&gt;=Parametros!$B$3,E193&lt;=Parametros!$B$3+30,K193&lt;&gt;"Finalizado"),1,0)</f>
        <v>0</v>
      </c>
    </row>
    <row r="194" customFormat="false" ht="15" hidden="false" customHeight="false" outlineLevel="0" collapsed="false">
      <c r="A194" s="7" t="s">
        <v>333</v>
      </c>
      <c r="B194" s="7" t="s">
        <v>334</v>
      </c>
      <c r="C194" s="8" t="s">
        <v>337</v>
      </c>
      <c r="D194" s="9" t="n">
        <v>45809</v>
      </c>
      <c r="E194" s="9" t="n">
        <v>46142</v>
      </c>
      <c r="F194" s="10" t="n">
        <v>100</v>
      </c>
      <c r="G194" s="11" t="n">
        <f aca="false">IF(OR(D194="",E194="",E194&lt;=D194),"",MIN(100,MAX(0,(Parametros!$B$3-D194)/(E194-D194)*100)))</f>
        <v>100</v>
      </c>
      <c r="H194" s="12" t="n">
        <f aca="false">IF(G194="","",G194-F194)</f>
        <v>0</v>
      </c>
      <c r="I194" s="13" t="str">
        <f aca="false">IF(K194="Finalizado","Verde",IF(G194="","Amarillo",IF(H194&lt;=Parametros!$B$4,"Verde",IF(H194&lt;=Parametros!$B$5,"Amarillo","Rojo"))))</f>
        <v>Verde</v>
      </c>
      <c r="J194" s="14" t="str">
        <f aca="false">IF(K194="Finalizado","Completado",IF(G194="","Sin fecha válida - revisar plazos",IF(H194&lt;=Parametros!$B$4,"En tiempo, según lo planificado",IF(H194&lt;=Parametros!$B$5,"Atraso leve - seguimiento cercano ("&amp;TEXT(H194,"0.0")&amp;" p.p.)","Atraso crítico - requiere intervención ("&amp;TEXT(H194,"0.0")&amp;" p.p.)"))))</f>
        <v>En tiempo, según lo planificado</v>
      </c>
      <c r="K194" s="7" t="s">
        <v>27</v>
      </c>
      <c r="L194" s="7"/>
      <c r="M194" s="7" t="s">
        <v>336</v>
      </c>
      <c r="N194" s="7" t="s">
        <v>51</v>
      </c>
      <c r="O194" s="13" t="n">
        <f aca="false">IF(AND(E194&lt;&gt;"",YEAR(E194)=YEAR(Parametros!$B$3),MONTH(E194)&gt;=10),1,0)</f>
        <v>0</v>
      </c>
      <c r="P194" s="13" t="n">
        <f aca="false">IF(AND(E194&lt;Parametros!$B$3,K194&lt;&gt;"Finalizado"),1,0)</f>
        <v>1</v>
      </c>
      <c r="Q194" s="13" t="n">
        <f aca="false">IF(AND(E194&gt;=Parametros!$B$3,E194&lt;=Parametros!$B$3+30,K194&lt;&gt;"Finalizado"),1,0)</f>
        <v>0</v>
      </c>
    </row>
    <row r="195" customFormat="false" ht="15" hidden="false" customHeight="false" outlineLevel="0" collapsed="false">
      <c r="A195" s="7" t="s">
        <v>333</v>
      </c>
      <c r="B195" s="7" t="s">
        <v>334</v>
      </c>
      <c r="C195" s="8" t="s">
        <v>338</v>
      </c>
      <c r="D195" s="9" t="n">
        <v>45809</v>
      </c>
      <c r="E195" s="9" t="n">
        <v>46142</v>
      </c>
      <c r="F195" s="10" t="n">
        <v>100</v>
      </c>
      <c r="G195" s="11" t="n">
        <f aca="false">IF(OR(D195="",E195="",E195&lt;=D195),"",MIN(100,MAX(0,(Parametros!$B$3-D195)/(E195-D195)*100)))</f>
        <v>100</v>
      </c>
      <c r="H195" s="12" t="n">
        <f aca="false">IF(G195="","",G195-F195)</f>
        <v>0</v>
      </c>
      <c r="I195" s="13" t="str">
        <f aca="false">IF(K195="Finalizado","Verde",IF(G195="","Amarillo",IF(H195&lt;=Parametros!$B$4,"Verde",IF(H195&lt;=Parametros!$B$5,"Amarillo","Rojo"))))</f>
        <v>Verde</v>
      </c>
      <c r="J195" s="14" t="str">
        <f aca="false">IF(K195="Finalizado","Completado",IF(G195="","Sin fecha válida - revisar plazos",IF(H195&lt;=Parametros!$B$4,"En tiempo, según lo planificado",IF(H195&lt;=Parametros!$B$5,"Atraso leve - seguimiento cercano ("&amp;TEXT(H195,"0.0")&amp;" p.p.)","Atraso crítico - requiere intervención ("&amp;TEXT(H195,"0.0")&amp;" p.p.)"))))</f>
        <v>Completado</v>
      </c>
      <c r="K195" s="7" t="s">
        <v>38</v>
      </c>
      <c r="L195" s="7" t="s">
        <v>339</v>
      </c>
      <c r="M195" s="7" t="s">
        <v>336</v>
      </c>
      <c r="N195" s="7" t="s">
        <v>51</v>
      </c>
      <c r="O195" s="13" t="n">
        <f aca="false">IF(AND(E195&lt;&gt;"",YEAR(E195)=YEAR(Parametros!$B$3),MONTH(E195)&gt;=10),1,0)</f>
        <v>0</v>
      </c>
      <c r="P195" s="13" t="n">
        <f aca="false">IF(AND(E195&lt;Parametros!$B$3,K195&lt;&gt;"Finalizado"),1,0)</f>
        <v>0</v>
      </c>
      <c r="Q195" s="13" t="n">
        <f aca="false">IF(AND(E195&gt;=Parametros!$B$3,E195&lt;=Parametros!$B$3+30,K195&lt;&gt;"Finalizado"),1,0)</f>
        <v>0</v>
      </c>
    </row>
    <row r="196" customFormat="false" ht="15" hidden="false" customHeight="false" outlineLevel="0" collapsed="false">
      <c r="A196" s="7" t="s">
        <v>333</v>
      </c>
      <c r="B196" s="7" t="s">
        <v>334</v>
      </c>
      <c r="C196" s="8" t="s">
        <v>340</v>
      </c>
      <c r="D196" s="9" t="n">
        <v>45809</v>
      </c>
      <c r="E196" s="9" t="n">
        <v>46142</v>
      </c>
      <c r="F196" s="10" t="n">
        <v>100</v>
      </c>
      <c r="G196" s="11" t="n">
        <f aca="false">IF(OR(D196="",E196="",E196&lt;=D196),"",MIN(100,MAX(0,(Parametros!$B$3-D196)/(E196-D196)*100)))</f>
        <v>100</v>
      </c>
      <c r="H196" s="12" t="n">
        <f aca="false">IF(G196="","",G196-F196)</f>
        <v>0</v>
      </c>
      <c r="I196" s="13" t="str">
        <f aca="false">IF(K196="Finalizado","Verde",IF(G196="","Amarillo",IF(H196&lt;=Parametros!$B$4,"Verde",IF(H196&lt;=Parametros!$B$5,"Amarillo","Rojo"))))</f>
        <v>Verde</v>
      </c>
      <c r="J196" s="14" t="str">
        <f aca="false">IF(K196="Finalizado","Completado",IF(G196="","Sin fecha válida - revisar plazos",IF(H196&lt;=Parametros!$B$4,"En tiempo, según lo planificado",IF(H196&lt;=Parametros!$B$5,"Atraso leve - seguimiento cercano ("&amp;TEXT(H196,"0.0")&amp;" p.p.)","Atraso crítico - requiere intervención ("&amp;TEXT(H196,"0.0")&amp;" p.p.)"))))</f>
        <v>Completado</v>
      </c>
      <c r="K196" s="7" t="s">
        <v>38</v>
      </c>
      <c r="L196" s="7"/>
      <c r="M196" s="7" t="s">
        <v>336</v>
      </c>
      <c r="N196" s="7" t="s">
        <v>51</v>
      </c>
      <c r="O196" s="13" t="n">
        <f aca="false">IF(AND(E196&lt;&gt;"",YEAR(E196)=YEAR(Parametros!$B$3),MONTH(E196)&gt;=10),1,0)</f>
        <v>0</v>
      </c>
      <c r="P196" s="13" t="n">
        <f aca="false">IF(AND(E196&lt;Parametros!$B$3,K196&lt;&gt;"Finalizado"),1,0)</f>
        <v>0</v>
      </c>
      <c r="Q196" s="13" t="n">
        <f aca="false">IF(AND(E196&gt;=Parametros!$B$3,E196&lt;=Parametros!$B$3+30,K196&lt;&gt;"Finalizado"),1,0)</f>
        <v>0</v>
      </c>
    </row>
    <row r="197" customFormat="false" ht="15" hidden="false" customHeight="false" outlineLevel="0" collapsed="false">
      <c r="A197" s="7" t="s">
        <v>341</v>
      </c>
      <c r="B197" s="7" t="s">
        <v>342</v>
      </c>
      <c r="C197" s="8" t="s">
        <v>343</v>
      </c>
      <c r="D197" s="9" t="n">
        <v>45596</v>
      </c>
      <c r="E197" s="9" t="n">
        <v>46112</v>
      </c>
      <c r="F197" s="10" t="n">
        <v>100</v>
      </c>
      <c r="G197" s="11" t="n">
        <f aca="false">IF(OR(D197="",E197="",E197&lt;=D197),"",MIN(100,MAX(0,(Parametros!$B$3-D197)/(E197-D197)*100)))</f>
        <v>100</v>
      </c>
      <c r="H197" s="12" t="n">
        <f aca="false">IF(G197="","",G197-F197)</f>
        <v>0</v>
      </c>
      <c r="I197" s="13" t="str">
        <f aca="false">IF(K197="Finalizado","Verde",IF(G197="","Amarillo",IF(H197&lt;=Parametros!$B$4,"Verde",IF(H197&lt;=Parametros!$B$5,"Amarillo","Rojo"))))</f>
        <v>Verde</v>
      </c>
      <c r="J197" s="14" t="str">
        <f aca="false">IF(K197="Finalizado","Completado",IF(G197="","Sin fecha válida - revisar plazos",IF(H197&lt;=Parametros!$B$4,"En tiempo, según lo planificado",IF(H197&lt;=Parametros!$B$5,"Atraso leve - seguimiento cercano ("&amp;TEXT(H197,"0.0")&amp;" p.p.)","Atraso crítico - requiere intervención ("&amp;TEXT(H197,"0.0")&amp;" p.p.)"))))</f>
        <v>Completado</v>
      </c>
      <c r="K197" s="7" t="s">
        <v>38</v>
      </c>
      <c r="L197" s="7" t="s">
        <v>344</v>
      </c>
      <c r="M197" s="7" t="s">
        <v>336</v>
      </c>
      <c r="N197" s="7" t="s">
        <v>30</v>
      </c>
      <c r="O197" s="13" t="n">
        <f aca="false">IF(AND(E197&lt;&gt;"",YEAR(E197)=YEAR(Parametros!$B$3),MONTH(E197)&gt;=10),1,0)</f>
        <v>0</v>
      </c>
      <c r="P197" s="13" t="n">
        <f aca="false">IF(AND(E197&lt;Parametros!$B$3,K197&lt;&gt;"Finalizado"),1,0)</f>
        <v>0</v>
      </c>
      <c r="Q197" s="13" t="n">
        <f aca="false">IF(AND(E197&gt;=Parametros!$B$3,E197&lt;=Parametros!$B$3+30,K197&lt;&gt;"Finalizado"),1,0)</f>
        <v>0</v>
      </c>
    </row>
    <row r="198" customFormat="false" ht="15" hidden="false" customHeight="false" outlineLevel="0" collapsed="false">
      <c r="A198" s="7" t="s">
        <v>345</v>
      </c>
      <c r="B198" s="7" t="s">
        <v>346</v>
      </c>
      <c r="C198" s="7" t="s">
        <v>347</v>
      </c>
      <c r="D198" s="9" t="n">
        <v>46215</v>
      </c>
      <c r="E198" s="9" t="n">
        <v>46387</v>
      </c>
      <c r="F198" s="10" t="n">
        <v>100</v>
      </c>
      <c r="G198" s="11" t="n">
        <f aca="false">IF(OR(D198="",E198="",E198&lt;=D198),"",MIN(100,MAX(0,(Parametros!$B$3-D198)/(E198-D198)*100)))</f>
        <v>25</v>
      </c>
      <c r="H198" s="12" t="n">
        <f aca="false">IF(G198="","",G198-F198)</f>
        <v>-75</v>
      </c>
      <c r="I198" s="13" t="str">
        <f aca="false">IF(K198="Finalizado","Verde",IF(G198="","Amarillo",IF(H198&lt;=Parametros!$B$4,"Verde",IF(H198&lt;=Parametros!$B$5,"Amarillo","Rojo"))))</f>
        <v>Verde</v>
      </c>
      <c r="J198" s="14" t="str">
        <f aca="false">IF(K198="Finalizado","Completado",IF(G198="","Sin fecha válida - revisar plazos",IF(H198&lt;=Parametros!$B$4,"En tiempo, según lo planificado",IF(H198&lt;=Parametros!$B$5,"Atraso leve - seguimiento cercano ("&amp;TEXT(H198,"0.0")&amp;" p.p.)","Atraso crítico - requiere intervención ("&amp;TEXT(H198,"0.0")&amp;" p.p.)"))))</f>
        <v>Completado</v>
      </c>
      <c r="K198" s="7" t="s">
        <v>38</v>
      </c>
      <c r="L198" s="7"/>
      <c r="M198" s="7" t="s">
        <v>336</v>
      </c>
      <c r="N198" s="7" t="s">
        <v>51</v>
      </c>
      <c r="O198" s="13" t="n">
        <f aca="false">IF(AND(E198&lt;&gt;"",YEAR(E198)=YEAR(Parametros!$B$3),MONTH(E198)&gt;=10),1,0)</f>
        <v>1</v>
      </c>
      <c r="P198" s="13" t="n">
        <f aca="false">IF(AND(E198&lt;Parametros!$B$3,K198&lt;&gt;"Finalizado"),1,0)</f>
        <v>0</v>
      </c>
      <c r="Q198" s="13" t="n">
        <f aca="false">IF(AND(E198&gt;=Parametros!$B$3,E198&lt;=Parametros!$B$3+30,K198&lt;&gt;"Finalizado"),1,0)</f>
        <v>0</v>
      </c>
    </row>
    <row r="199" customFormat="false" ht="15" hidden="false" customHeight="false" outlineLevel="0" collapsed="false">
      <c r="A199" s="7" t="s">
        <v>345</v>
      </c>
      <c r="B199" s="7" t="s">
        <v>346</v>
      </c>
      <c r="C199" s="7" t="s">
        <v>348</v>
      </c>
      <c r="D199" s="9" t="n">
        <v>46215</v>
      </c>
      <c r="E199" s="9" t="n">
        <v>46387</v>
      </c>
      <c r="F199" s="10" t="n">
        <v>100</v>
      </c>
      <c r="G199" s="11" t="n">
        <f aca="false">IF(OR(D199="",E199="",E199&lt;=D199),"",MIN(100,MAX(0,(Parametros!$B$3-D199)/(E199-D199)*100)))</f>
        <v>25</v>
      </c>
      <c r="H199" s="12" t="n">
        <f aca="false">IF(G199="","",G199-F199)</f>
        <v>-75</v>
      </c>
      <c r="I199" s="13" t="str">
        <f aca="false">IF(K199="Finalizado","Verde",IF(G199="","Amarillo",IF(H199&lt;=Parametros!$B$4,"Verde",IF(H199&lt;=Parametros!$B$5,"Amarillo","Rojo"))))</f>
        <v>Verde</v>
      </c>
      <c r="J199" s="14" t="str">
        <f aca="false">IF(K199="Finalizado","Completado",IF(G199="","Sin fecha válida - revisar plazos",IF(H199&lt;=Parametros!$B$4,"En tiempo, según lo planificado",IF(H199&lt;=Parametros!$B$5,"Atraso leve - seguimiento cercano ("&amp;TEXT(H199,"0.0")&amp;" p.p.)","Atraso crítico - requiere intervención ("&amp;TEXT(H199,"0.0")&amp;" p.p.)"))))</f>
        <v>Completado</v>
      </c>
      <c r="K199" s="7" t="s">
        <v>38</v>
      </c>
      <c r="L199" s="7" t="s">
        <v>349</v>
      </c>
      <c r="M199" s="7" t="s">
        <v>336</v>
      </c>
      <c r="N199" s="7" t="s">
        <v>51</v>
      </c>
      <c r="O199" s="13" t="n">
        <f aca="false">IF(AND(E199&lt;&gt;"",YEAR(E199)=YEAR(Parametros!$B$3),MONTH(E199)&gt;=10),1,0)</f>
        <v>1</v>
      </c>
      <c r="P199" s="13" t="n">
        <f aca="false">IF(AND(E199&lt;Parametros!$B$3,K199&lt;&gt;"Finalizado"),1,0)</f>
        <v>0</v>
      </c>
      <c r="Q199" s="13" t="n">
        <f aca="false">IF(AND(E199&gt;=Parametros!$B$3,E199&lt;=Parametros!$B$3+30,K199&lt;&gt;"Finalizado"),1,0)</f>
        <v>0</v>
      </c>
    </row>
    <row r="200" customFormat="false" ht="15" hidden="false" customHeight="false" outlineLevel="0" collapsed="false">
      <c r="A200" s="7" t="s">
        <v>345</v>
      </c>
      <c r="B200" s="7" t="s">
        <v>346</v>
      </c>
      <c r="C200" s="7" t="s">
        <v>350</v>
      </c>
      <c r="D200" s="9" t="n">
        <v>46215</v>
      </c>
      <c r="E200" s="9" t="n">
        <v>46387</v>
      </c>
      <c r="F200" s="10" t="n">
        <v>5</v>
      </c>
      <c r="G200" s="11" t="n">
        <f aca="false">IF(OR(D200="",E200="",E200&lt;=D200),"",MIN(100,MAX(0,(Parametros!$B$3-D200)/(E200-D200)*100)))</f>
        <v>25</v>
      </c>
      <c r="H200" s="12" t="n">
        <f aca="false">IF(G200="","",G200-F200)</f>
        <v>20</v>
      </c>
      <c r="I200" s="13" t="str">
        <f aca="false">IF(K200="Finalizado","Verde",IF(G200="","Amarillo",IF(H200&lt;=Parametros!$B$4,"Verde",IF(H200&lt;=Parametros!$B$5,"Amarillo","Rojo"))))</f>
        <v>Amarillo</v>
      </c>
      <c r="J200" s="14" t="str">
        <f aca="false">IF(K200="Finalizado","Completado",IF(G200="","Sin fecha válida - revisar plazos",IF(H200&lt;=Parametros!$B$4,"En tiempo, según lo planificado",IF(H200&lt;=Parametros!$B$5,"Atraso leve - seguimiento cercano ("&amp;TEXT(H200,"0.0")&amp;" p.p.)","Atraso crítico - requiere intervención ("&amp;TEXT(H200,"0.0")&amp;" p.p.)"))))</f>
        <v>Atraso leve - seguimiento cercano (20.0 p.p.)</v>
      </c>
      <c r="K200" s="7" t="s">
        <v>27</v>
      </c>
      <c r="L200" s="7"/>
      <c r="M200" s="7" t="s">
        <v>336</v>
      </c>
      <c r="N200" s="7" t="s">
        <v>51</v>
      </c>
      <c r="O200" s="13" t="n">
        <f aca="false">IF(AND(E200&lt;&gt;"",YEAR(E200)=YEAR(Parametros!$B$3),MONTH(E200)&gt;=10),1,0)</f>
        <v>1</v>
      </c>
      <c r="P200" s="13" t="n">
        <f aca="false">IF(AND(E200&lt;Parametros!$B$3,K200&lt;&gt;"Finalizado"),1,0)</f>
        <v>0</v>
      </c>
      <c r="Q200" s="13" t="n">
        <f aca="false">IF(AND(E200&gt;=Parametros!$B$3,E200&lt;=Parametros!$B$3+30,K200&lt;&gt;"Finalizado"),1,0)</f>
        <v>0</v>
      </c>
    </row>
    <row r="201" customFormat="false" ht="15" hidden="false" customHeight="false" outlineLevel="0" collapsed="false">
      <c r="A201" s="7" t="s">
        <v>351</v>
      </c>
      <c r="B201" s="7" t="s">
        <v>352</v>
      </c>
      <c r="C201" s="7" t="s">
        <v>353</v>
      </c>
      <c r="D201" s="9" t="n">
        <v>46023</v>
      </c>
      <c r="E201" s="9" t="n">
        <v>46387</v>
      </c>
      <c r="F201" s="10" t="n">
        <v>0</v>
      </c>
      <c r="G201" s="11" t="n">
        <f aca="false">IF(OR(D201="",E201="",E201&lt;=D201),"",MIN(100,MAX(0,(Parametros!$B$3-D201)/(E201-D201)*100)))</f>
        <v>64.5604395604396</v>
      </c>
      <c r="H201" s="12" t="n">
        <f aca="false">IF(G201="","",G201-F201)</f>
        <v>64.5604395604396</v>
      </c>
      <c r="I201" s="13" t="str">
        <f aca="false">IF(K201="Finalizado","Verde",IF(G201="","Amarillo",IF(H201&lt;=Parametros!$B$4,"Verde",IF(H201&lt;=Parametros!$B$5,"Amarillo","Rojo"))))</f>
        <v>Rojo</v>
      </c>
      <c r="J201" s="14" t="str">
        <f aca="false">IF(K201="Finalizado","Completado",IF(G201="","Sin fecha válida - revisar plazos",IF(H201&lt;=Parametros!$B$4,"En tiempo, según lo planificado",IF(H201&lt;=Parametros!$B$5,"Atraso leve - seguimiento cercano ("&amp;TEXT(H201,"0.0")&amp;" p.p.)","Atraso crítico - requiere intervención ("&amp;TEXT(H201,"0.0")&amp;" p.p.)"))))</f>
        <v>Atraso crítico - requiere intervención (64.6 p.p.)</v>
      </c>
      <c r="K201" s="7" t="s">
        <v>27</v>
      </c>
      <c r="L201" s="7"/>
      <c r="M201" s="7" t="s">
        <v>336</v>
      </c>
      <c r="N201" s="7" t="s">
        <v>51</v>
      </c>
      <c r="O201" s="13" t="n">
        <f aca="false">IF(AND(E201&lt;&gt;"",YEAR(E201)=YEAR(Parametros!$B$3),MONTH(E201)&gt;=10),1,0)</f>
        <v>1</v>
      </c>
      <c r="P201" s="13" t="n">
        <f aca="false">IF(AND(E201&lt;Parametros!$B$3,K201&lt;&gt;"Finalizado"),1,0)</f>
        <v>0</v>
      </c>
      <c r="Q201" s="13" t="n">
        <f aca="false">IF(AND(E201&gt;=Parametros!$B$3,E201&lt;=Parametros!$B$3+30,K201&lt;&gt;"Finalizado"),1,0)</f>
        <v>0</v>
      </c>
    </row>
    <row r="202" customFormat="false" ht="15" hidden="false" customHeight="false" outlineLevel="0" collapsed="false">
      <c r="A202" s="7" t="s">
        <v>351</v>
      </c>
      <c r="B202" s="7" t="s">
        <v>352</v>
      </c>
      <c r="C202" s="7" t="s">
        <v>354</v>
      </c>
      <c r="D202" s="9" t="n">
        <v>46023</v>
      </c>
      <c r="E202" s="9" t="n">
        <v>46387</v>
      </c>
      <c r="F202" s="10" t="n">
        <v>40</v>
      </c>
      <c r="G202" s="11" t="n">
        <f aca="false">IF(OR(D202="",E202="",E202&lt;=D202),"",MIN(100,MAX(0,(Parametros!$B$3-D202)/(E202-D202)*100)))</f>
        <v>64.5604395604396</v>
      </c>
      <c r="H202" s="12" t="n">
        <f aca="false">IF(G202="","",G202-F202)</f>
        <v>24.5604395604396</v>
      </c>
      <c r="I202" s="13" t="str">
        <f aca="false">IF(K202="Finalizado","Verde",IF(G202="","Amarillo",IF(H202&lt;=Parametros!$B$4,"Verde",IF(H202&lt;=Parametros!$B$5,"Amarillo","Rojo"))))</f>
        <v>Rojo</v>
      </c>
      <c r="J202" s="14" t="str">
        <f aca="false">IF(K202="Finalizado","Completado",IF(G202="","Sin fecha válida - revisar plazos",IF(H202&lt;=Parametros!$B$4,"En tiempo, según lo planificado",IF(H202&lt;=Parametros!$B$5,"Atraso leve - seguimiento cercano ("&amp;TEXT(H202,"0.0")&amp;" p.p.)","Atraso crítico - requiere intervención ("&amp;TEXT(H202,"0.0")&amp;" p.p.)"))))</f>
        <v>Atraso crítico - requiere intervención (24.6 p.p.)</v>
      </c>
      <c r="K202" s="7" t="s">
        <v>27</v>
      </c>
      <c r="L202" s="7"/>
      <c r="M202" s="7" t="s">
        <v>336</v>
      </c>
      <c r="N202" s="7" t="s">
        <v>51</v>
      </c>
      <c r="O202" s="13" t="n">
        <f aca="false">IF(AND(E202&lt;&gt;"",YEAR(E202)=YEAR(Parametros!$B$3),MONTH(E202)&gt;=10),1,0)</f>
        <v>1</v>
      </c>
      <c r="P202" s="13" t="n">
        <f aca="false">IF(AND(E202&lt;Parametros!$B$3,K202&lt;&gt;"Finalizado"),1,0)</f>
        <v>0</v>
      </c>
      <c r="Q202" s="13" t="n">
        <f aca="false">IF(AND(E202&gt;=Parametros!$B$3,E202&lt;=Parametros!$B$3+30,K202&lt;&gt;"Finalizado"),1,0)</f>
        <v>0</v>
      </c>
    </row>
    <row r="203" customFormat="false" ht="15" hidden="false" customHeight="false" outlineLevel="0" collapsed="false">
      <c r="A203" s="7" t="s">
        <v>351</v>
      </c>
      <c r="B203" s="7" t="s">
        <v>352</v>
      </c>
      <c r="C203" s="7" t="s">
        <v>355</v>
      </c>
      <c r="D203" s="9" t="n">
        <v>46023</v>
      </c>
      <c r="E203" s="9" t="n">
        <v>46387</v>
      </c>
      <c r="F203" s="10" t="n">
        <v>100</v>
      </c>
      <c r="G203" s="11" t="n">
        <f aca="false">IF(OR(D203="",E203="",E203&lt;=D203),"",MIN(100,MAX(0,(Parametros!$B$3-D203)/(E203-D203)*100)))</f>
        <v>64.5604395604396</v>
      </c>
      <c r="H203" s="12" t="n">
        <f aca="false">IF(G203="","",G203-F203)</f>
        <v>-35.4395604395604</v>
      </c>
      <c r="I203" s="13" t="str">
        <f aca="false">IF(K203="Finalizado","Verde",IF(G203="","Amarillo",IF(H203&lt;=Parametros!$B$4,"Verde",IF(H203&lt;=Parametros!$B$5,"Amarillo","Rojo"))))</f>
        <v>Verde</v>
      </c>
      <c r="J203" s="14" t="str">
        <f aca="false">IF(K203="Finalizado","Completado",IF(G203="","Sin fecha válida - revisar plazos",IF(H203&lt;=Parametros!$B$4,"En tiempo, según lo planificado",IF(H203&lt;=Parametros!$B$5,"Atraso leve - seguimiento cercano ("&amp;TEXT(H203,"0.0")&amp;" p.p.)","Atraso crítico - requiere intervención ("&amp;TEXT(H203,"0.0")&amp;" p.p.)"))))</f>
        <v>En tiempo, según lo planificado</v>
      </c>
      <c r="K203" s="7" t="s">
        <v>27</v>
      </c>
      <c r="L203" s="7" t="s">
        <v>356</v>
      </c>
      <c r="M203" s="7" t="s">
        <v>336</v>
      </c>
      <c r="N203" s="7" t="s">
        <v>51</v>
      </c>
      <c r="O203" s="13" t="n">
        <f aca="false">IF(AND(E203&lt;&gt;"",YEAR(E203)=YEAR(Parametros!$B$3),MONTH(E203)&gt;=10),1,0)</f>
        <v>1</v>
      </c>
      <c r="P203" s="13" t="n">
        <f aca="false">IF(AND(E203&lt;Parametros!$B$3,K203&lt;&gt;"Finalizado"),1,0)</f>
        <v>0</v>
      </c>
      <c r="Q203" s="13" t="n">
        <f aca="false">IF(AND(E203&gt;=Parametros!$B$3,E203&lt;=Parametros!$B$3+30,K203&lt;&gt;"Finalizado"),1,0)</f>
        <v>0</v>
      </c>
    </row>
    <row r="204" customFormat="false" ht="15" hidden="false" customHeight="false" outlineLevel="0" collapsed="false">
      <c r="A204" s="7" t="s">
        <v>351</v>
      </c>
      <c r="B204" s="7" t="s">
        <v>352</v>
      </c>
      <c r="C204" s="7" t="s">
        <v>357</v>
      </c>
      <c r="D204" s="9" t="n">
        <v>46023</v>
      </c>
      <c r="E204" s="9" t="n">
        <v>46387</v>
      </c>
      <c r="F204" s="10" t="n">
        <v>0</v>
      </c>
      <c r="G204" s="11" t="n">
        <f aca="false">IF(OR(D204="",E204="",E204&lt;=D204),"",MIN(100,MAX(0,(Parametros!$B$3-D204)/(E204-D204)*100)))</f>
        <v>64.5604395604396</v>
      </c>
      <c r="H204" s="12" t="n">
        <f aca="false">IF(G204="","",G204-F204)</f>
        <v>64.5604395604396</v>
      </c>
      <c r="I204" s="13" t="str">
        <f aca="false">IF(K204="Finalizado","Verde",IF(G204="","Amarillo",IF(H204&lt;=Parametros!$B$4,"Verde",IF(H204&lt;=Parametros!$B$5,"Amarillo","Rojo"))))</f>
        <v>Rojo</v>
      </c>
      <c r="J204" s="14" t="str">
        <f aca="false">IF(K204="Finalizado","Completado",IF(G204="","Sin fecha válida - revisar plazos",IF(H204&lt;=Parametros!$B$4,"En tiempo, según lo planificado",IF(H204&lt;=Parametros!$B$5,"Atraso leve - seguimiento cercano ("&amp;TEXT(H204,"0.0")&amp;" p.p.)","Atraso crítico - requiere intervención ("&amp;TEXT(H204,"0.0")&amp;" p.p.)"))))</f>
        <v>Atraso crítico - requiere intervención (64.6 p.p.)</v>
      </c>
      <c r="K204" s="7" t="s">
        <v>27</v>
      </c>
      <c r="L204" s="7"/>
      <c r="M204" s="7" t="s">
        <v>336</v>
      </c>
      <c r="N204" s="7" t="s">
        <v>51</v>
      </c>
      <c r="O204" s="13" t="n">
        <f aca="false">IF(AND(E204&lt;&gt;"",YEAR(E204)=YEAR(Parametros!$B$3),MONTH(E204)&gt;=10),1,0)</f>
        <v>1</v>
      </c>
      <c r="P204" s="13" t="n">
        <f aca="false">IF(AND(E204&lt;Parametros!$B$3,K204&lt;&gt;"Finalizado"),1,0)</f>
        <v>0</v>
      </c>
      <c r="Q204" s="13" t="n">
        <f aca="false">IF(AND(E204&gt;=Parametros!$B$3,E204&lt;=Parametros!$B$3+30,K204&lt;&gt;"Finalizado"),1,0)</f>
        <v>0</v>
      </c>
    </row>
    <row r="205" customFormat="false" ht="15" hidden="false" customHeight="false" outlineLevel="0" collapsed="false">
      <c r="A205" s="7" t="s">
        <v>351</v>
      </c>
      <c r="B205" s="7" t="s">
        <v>352</v>
      </c>
      <c r="C205" s="7" t="s">
        <v>358</v>
      </c>
      <c r="D205" s="9" t="n">
        <v>46023</v>
      </c>
      <c r="E205" s="9" t="n">
        <v>46387</v>
      </c>
      <c r="F205" s="10" t="n">
        <v>50</v>
      </c>
      <c r="G205" s="11" t="n">
        <f aca="false">IF(OR(D205="",E205="",E205&lt;=D205),"",MIN(100,MAX(0,(Parametros!$B$3-D205)/(E205-D205)*100)))</f>
        <v>64.5604395604396</v>
      </c>
      <c r="H205" s="12" t="n">
        <f aca="false">IF(G205="","",G205-F205)</f>
        <v>14.5604395604396</v>
      </c>
      <c r="I205" s="13" t="str">
        <f aca="false">IF(K205="Finalizado","Verde",IF(G205="","Amarillo",IF(H205&lt;=Parametros!$B$4,"Verde",IF(H205&lt;=Parametros!$B$5,"Amarillo","Rojo"))))</f>
        <v>Amarillo</v>
      </c>
      <c r="J205" s="14" t="str">
        <f aca="false">IF(K205="Finalizado","Completado",IF(G205="","Sin fecha válida - revisar plazos",IF(H205&lt;=Parametros!$B$4,"En tiempo, según lo planificado",IF(H205&lt;=Parametros!$B$5,"Atraso leve - seguimiento cercano ("&amp;TEXT(H205,"0.0")&amp;" p.p.)","Atraso crítico - requiere intervención ("&amp;TEXT(H205,"0.0")&amp;" p.p.)"))))</f>
        <v>Atraso leve - seguimiento cercano (14.6 p.p.)</v>
      </c>
      <c r="K205" s="7" t="s">
        <v>27</v>
      </c>
      <c r="L205" s="7"/>
      <c r="M205" s="7" t="s">
        <v>336</v>
      </c>
      <c r="N205" s="7" t="s">
        <v>51</v>
      </c>
      <c r="O205" s="13" t="n">
        <f aca="false">IF(AND(E205&lt;&gt;"",YEAR(E205)=YEAR(Parametros!$B$3),MONTH(E205)&gt;=10),1,0)</f>
        <v>1</v>
      </c>
      <c r="P205" s="13" t="n">
        <f aca="false">IF(AND(E205&lt;Parametros!$B$3,K205&lt;&gt;"Finalizado"),1,0)</f>
        <v>0</v>
      </c>
      <c r="Q205" s="13" t="n">
        <f aca="false">IF(AND(E205&gt;=Parametros!$B$3,E205&lt;=Parametros!$B$3+30,K205&lt;&gt;"Finalizado"),1,0)</f>
        <v>0</v>
      </c>
    </row>
    <row r="206" customFormat="false" ht="15" hidden="false" customHeight="false" outlineLevel="0" collapsed="false">
      <c r="A206" s="7" t="s">
        <v>359</v>
      </c>
      <c r="B206" s="7" t="s">
        <v>360</v>
      </c>
      <c r="C206" s="7" t="s">
        <v>361</v>
      </c>
      <c r="D206" s="9" t="n">
        <v>46023</v>
      </c>
      <c r="E206" s="9" t="n">
        <v>46387</v>
      </c>
      <c r="F206" s="10" t="n">
        <v>60</v>
      </c>
      <c r="G206" s="11" t="n">
        <f aca="false">IF(OR(D206="",E206="",E206&lt;=D206),"",MIN(100,MAX(0,(Parametros!$B$3-D206)/(E206-D206)*100)))</f>
        <v>64.5604395604396</v>
      </c>
      <c r="H206" s="12" t="n">
        <f aca="false">IF(G206="","",G206-F206)</f>
        <v>4.56043956043956</v>
      </c>
      <c r="I206" s="13" t="str">
        <f aca="false">IF(K206="Finalizado","Verde",IF(G206="","Amarillo",IF(H206&lt;=Parametros!$B$4,"Verde",IF(H206&lt;=Parametros!$B$5,"Amarillo","Rojo"))))</f>
        <v>Verde</v>
      </c>
      <c r="J206" s="14" t="str">
        <f aca="false">IF(K206="Finalizado","Completado",IF(G206="","Sin fecha válida - revisar plazos",IF(H206&lt;=Parametros!$B$4,"En tiempo, según lo planificado",IF(H206&lt;=Parametros!$B$5,"Atraso leve - seguimiento cercano ("&amp;TEXT(H206,"0.0")&amp;" p.p.)","Atraso crítico - requiere intervención ("&amp;TEXT(H206,"0.0")&amp;" p.p.)"))))</f>
        <v>En tiempo, según lo planificado</v>
      </c>
      <c r="K206" s="7" t="s">
        <v>27</v>
      </c>
      <c r="L206" s="7" t="s">
        <v>362</v>
      </c>
      <c r="M206" s="7" t="s">
        <v>336</v>
      </c>
      <c r="N206" s="7" t="s">
        <v>51</v>
      </c>
      <c r="O206" s="13" t="n">
        <f aca="false">IF(AND(E206&lt;&gt;"",YEAR(E206)=YEAR(Parametros!$B$3),MONTH(E206)&gt;=10),1,0)</f>
        <v>1</v>
      </c>
      <c r="P206" s="13" t="n">
        <f aca="false">IF(AND(E206&lt;Parametros!$B$3,K206&lt;&gt;"Finalizado"),1,0)</f>
        <v>0</v>
      </c>
      <c r="Q206" s="13" t="n">
        <f aca="false">IF(AND(E206&gt;=Parametros!$B$3,E206&lt;=Parametros!$B$3+30,K206&lt;&gt;"Finalizado"),1,0)</f>
        <v>0</v>
      </c>
    </row>
    <row r="207" customFormat="false" ht="15" hidden="false" customHeight="false" outlineLevel="0" collapsed="false">
      <c r="A207" s="7" t="s">
        <v>359</v>
      </c>
      <c r="B207" s="7" t="s">
        <v>360</v>
      </c>
      <c r="C207" s="8" t="s">
        <v>363</v>
      </c>
      <c r="D207" s="9" t="n">
        <v>46023</v>
      </c>
      <c r="E207" s="9" t="n">
        <v>46387</v>
      </c>
      <c r="F207" s="10" t="n">
        <v>60</v>
      </c>
      <c r="G207" s="11" t="n">
        <f aca="false">IF(OR(D207="",E207="",E207&lt;=D207),"",MIN(100,MAX(0,(Parametros!$B$3-D207)/(E207-D207)*100)))</f>
        <v>64.5604395604396</v>
      </c>
      <c r="H207" s="12" t="n">
        <f aca="false">IF(G207="","",G207-F207)</f>
        <v>4.56043956043956</v>
      </c>
      <c r="I207" s="13" t="str">
        <f aca="false">IF(K207="Finalizado","Verde",IF(G207="","Amarillo",IF(H207&lt;=Parametros!$B$4,"Verde",IF(H207&lt;=Parametros!$B$5,"Amarillo","Rojo"))))</f>
        <v>Verde</v>
      </c>
      <c r="J207" s="14" t="str">
        <f aca="false">IF(K207="Finalizado","Completado",IF(G207="","Sin fecha válida - revisar plazos",IF(H207&lt;=Parametros!$B$4,"En tiempo, según lo planificado",IF(H207&lt;=Parametros!$B$5,"Atraso leve - seguimiento cercano ("&amp;TEXT(H207,"0.0")&amp;" p.p.)","Atraso crítico - requiere intervención ("&amp;TEXT(H207,"0.0")&amp;" p.p.)"))))</f>
        <v>En tiempo, según lo planificado</v>
      </c>
      <c r="K207" s="7" t="s">
        <v>27</v>
      </c>
      <c r="L207" s="7"/>
      <c r="M207" s="7" t="s">
        <v>336</v>
      </c>
      <c r="N207" s="7" t="s">
        <v>51</v>
      </c>
      <c r="O207" s="13" t="n">
        <f aca="false">IF(AND(E207&lt;&gt;"",YEAR(E207)=YEAR(Parametros!$B$3),MONTH(E207)&gt;=10),1,0)</f>
        <v>1</v>
      </c>
      <c r="P207" s="13" t="n">
        <f aca="false">IF(AND(E207&lt;Parametros!$B$3,K207&lt;&gt;"Finalizado"),1,0)</f>
        <v>0</v>
      </c>
      <c r="Q207" s="13" t="n">
        <f aca="false">IF(AND(E207&gt;=Parametros!$B$3,E207&lt;=Parametros!$B$3+30,K207&lt;&gt;"Finalizado"),1,0)</f>
        <v>0</v>
      </c>
    </row>
    <row r="208" customFormat="false" ht="15" hidden="false" customHeight="false" outlineLevel="0" collapsed="false">
      <c r="A208" s="7" t="s">
        <v>359</v>
      </c>
      <c r="B208" s="7" t="s">
        <v>360</v>
      </c>
      <c r="C208" s="8" t="s">
        <v>364</v>
      </c>
      <c r="D208" s="9" t="n">
        <v>46023</v>
      </c>
      <c r="E208" s="9" t="n">
        <v>46387</v>
      </c>
      <c r="F208" s="10" t="n">
        <v>100</v>
      </c>
      <c r="G208" s="11" t="n">
        <f aca="false">IF(OR(D208="",E208="",E208&lt;=D208),"",MIN(100,MAX(0,(Parametros!$B$3-D208)/(E208-D208)*100)))</f>
        <v>64.5604395604396</v>
      </c>
      <c r="H208" s="12" t="n">
        <f aca="false">IF(G208="","",G208-F208)</f>
        <v>-35.4395604395604</v>
      </c>
      <c r="I208" s="13" t="str">
        <f aca="false">IF(K208="Finalizado","Verde",IF(G208="","Amarillo",IF(H208&lt;=Parametros!$B$4,"Verde",IF(H208&lt;=Parametros!$B$5,"Amarillo","Rojo"))))</f>
        <v>Verde</v>
      </c>
      <c r="J208" s="14" t="str">
        <f aca="false">IF(K208="Finalizado","Completado",IF(G208="","Sin fecha válida - revisar plazos",IF(H208&lt;=Parametros!$B$4,"En tiempo, según lo planificado",IF(H208&lt;=Parametros!$B$5,"Atraso leve - seguimiento cercano ("&amp;TEXT(H208,"0.0")&amp;" p.p.)","Atraso crítico - requiere intervención ("&amp;TEXT(H208,"0.0")&amp;" p.p.)"))))</f>
        <v>Completado</v>
      </c>
      <c r="K208" s="7" t="s">
        <v>38</v>
      </c>
      <c r="L208" s="7"/>
      <c r="M208" s="7" t="s">
        <v>336</v>
      </c>
      <c r="N208" s="7" t="s">
        <v>51</v>
      </c>
      <c r="O208" s="13" t="n">
        <f aca="false">IF(AND(E208&lt;&gt;"",YEAR(E208)=YEAR(Parametros!$B$3),MONTH(E208)&gt;=10),1,0)</f>
        <v>1</v>
      </c>
      <c r="P208" s="13" t="n">
        <f aca="false">IF(AND(E208&lt;Parametros!$B$3,K208&lt;&gt;"Finalizado"),1,0)</f>
        <v>0</v>
      </c>
      <c r="Q208" s="13" t="n">
        <f aca="false">IF(AND(E208&gt;=Parametros!$B$3,E208&lt;=Parametros!$B$3+30,K208&lt;&gt;"Finalizado"),1,0)</f>
        <v>0</v>
      </c>
    </row>
    <row r="209" customFormat="false" ht="15" hidden="false" customHeight="false" outlineLevel="0" collapsed="false">
      <c r="A209" s="7" t="s">
        <v>359</v>
      </c>
      <c r="B209" s="7" t="s">
        <v>360</v>
      </c>
      <c r="C209" s="7" t="s">
        <v>365</v>
      </c>
      <c r="D209" s="9" t="n">
        <v>46023</v>
      </c>
      <c r="E209" s="9" t="n">
        <v>46387</v>
      </c>
      <c r="F209" s="10" t="n">
        <v>60</v>
      </c>
      <c r="G209" s="11" t="n">
        <f aca="false">IF(OR(D209="",E209="",E209&lt;=D209),"",MIN(100,MAX(0,(Parametros!$B$3-D209)/(E209-D209)*100)))</f>
        <v>64.5604395604396</v>
      </c>
      <c r="H209" s="12" t="n">
        <f aca="false">IF(G209="","",G209-F209)</f>
        <v>4.56043956043956</v>
      </c>
      <c r="I209" s="13" t="str">
        <f aca="false">IF(K209="Finalizado","Verde",IF(G209="","Amarillo",IF(H209&lt;=Parametros!$B$4,"Verde",IF(H209&lt;=Parametros!$B$5,"Amarillo","Rojo"))))</f>
        <v>Verde</v>
      </c>
      <c r="J209" s="14" t="str">
        <f aca="false">IF(K209="Finalizado","Completado",IF(G209="","Sin fecha válida - revisar plazos",IF(H209&lt;=Parametros!$B$4,"En tiempo, según lo planificado",IF(H209&lt;=Parametros!$B$5,"Atraso leve - seguimiento cercano ("&amp;TEXT(H209,"0.0")&amp;" p.p.)","Atraso crítico - requiere intervención ("&amp;TEXT(H209,"0.0")&amp;" p.p.)"))))</f>
        <v>En tiempo, según lo planificado</v>
      </c>
      <c r="K209" s="7" t="s">
        <v>27</v>
      </c>
      <c r="L209" s="7"/>
      <c r="M209" s="7" t="s">
        <v>336</v>
      </c>
      <c r="N209" s="7" t="s">
        <v>51</v>
      </c>
      <c r="O209" s="13" t="n">
        <f aca="false">IF(AND(E209&lt;&gt;"",YEAR(E209)=YEAR(Parametros!$B$3),MONTH(E209)&gt;=10),1,0)</f>
        <v>1</v>
      </c>
      <c r="P209" s="13" t="n">
        <f aca="false">IF(AND(E209&lt;Parametros!$B$3,K209&lt;&gt;"Finalizado"),1,0)</f>
        <v>0</v>
      </c>
      <c r="Q209" s="13" t="n">
        <f aca="false">IF(AND(E209&gt;=Parametros!$B$3,E209&lt;=Parametros!$B$3+30,K209&lt;&gt;"Finalizado"),1,0)</f>
        <v>0</v>
      </c>
    </row>
    <row r="210" customFormat="false" ht="15" hidden="false" customHeight="false" outlineLevel="0" collapsed="false">
      <c r="A210" s="7" t="s">
        <v>366</v>
      </c>
      <c r="B210" s="7" t="s">
        <v>367</v>
      </c>
      <c r="C210" s="7" t="s">
        <v>368</v>
      </c>
      <c r="D210" s="9" t="n">
        <v>46237</v>
      </c>
      <c r="E210" s="9" t="n">
        <v>46248</v>
      </c>
      <c r="F210" s="10" t="n">
        <v>100</v>
      </c>
      <c r="G210" s="11" t="n">
        <f aca="false">IF(OR(D210="",E210="",E210&lt;=D210),"",MIN(100,MAX(0,(Parametros!$B$3-D210)/(E210-D210)*100)))</f>
        <v>100</v>
      </c>
      <c r="H210" s="12" t="n">
        <f aca="false">IF(G210="","",G210-F210)</f>
        <v>0</v>
      </c>
      <c r="I210" s="13" t="str">
        <f aca="false">IF(K210="Finalizado","Verde",IF(G210="","Amarillo",IF(H210&lt;=Parametros!$B$4,"Verde",IF(H210&lt;=Parametros!$B$5,"Amarillo","Rojo"))))</f>
        <v>Verde</v>
      </c>
      <c r="J210" s="14" t="str">
        <f aca="false">IF(K210="Finalizado","Completado",IF(G210="","Sin fecha válida - revisar plazos",IF(H210&lt;=Parametros!$B$4,"En tiempo, según lo planificado",IF(H210&lt;=Parametros!$B$5,"Atraso leve - seguimiento cercano ("&amp;TEXT(H210,"0.0")&amp;" p.p.)","Atraso crítico - requiere intervención ("&amp;TEXT(H210,"0.0")&amp;" p.p.)"))))</f>
        <v>Completado</v>
      </c>
      <c r="K210" s="7" t="s">
        <v>38</v>
      </c>
      <c r="L210" s="7"/>
      <c r="M210" s="7" t="s">
        <v>336</v>
      </c>
      <c r="N210" s="7" t="s">
        <v>189</v>
      </c>
      <c r="O210" s="13" t="n">
        <f aca="false">IF(AND(E210&lt;&gt;"",YEAR(E210)=YEAR(Parametros!$B$3),MONTH(E210)&gt;=10),1,0)</f>
        <v>0</v>
      </c>
      <c r="P210" s="13" t="n">
        <f aca="false">IF(AND(E210&lt;Parametros!$B$3,K210&lt;&gt;"Finalizado"),1,0)</f>
        <v>0</v>
      </c>
      <c r="Q210" s="13" t="n">
        <f aca="false">IF(AND(E210&gt;=Parametros!$B$3,E210&lt;=Parametros!$B$3+30,K210&lt;&gt;"Finalizado"),1,0)</f>
        <v>0</v>
      </c>
    </row>
    <row r="211" customFormat="false" ht="15" hidden="false" customHeight="false" outlineLevel="0" collapsed="false">
      <c r="A211" s="7" t="s">
        <v>366</v>
      </c>
      <c r="B211" s="7" t="s">
        <v>367</v>
      </c>
      <c r="C211" s="7" t="s">
        <v>369</v>
      </c>
      <c r="D211" s="9" t="n">
        <v>46023</v>
      </c>
      <c r="E211" s="9" t="n">
        <v>46387</v>
      </c>
      <c r="F211" s="10" t="n">
        <v>0</v>
      </c>
      <c r="G211" s="11" t="n">
        <f aca="false">IF(OR(D211="",E211="",E211&lt;=D211),"",MIN(100,MAX(0,(Parametros!$B$3-D211)/(E211-D211)*100)))</f>
        <v>64.5604395604396</v>
      </c>
      <c r="H211" s="12" t="n">
        <f aca="false">IF(G211="","",G211-F211)</f>
        <v>64.5604395604396</v>
      </c>
      <c r="I211" s="13" t="str">
        <f aca="false">IF(K211="Finalizado","Verde",IF(G211="","Amarillo",IF(H211&lt;=Parametros!$B$4,"Verde",IF(H211&lt;=Parametros!$B$5,"Amarillo","Rojo"))))</f>
        <v>Rojo</v>
      </c>
      <c r="J211" s="14" t="str">
        <f aca="false">IF(K211="Finalizado","Completado",IF(G211="","Sin fecha válida - revisar plazos",IF(H211&lt;=Parametros!$B$4,"En tiempo, según lo planificado",IF(H211&lt;=Parametros!$B$5,"Atraso leve - seguimiento cercano ("&amp;TEXT(H211,"0.0")&amp;" p.p.)","Atraso crítico - requiere intervención ("&amp;TEXT(H211,"0.0")&amp;" p.p.)"))))</f>
        <v>Atraso crítico - requiere intervención (64.6 p.p.)</v>
      </c>
      <c r="K211" s="7" t="s">
        <v>100</v>
      </c>
      <c r="L211" s="7"/>
      <c r="M211" s="7" t="s">
        <v>336</v>
      </c>
      <c r="N211" s="7" t="s">
        <v>51</v>
      </c>
      <c r="O211" s="13" t="n">
        <f aca="false">IF(AND(E211&lt;&gt;"",YEAR(E211)=YEAR(Parametros!$B$3),MONTH(E211)&gt;=10),1,0)</f>
        <v>1</v>
      </c>
      <c r="P211" s="13" t="n">
        <f aca="false">IF(AND(E211&lt;Parametros!$B$3,K211&lt;&gt;"Finalizado"),1,0)</f>
        <v>0</v>
      </c>
      <c r="Q211" s="13" t="n">
        <f aca="false">IF(AND(E211&gt;=Parametros!$B$3,E211&lt;=Parametros!$B$3+30,K211&lt;&gt;"Finalizado"),1,0)</f>
        <v>0</v>
      </c>
    </row>
    <row r="212" customFormat="false" ht="15" hidden="false" customHeight="false" outlineLevel="0" collapsed="false">
      <c r="A212" s="7" t="s">
        <v>366</v>
      </c>
      <c r="B212" s="7" t="s">
        <v>367</v>
      </c>
      <c r="C212" s="7" t="s">
        <v>370</v>
      </c>
      <c r="D212" s="9" t="n">
        <v>46023</v>
      </c>
      <c r="E212" s="9" t="n">
        <v>46387</v>
      </c>
      <c r="F212" s="10" t="n">
        <v>0</v>
      </c>
      <c r="G212" s="11" t="n">
        <f aca="false">IF(OR(D212="",E212="",E212&lt;=D212),"",MIN(100,MAX(0,(Parametros!$B$3-D212)/(E212-D212)*100)))</f>
        <v>64.5604395604396</v>
      </c>
      <c r="H212" s="12" t="n">
        <f aca="false">IF(G212="","",G212-F212)</f>
        <v>64.5604395604396</v>
      </c>
      <c r="I212" s="13" t="str">
        <f aca="false">IF(K212="Finalizado","Verde",IF(G212="","Amarillo",IF(H212&lt;=Parametros!$B$4,"Verde",IF(H212&lt;=Parametros!$B$5,"Amarillo","Rojo"))))</f>
        <v>Rojo</v>
      </c>
      <c r="J212" s="14" t="str">
        <f aca="false">IF(K212="Finalizado","Completado",IF(G212="","Sin fecha válida - revisar plazos",IF(H212&lt;=Parametros!$B$4,"En tiempo, según lo planificado",IF(H212&lt;=Parametros!$B$5,"Atraso leve - seguimiento cercano ("&amp;TEXT(H212,"0.0")&amp;" p.p.)","Atraso crítico - requiere intervención ("&amp;TEXT(H212,"0.0")&amp;" p.p.)"))))</f>
        <v>Atraso crítico - requiere intervención (64.6 p.p.)</v>
      </c>
      <c r="K212" s="7" t="s">
        <v>100</v>
      </c>
      <c r="L212" s="7"/>
      <c r="M212" s="7" t="s">
        <v>336</v>
      </c>
      <c r="N212" s="7" t="s">
        <v>51</v>
      </c>
      <c r="O212" s="13" t="n">
        <f aca="false">IF(AND(E212&lt;&gt;"",YEAR(E212)=YEAR(Parametros!$B$3),MONTH(E212)&gt;=10),1,0)</f>
        <v>1</v>
      </c>
      <c r="P212" s="13" t="n">
        <f aca="false">IF(AND(E212&lt;Parametros!$B$3,K212&lt;&gt;"Finalizado"),1,0)</f>
        <v>0</v>
      </c>
      <c r="Q212" s="13" t="n">
        <f aca="false">IF(AND(E212&gt;=Parametros!$B$3,E212&lt;=Parametros!$B$3+30,K212&lt;&gt;"Finalizado"),1,0)</f>
        <v>0</v>
      </c>
    </row>
    <row r="213" customFormat="false" ht="15" hidden="false" customHeight="false" outlineLevel="0" collapsed="false">
      <c r="A213" s="7" t="s">
        <v>366</v>
      </c>
      <c r="B213" s="7" t="s">
        <v>367</v>
      </c>
      <c r="C213" s="7" t="s">
        <v>371</v>
      </c>
      <c r="D213" s="9" t="n">
        <v>46023</v>
      </c>
      <c r="E213" s="9" t="n">
        <v>46387</v>
      </c>
      <c r="F213" s="10" t="n">
        <v>100</v>
      </c>
      <c r="G213" s="11" t="n">
        <f aca="false">IF(OR(D213="",E213="",E213&lt;=D213),"",MIN(100,MAX(0,(Parametros!$B$3-D213)/(E213-D213)*100)))</f>
        <v>64.5604395604396</v>
      </c>
      <c r="H213" s="12" t="n">
        <f aca="false">IF(G213="","",G213-F213)</f>
        <v>-35.4395604395604</v>
      </c>
      <c r="I213" s="13" t="str">
        <f aca="false">IF(K213="Finalizado","Verde",IF(G213="","Amarillo",IF(H213&lt;=Parametros!$B$4,"Verde",IF(H213&lt;=Parametros!$B$5,"Amarillo","Rojo"))))</f>
        <v>Verde</v>
      </c>
      <c r="J213" s="14" t="str">
        <f aca="false">IF(K213="Finalizado","Completado",IF(G213="","Sin fecha válida - revisar plazos",IF(H213&lt;=Parametros!$B$4,"En tiempo, según lo planificado",IF(H213&lt;=Parametros!$B$5,"Atraso leve - seguimiento cercano ("&amp;TEXT(H213,"0.0")&amp;" p.p.)","Atraso crítico - requiere intervención ("&amp;TEXT(H213,"0.0")&amp;" p.p.)"))))</f>
        <v>Completado</v>
      </c>
      <c r="K213" s="7" t="s">
        <v>38</v>
      </c>
      <c r="L213" s="7" t="s">
        <v>372</v>
      </c>
      <c r="M213" s="7" t="s">
        <v>336</v>
      </c>
      <c r="N213" s="7" t="s">
        <v>51</v>
      </c>
      <c r="O213" s="13" t="n">
        <f aca="false">IF(AND(E213&lt;&gt;"",YEAR(E213)=YEAR(Parametros!$B$3),MONTH(E213)&gt;=10),1,0)</f>
        <v>1</v>
      </c>
      <c r="P213" s="13" t="n">
        <f aca="false">IF(AND(E213&lt;Parametros!$B$3,K213&lt;&gt;"Finalizado"),1,0)</f>
        <v>0</v>
      </c>
      <c r="Q213" s="13" t="n">
        <f aca="false">IF(AND(E213&gt;=Parametros!$B$3,E213&lt;=Parametros!$B$3+30,K213&lt;&gt;"Finalizado"),1,0)</f>
        <v>0</v>
      </c>
    </row>
    <row r="214" customFormat="false" ht="15" hidden="false" customHeight="false" outlineLevel="0" collapsed="false">
      <c r="A214" s="7" t="s">
        <v>366</v>
      </c>
      <c r="B214" s="7" t="s">
        <v>367</v>
      </c>
      <c r="C214" s="7" t="s">
        <v>373</v>
      </c>
      <c r="D214" s="9" t="n">
        <v>46023</v>
      </c>
      <c r="E214" s="9" t="n">
        <v>46387</v>
      </c>
      <c r="F214" s="10" t="n">
        <v>70</v>
      </c>
      <c r="G214" s="11" t="n">
        <f aca="false">IF(OR(D214="",E214="",E214&lt;=D214),"",MIN(100,MAX(0,(Parametros!$B$3-D214)/(E214-D214)*100)))</f>
        <v>64.5604395604396</v>
      </c>
      <c r="H214" s="12" t="n">
        <f aca="false">IF(G214="","",G214-F214)</f>
        <v>-5.43956043956044</v>
      </c>
      <c r="I214" s="13" t="str">
        <f aca="false">IF(K214="Finalizado","Verde",IF(G214="","Amarillo",IF(H214&lt;=Parametros!$B$4,"Verde",IF(H214&lt;=Parametros!$B$5,"Amarillo","Rojo"))))</f>
        <v>Verde</v>
      </c>
      <c r="J214" s="14" t="str">
        <f aca="false">IF(K214="Finalizado","Completado",IF(G214="","Sin fecha válida - revisar plazos",IF(H214&lt;=Parametros!$B$4,"En tiempo, según lo planificado",IF(H214&lt;=Parametros!$B$5,"Atraso leve - seguimiento cercano ("&amp;TEXT(H214,"0.0")&amp;" p.p.)","Atraso crítico - requiere intervención ("&amp;TEXT(H214,"0.0")&amp;" p.p.)"))))</f>
        <v>En tiempo, según lo planificado</v>
      </c>
      <c r="K214" s="7" t="s">
        <v>73</v>
      </c>
      <c r="L214" s="7"/>
      <c r="M214" s="7" t="s">
        <v>336</v>
      </c>
      <c r="N214" s="7" t="s">
        <v>51</v>
      </c>
      <c r="O214" s="13" t="n">
        <f aca="false">IF(AND(E214&lt;&gt;"",YEAR(E214)=YEAR(Parametros!$B$3),MONTH(E214)&gt;=10),1,0)</f>
        <v>1</v>
      </c>
      <c r="P214" s="13" t="n">
        <f aca="false">IF(AND(E214&lt;Parametros!$B$3,K214&lt;&gt;"Finalizado"),1,0)</f>
        <v>0</v>
      </c>
      <c r="Q214" s="13" t="n">
        <f aca="false">IF(AND(E214&gt;=Parametros!$B$3,E214&lt;=Parametros!$B$3+30,K214&lt;&gt;"Finalizado"),1,0)</f>
        <v>0</v>
      </c>
    </row>
    <row r="215" customFormat="false" ht="15" hidden="false" customHeight="false" outlineLevel="0" collapsed="false">
      <c r="A215" s="7" t="s">
        <v>374</v>
      </c>
      <c r="B215" s="7" t="s">
        <v>375</v>
      </c>
      <c r="C215" s="7" t="s">
        <v>376</v>
      </c>
      <c r="D215" s="9" t="n">
        <v>46024</v>
      </c>
      <c r="E215" s="9" t="n">
        <v>46233</v>
      </c>
      <c r="F215" s="10" t="n">
        <v>100</v>
      </c>
      <c r="G215" s="11" t="n">
        <f aca="false">IF(OR(D215="",E215="",E215&lt;=D215),"",MIN(100,MAX(0,(Parametros!$B$3-D215)/(E215-D215)*100)))</f>
        <v>100</v>
      </c>
      <c r="H215" s="12" t="n">
        <f aca="false">IF(G215="","",G215-F215)</f>
        <v>0</v>
      </c>
      <c r="I215" s="13" t="str">
        <f aca="false">IF(K215="Finalizado","Verde",IF(G215="","Amarillo",IF(H215&lt;=Parametros!$B$4,"Verde",IF(H215&lt;=Parametros!$B$5,"Amarillo","Rojo"))))</f>
        <v>Verde</v>
      </c>
      <c r="J215" s="14" t="str">
        <f aca="false">IF(K215="Finalizado","Completado",IF(G215="","Sin fecha válida - revisar plazos",IF(H215&lt;=Parametros!$B$4,"En tiempo, según lo planificado",IF(H215&lt;=Parametros!$B$5,"Atraso leve - seguimiento cercano ("&amp;TEXT(H215,"0.0")&amp;" p.p.)","Atraso crítico - requiere intervención ("&amp;TEXT(H215,"0.0")&amp;" p.p.)"))))</f>
        <v>Completado</v>
      </c>
      <c r="K215" s="7" t="s">
        <v>38</v>
      </c>
      <c r="L215" s="7"/>
      <c r="M215" s="7" t="s">
        <v>336</v>
      </c>
      <c r="N215" s="7" t="s">
        <v>51</v>
      </c>
      <c r="O215" s="13" t="n">
        <f aca="false">IF(AND(E215&lt;&gt;"",YEAR(E215)=YEAR(Parametros!$B$3),MONTH(E215)&gt;=10),1,0)</f>
        <v>0</v>
      </c>
      <c r="P215" s="13" t="n">
        <f aca="false">IF(AND(E215&lt;Parametros!$B$3,K215&lt;&gt;"Finalizado"),1,0)</f>
        <v>0</v>
      </c>
      <c r="Q215" s="13" t="n">
        <f aca="false">IF(AND(E215&gt;=Parametros!$B$3,E215&lt;=Parametros!$B$3+30,K215&lt;&gt;"Finalizado"),1,0)</f>
        <v>0</v>
      </c>
    </row>
    <row r="216" customFormat="false" ht="15" hidden="false" customHeight="false" outlineLevel="0" collapsed="false">
      <c r="A216" s="7" t="s">
        <v>374</v>
      </c>
      <c r="B216" s="7" t="s">
        <v>375</v>
      </c>
      <c r="C216" s="7" t="s">
        <v>377</v>
      </c>
      <c r="D216" s="9" t="n">
        <v>46024</v>
      </c>
      <c r="E216" s="9" t="n">
        <v>46233</v>
      </c>
      <c r="F216" s="10" t="n">
        <v>100</v>
      </c>
      <c r="G216" s="11" t="n">
        <f aca="false">IF(OR(D216="",E216="",E216&lt;=D216),"",MIN(100,MAX(0,(Parametros!$B$3-D216)/(E216-D216)*100)))</f>
        <v>100</v>
      </c>
      <c r="H216" s="12" t="n">
        <f aca="false">IF(G216="","",G216-F216)</f>
        <v>0</v>
      </c>
      <c r="I216" s="13" t="str">
        <f aca="false">IF(K216="Finalizado","Verde",IF(G216="","Amarillo",IF(H216&lt;=Parametros!$B$4,"Verde",IF(H216&lt;=Parametros!$B$5,"Amarillo","Rojo"))))</f>
        <v>Verde</v>
      </c>
      <c r="J216" s="14" t="str">
        <f aca="false">IF(K216="Finalizado","Completado",IF(G216="","Sin fecha válida - revisar plazos",IF(H216&lt;=Parametros!$B$4,"En tiempo, según lo planificado",IF(H216&lt;=Parametros!$B$5,"Atraso leve - seguimiento cercano ("&amp;TEXT(H216,"0.0")&amp;" p.p.)","Atraso crítico - requiere intervención ("&amp;TEXT(H216,"0.0")&amp;" p.p.)"))))</f>
        <v>Completado</v>
      </c>
      <c r="K216" s="7" t="s">
        <v>38</v>
      </c>
      <c r="L216" s="7" t="s">
        <v>378</v>
      </c>
      <c r="M216" s="7" t="s">
        <v>336</v>
      </c>
      <c r="N216" s="7" t="s">
        <v>51</v>
      </c>
      <c r="O216" s="13" t="n">
        <f aca="false">IF(AND(E216&lt;&gt;"",YEAR(E216)=YEAR(Parametros!$B$3),MONTH(E216)&gt;=10),1,0)</f>
        <v>0</v>
      </c>
      <c r="P216" s="13" t="n">
        <f aca="false">IF(AND(E216&lt;Parametros!$B$3,K216&lt;&gt;"Finalizado"),1,0)</f>
        <v>0</v>
      </c>
      <c r="Q216" s="13" t="n">
        <f aca="false">IF(AND(E216&gt;=Parametros!$B$3,E216&lt;=Parametros!$B$3+30,K216&lt;&gt;"Finalizado"),1,0)</f>
        <v>0</v>
      </c>
    </row>
    <row r="217" customFormat="false" ht="15" hidden="false" customHeight="false" outlineLevel="0" collapsed="false">
      <c r="A217" s="7" t="s">
        <v>374</v>
      </c>
      <c r="B217" s="7" t="s">
        <v>375</v>
      </c>
      <c r="C217" s="8" t="s">
        <v>379</v>
      </c>
      <c r="D217" s="9" t="n">
        <v>46024</v>
      </c>
      <c r="E217" s="9" t="n">
        <v>46264</v>
      </c>
      <c r="F217" s="10" t="n">
        <v>90</v>
      </c>
      <c r="G217" s="11" t="n">
        <f aca="false">IF(OR(D217="",E217="",E217&lt;=D217),"",MIN(100,MAX(0,(Parametros!$B$3-D217)/(E217-D217)*100)))</f>
        <v>97.5</v>
      </c>
      <c r="H217" s="12" t="n">
        <f aca="false">IF(G217="","",G217-F217)</f>
        <v>7.5</v>
      </c>
      <c r="I217" s="13" t="str">
        <f aca="false">IF(K217="Finalizado","Verde",IF(G217="","Amarillo",IF(H217&lt;=Parametros!$B$4,"Verde",IF(H217&lt;=Parametros!$B$5,"Amarillo","Rojo"))))</f>
        <v>Amarillo</v>
      </c>
      <c r="J217" s="14" t="str">
        <f aca="false">IF(K217="Finalizado","Completado",IF(G217="","Sin fecha válida - revisar plazos",IF(H217&lt;=Parametros!$B$4,"En tiempo, según lo planificado",IF(H217&lt;=Parametros!$B$5,"Atraso leve - seguimiento cercano ("&amp;TEXT(H217,"0.0")&amp;" p.p.)","Atraso crítico - requiere intervención ("&amp;TEXT(H217,"0.0")&amp;" p.p.)"))))</f>
        <v>Atraso leve - seguimiento cercano (7.5 p.p.)</v>
      </c>
      <c r="K217" s="7" t="s">
        <v>27</v>
      </c>
      <c r="L217" s="7"/>
      <c r="M217" s="7" t="s">
        <v>336</v>
      </c>
      <c r="N217" s="7" t="s">
        <v>51</v>
      </c>
      <c r="O217" s="13" t="n">
        <f aca="false">IF(AND(E217&lt;&gt;"",YEAR(E217)=YEAR(Parametros!$B$3),MONTH(E217)&gt;=10),1,0)</f>
        <v>0</v>
      </c>
      <c r="P217" s="13" t="n">
        <f aca="false">IF(AND(E217&lt;Parametros!$B$3,K217&lt;&gt;"Finalizado"),1,0)</f>
        <v>0</v>
      </c>
      <c r="Q217" s="13" t="n">
        <f aca="false">IF(AND(E217&gt;=Parametros!$B$3,E217&lt;=Parametros!$B$3+30,K217&lt;&gt;"Finalizado"),1,0)</f>
        <v>1</v>
      </c>
    </row>
    <row r="218" customFormat="false" ht="15" hidden="false" customHeight="false" outlineLevel="0" collapsed="false">
      <c r="A218" s="7" t="s">
        <v>374</v>
      </c>
      <c r="B218" s="7" t="s">
        <v>375</v>
      </c>
      <c r="C218" s="7" t="s">
        <v>380</v>
      </c>
      <c r="D218" s="9" t="n">
        <v>46024</v>
      </c>
      <c r="E218" s="9" t="n">
        <v>46172</v>
      </c>
      <c r="F218" s="10" t="n">
        <v>100</v>
      </c>
      <c r="G218" s="11" t="n">
        <f aca="false">IF(OR(D218="",E218="",E218&lt;=D218),"",MIN(100,MAX(0,(Parametros!$B$3-D218)/(E218-D218)*100)))</f>
        <v>100</v>
      </c>
      <c r="H218" s="12" t="n">
        <f aca="false">IF(G218="","",G218-F218)</f>
        <v>0</v>
      </c>
      <c r="I218" s="13" t="str">
        <f aca="false">IF(K218="Finalizado","Verde",IF(G218="","Amarillo",IF(H218&lt;=Parametros!$B$4,"Verde",IF(H218&lt;=Parametros!$B$5,"Amarillo","Rojo"))))</f>
        <v>Verde</v>
      </c>
      <c r="J218" s="14" t="str">
        <f aca="false">IF(K218="Finalizado","Completado",IF(G218="","Sin fecha válida - revisar plazos",IF(H218&lt;=Parametros!$B$4,"En tiempo, según lo planificado",IF(H218&lt;=Parametros!$B$5,"Atraso leve - seguimiento cercano ("&amp;TEXT(H218,"0.0")&amp;" p.p.)","Atraso crítico - requiere intervención ("&amp;TEXT(H218,"0.0")&amp;" p.p.)"))))</f>
        <v>Completado</v>
      </c>
      <c r="K218" s="7" t="s">
        <v>38</v>
      </c>
      <c r="L218" s="7"/>
      <c r="M218" s="7" t="s">
        <v>336</v>
      </c>
      <c r="N218" s="7" t="s">
        <v>51</v>
      </c>
      <c r="O218" s="13" t="n">
        <f aca="false">IF(AND(E218&lt;&gt;"",YEAR(E218)=YEAR(Parametros!$B$3),MONTH(E218)&gt;=10),1,0)</f>
        <v>0</v>
      </c>
      <c r="P218" s="13" t="n">
        <f aca="false">IF(AND(E218&lt;Parametros!$B$3,K218&lt;&gt;"Finalizado"),1,0)</f>
        <v>0</v>
      </c>
      <c r="Q218" s="13" t="n">
        <f aca="false">IF(AND(E218&gt;=Parametros!$B$3,E218&lt;=Parametros!$B$3+30,K218&lt;&gt;"Finalizado"),1,0)</f>
        <v>0</v>
      </c>
    </row>
    <row r="219" customFormat="false" ht="15" hidden="false" customHeight="false" outlineLevel="0" collapsed="false">
      <c r="A219" s="7" t="s">
        <v>374</v>
      </c>
      <c r="B219" s="7" t="s">
        <v>375</v>
      </c>
      <c r="C219" s="8" t="s">
        <v>381</v>
      </c>
      <c r="D219" s="9" t="n">
        <v>46024</v>
      </c>
      <c r="E219" s="9" t="n">
        <v>46386</v>
      </c>
      <c r="F219" s="10" t="n">
        <v>45</v>
      </c>
      <c r="G219" s="11" t="n">
        <f aca="false">IF(OR(D219="",E219="",E219&lt;=D219),"",MIN(100,MAX(0,(Parametros!$B$3-D219)/(E219-D219)*100)))</f>
        <v>64.6408839779006</v>
      </c>
      <c r="H219" s="12" t="n">
        <f aca="false">IF(G219="","",G219-F219)</f>
        <v>19.6408839779006</v>
      </c>
      <c r="I219" s="13" t="str">
        <f aca="false">IF(K219="Finalizado","Verde",IF(G219="","Amarillo",IF(H219&lt;=Parametros!$B$4,"Verde",IF(H219&lt;=Parametros!$B$5,"Amarillo","Rojo"))))</f>
        <v>Amarillo</v>
      </c>
      <c r="J219" s="14" t="str">
        <f aca="false">IF(K219="Finalizado","Completado",IF(G219="","Sin fecha válida - revisar plazos",IF(H219&lt;=Parametros!$B$4,"En tiempo, según lo planificado",IF(H219&lt;=Parametros!$B$5,"Atraso leve - seguimiento cercano ("&amp;TEXT(H219,"0.0")&amp;" p.p.)","Atraso crítico - requiere intervención ("&amp;TEXT(H219,"0.0")&amp;" p.p.)"))))</f>
        <v>Atraso leve - seguimiento cercano (19.6 p.p.)</v>
      </c>
      <c r="K219" s="7" t="s">
        <v>27</v>
      </c>
      <c r="L219" s="7"/>
      <c r="M219" s="7" t="s">
        <v>336</v>
      </c>
      <c r="N219" s="7" t="s">
        <v>51</v>
      </c>
      <c r="O219" s="13" t="n">
        <f aca="false">IF(AND(E219&lt;&gt;"",YEAR(E219)=YEAR(Parametros!$B$3),MONTH(E219)&gt;=10),1,0)</f>
        <v>1</v>
      </c>
      <c r="P219" s="13" t="n">
        <f aca="false">IF(AND(E219&lt;Parametros!$B$3,K219&lt;&gt;"Finalizado"),1,0)</f>
        <v>0</v>
      </c>
      <c r="Q219" s="13" t="n">
        <f aca="false">IF(AND(E219&gt;=Parametros!$B$3,E219&lt;=Parametros!$B$3+30,K219&lt;&gt;"Finalizado"),1,0)</f>
        <v>0</v>
      </c>
    </row>
    <row r="220" customFormat="false" ht="15" hidden="false" customHeight="false" outlineLevel="0" collapsed="false">
      <c r="A220" s="7" t="s">
        <v>374</v>
      </c>
      <c r="B220" s="7" t="s">
        <v>375</v>
      </c>
      <c r="C220" s="7" t="s">
        <v>382</v>
      </c>
      <c r="D220" s="9" t="n">
        <v>46024</v>
      </c>
      <c r="E220" s="9" t="n">
        <v>46264</v>
      </c>
      <c r="F220" s="10" t="n">
        <v>85</v>
      </c>
      <c r="G220" s="11" t="n">
        <f aca="false">IF(OR(D220="",E220="",E220&lt;=D220),"",MIN(100,MAX(0,(Parametros!$B$3-D220)/(E220-D220)*100)))</f>
        <v>97.5</v>
      </c>
      <c r="H220" s="12" t="n">
        <f aca="false">IF(G220="","",G220-F220)</f>
        <v>12.5</v>
      </c>
      <c r="I220" s="13" t="str">
        <f aca="false">IF(K220="Finalizado","Verde",IF(G220="","Amarillo",IF(H220&lt;=Parametros!$B$4,"Verde",IF(H220&lt;=Parametros!$B$5,"Amarillo","Rojo"))))</f>
        <v>Amarillo</v>
      </c>
      <c r="J220" s="14" t="str">
        <f aca="false">IF(K220="Finalizado","Completado",IF(G220="","Sin fecha válida - revisar plazos",IF(H220&lt;=Parametros!$B$4,"En tiempo, según lo planificado",IF(H220&lt;=Parametros!$B$5,"Atraso leve - seguimiento cercano ("&amp;TEXT(H220,"0.0")&amp;" p.p.)","Atraso crítico - requiere intervención ("&amp;TEXT(H220,"0.0")&amp;" p.p.)"))))</f>
        <v>Atraso leve - seguimiento cercano (12.5 p.p.)</v>
      </c>
      <c r="K220" s="7" t="s">
        <v>27</v>
      </c>
      <c r="L220" s="7"/>
      <c r="M220" s="7" t="s">
        <v>336</v>
      </c>
      <c r="N220" s="7" t="s">
        <v>51</v>
      </c>
      <c r="O220" s="13" t="n">
        <f aca="false">IF(AND(E220&lt;&gt;"",YEAR(E220)=YEAR(Parametros!$B$3),MONTH(E220)&gt;=10),1,0)</f>
        <v>0</v>
      </c>
      <c r="P220" s="13" t="n">
        <f aca="false">IF(AND(E220&lt;Parametros!$B$3,K220&lt;&gt;"Finalizado"),1,0)</f>
        <v>0</v>
      </c>
      <c r="Q220" s="13" t="n">
        <f aca="false">IF(AND(E220&gt;=Parametros!$B$3,E220&lt;=Parametros!$B$3+30,K220&lt;&gt;"Finalizado"),1,0)</f>
        <v>1</v>
      </c>
    </row>
    <row r="221" customFormat="false" ht="15" hidden="false" customHeight="false" outlineLevel="0" collapsed="false">
      <c r="A221" s="7" t="s">
        <v>383</v>
      </c>
      <c r="B221" s="7" t="s">
        <v>384</v>
      </c>
      <c r="C221" s="7" t="s">
        <v>385</v>
      </c>
      <c r="D221" s="9" t="n">
        <v>46054</v>
      </c>
      <c r="E221" s="9" t="n">
        <v>46204</v>
      </c>
      <c r="F221" s="10" t="n">
        <v>100</v>
      </c>
      <c r="G221" s="11" t="n">
        <f aca="false">IF(OR(D221="",E221="",E221&lt;=D221),"",MIN(100,MAX(0,(Parametros!$B$3-D221)/(E221-D221)*100)))</f>
        <v>100</v>
      </c>
      <c r="H221" s="12" t="n">
        <f aca="false">IF(G221="","",G221-F221)</f>
        <v>0</v>
      </c>
      <c r="I221" s="13" t="str">
        <f aca="false">IF(K221="Finalizado","Verde",IF(G221="","Amarillo",IF(H221&lt;=Parametros!$B$4,"Verde",IF(H221&lt;=Parametros!$B$5,"Amarillo","Rojo"))))</f>
        <v>Verde</v>
      </c>
      <c r="J221" s="14" t="str">
        <f aca="false">IF(K221="Finalizado","Completado",IF(G221="","Sin fecha válida - revisar plazos",IF(H221&lt;=Parametros!$B$4,"En tiempo, según lo planificado",IF(H221&lt;=Parametros!$B$5,"Atraso leve - seguimiento cercano ("&amp;TEXT(H221,"0.0")&amp;" p.p.)","Atraso crítico - requiere intervención ("&amp;TEXT(H221,"0.0")&amp;" p.p.)"))))</f>
        <v>Completado</v>
      </c>
      <c r="K221" s="7" t="s">
        <v>38</v>
      </c>
      <c r="L221" s="7" t="s">
        <v>386</v>
      </c>
      <c r="M221" s="7" t="s">
        <v>336</v>
      </c>
      <c r="N221" s="7" t="s">
        <v>51</v>
      </c>
      <c r="O221" s="13" t="n">
        <f aca="false">IF(AND(E221&lt;&gt;"",YEAR(E221)=YEAR(Parametros!$B$3),MONTH(E221)&gt;=10),1,0)</f>
        <v>0</v>
      </c>
      <c r="P221" s="13" t="n">
        <f aca="false">IF(AND(E221&lt;Parametros!$B$3,K221&lt;&gt;"Finalizado"),1,0)</f>
        <v>0</v>
      </c>
      <c r="Q221" s="13" t="n">
        <f aca="false">IF(AND(E221&gt;=Parametros!$B$3,E221&lt;=Parametros!$B$3+30,K221&lt;&gt;"Finalizado"),1,0)</f>
        <v>0</v>
      </c>
    </row>
    <row r="222" customFormat="false" ht="15" hidden="false" customHeight="false" outlineLevel="0" collapsed="false">
      <c r="A222" s="7" t="s">
        <v>383</v>
      </c>
      <c r="B222" s="7" t="s">
        <v>384</v>
      </c>
      <c r="C222" s="7" t="s">
        <v>387</v>
      </c>
      <c r="D222" s="9" t="n">
        <v>46054</v>
      </c>
      <c r="E222" s="9" t="n">
        <v>46204</v>
      </c>
      <c r="F222" s="10" t="n">
        <v>100</v>
      </c>
      <c r="G222" s="11" t="n">
        <f aca="false">IF(OR(D222="",E222="",E222&lt;=D222),"",MIN(100,MAX(0,(Parametros!$B$3-D222)/(E222-D222)*100)))</f>
        <v>100</v>
      </c>
      <c r="H222" s="12" t="n">
        <f aca="false">IF(G222="","",G222-F222)</f>
        <v>0</v>
      </c>
      <c r="I222" s="13" t="str">
        <f aca="false">IF(K222="Finalizado","Verde",IF(G222="","Amarillo",IF(H222&lt;=Parametros!$B$4,"Verde",IF(H222&lt;=Parametros!$B$5,"Amarillo","Rojo"))))</f>
        <v>Verde</v>
      </c>
      <c r="J222" s="14" t="str">
        <f aca="false">IF(K222="Finalizado","Completado",IF(G222="","Sin fecha válida - revisar plazos",IF(H222&lt;=Parametros!$B$4,"En tiempo, según lo planificado",IF(H222&lt;=Parametros!$B$5,"Atraso leve - seguimiento cercano ("&amp;TEXT(H222,"0.0")&amp;" p.p.)","Atraso crítico - requiere intervención ("&amp;TEXT(H222,"0.0")&amp;" p.p.)"))))</f>
        <v>Completado</v>
      </c>
      <c r="K222" s="7" t="s">
        <v>38</v>
      </c>
      <c r="L222" s="7"/>
      <c r="M222" s="7" t="s">
        <v>336</v>
      </c>
      <c r="N222" s="7" t="s">
        <v>51</v>
      </c>
      <c r="O222" s="13" t="n">
        <f aca="false">IF(AND(E222&lt;&gt;"",YEAR(E222)=YEAR(Parametros!$B$3),MONTH(E222)&gt;=10),1,0)</f>
        <v>0</v>
      </c>
      <c r="P222" s="13" t="n">
        <f aca="false">IF(AND(E222&lt;Parametros!$B$3,K222&lt;&gt;"Finalizado"),1,0)</f>
        <v>0</v>
      </c>
      <c r="Q222" s="13" t="n">
        <f aca="false">IF(AND(E222&gt;=Parametros!$B$3,E222&lt;=Parametros!$B$3+30,K222&lt;&gt;"Finalizado"),1,0)</f>
        <v>0</v>
      </c>
    </row>
    <row r="223" customFormat="false" ht="15" hidden="false" customHeight="false" outlineLevel="0" collapsed="false">
      <c r="A223" s="7" t="s">
        <v>383</v>
      </c>
      <c r="B223" s="7" t="s">
        <v>384</v>
      </c>
      <c r="C223" s="7" t="s">
        <v>388</v>
      </c>
      <c r="D223" s="9" t="n">
        <v>46054</v>
      </c>
      <c r="E223" s="9" t="n">
        <v>46204</v>
      </c>
      <c r="F223" s="10" t="n">
        <v>100</v>
      </c>
      <c r="G223" s="11" t="n">
        <f aca="false">IF(OR(D223="",E223="",E223&lt;=D223),"",MIN(100,MAX(0,(Parametros!$B$3-D223)/(E223-D223)*100)))</f>
        <v>100</v>
      </c>
      <c r="H223" s="12" t="n">
        <f aca="false">IF(G223="","",G223-F223)</f>
        <v>0</v>
      </c>
      <c r="I223" s="13" t="str">
        <f aca="false">IF(K223="Finalizado","Verde",IF(G223="","Amarillo",IF(H223&lt;=Parametros!$B$4,"Verde",IF(H223&lt;=Parametros!$B$5,"Amarillo","Rojo"))))</f>
        <v>Verde</v>
      </c>
      <c r="J223" s="14" t="str">
        <f aca="false">IF(K223="Finalizado","Completado",IF(G223="","Sin fecha válida - revisar plazos",IF(H223&lt;=Parametros!$B$4,"En tiempo, según lo planificado",IF(H223&lt;=Parametros!$B$5,"Atraso leve - seguimiento cercano ("&amp;TEXT(H223,"0.0")&amp;" p.p.)","Atraso crítico - requiere intervención ("&amp;TEXT(H223,"0.0")&amp;" p.p.)"))))</f>
        <v>Completado</v>
      </c>
      <c r="K223" s="7" t="s">
        <v>38</v>
      </c>
      <c r="L223" s="7"/>
      <c r="M223" s="7" t="s">
        <v>336</v>
      </c>
      <c r="N223" s="7" t="s">
        <v>51</v>
      </c>
      <c r="O223" s="13" t="n">
        <f aca="false">IF(AND(E223&lt;&gt;"",YEAR(E223)=YEAR(Parametros!$B$3),MONTH(E223)&gt;=10),1,0)</f>
        <v>0</v>
      </c>
      <c r="P223" s="13" t="n">
        <f aca="false">IF(AND(E223&lt;Parametros!$B$3,K223&lt;&gt;"Finalizado"),1,0)</f>
        <v>0</v>
      </c>
      <c r="Q223" s="13" t="n">
        <f aca="false">IF(AND(E223&gt;=Parametros!$B$3,E223&lt;=Parametros!$B$3+30,K223&lt;&gt;"Finalizado"),1,0)</f>
        <v>0</v>
      </c>
    </row>
    <row r="224" customFormat="false" ht="15" hidden="false" customHeight="false" outlineLevel="0" collapsed="false">
      <c r="A224" s="7" t="s">
        <v>389</v>
      </c>
      <c r="B224" s="7" t="s">
        <v>390</v>
      </c>
      <c r="C224" s="8" t="s">
        <v>391</v>
      </c>
      <c r="D224" s="9" t="n">
        <v>46296</v>
      </c>
      <c r="E224" s="9" t="n">
        <v>46356</v>
      </c>
      <c r="F224" s="10" t="n">
        <v>0</v>
      </c>
      <c r="G224" s="11" t="n">
        <f aca="false">IF(OR(D224="",E224="",E224&lt;=D224),"",MIN(100,MAX(0,(Parametros!$B$3-D224)/(E224-D224)*100)))</f>
        <v>0</v>
      </c>
      <c r="H224" s="12" t="n">
        <f aca="false">IF(G224="","",G224-F224)</f>
        <v>0</v>
      </c>
      <c r="I224" s="13" t="str">
        <f aca="false">IF(K224="Finalizado","Verde",IF(G224="","Amarillo",IF(H224&lt;=Parametros!$B$4,"Verde",IF(H224&lt;=Parametros!$B$5,"Amarillo","Rojo"))))</f>
        <v>Verde</v>
      </c>
      <c r="J224" s="14" t="str">
        <f aca="false">IF(K224="Finalizado","Completado",IF(G224="","Sin fecha válida - revisar plazos",IF(H224&lt;=Parametros!$B$4,"En tiempo, según lo planificado",IF(H224&lt;=Parametros!$B$5,"Atraso leve - seguimiento cercano ("&amp;TEXT(H224,"0.0")&amp;" p.p.)","Atraso crítico - requiere intervención ("&amp;TEXT(H224,"0.0")&amp;" p.p.)"))))</f>
        <v>En tiempo, según lo planificado</v>
      </c>
      <c r="K224" s="7" t="s">
        <v>100</v>
      </c>
      <c r="L224" s="7"/>
      <c r="M224" s="7" t="s">
        <v>336</v>
      </c>
      <c r="N224" s="7" t="s">
        <v>51</v>
      </c>
      <c r="O224" s="13" t="n">
        <f aca="false">IF(AND(E224&lt;&gt;"",YEAR(E224)=YEAR(Parametros!$B$3),MONTH(E224)&gt;=10),1,0)</f>
        <v>1</v>
      </c>
      <c r="P224" s="13" t="n">
        <f aca="false">IF(AND(E224&lt;Parametros!$B$3,K224&lt;&gt;"Finalizado"),1,0)</f>
        <v>0</v>
      </c>
      <c r="Q224" s="13" t="n">
        <f aca="false">IF(AND(E224&gt;=Parametros!$B$3,E224&lt;=Parametros!$B$3+30,K224&lt;&gt;"Finalizado"),1,0)</f>
        <v>0</v>
      </c>
    </row>
    <row r="225" customFormat="false" ht="15" hidden="false" customHeight="false" outlineLevel="0" collapsed="false">
      <c r="A225" s="7" t="s">
        <v>389</v>
      </c>
      <c r="B225" s="7" t="s">
        <v>390</v>
      </c>
      <c r="C225" s="8" t="s">
        <v>392</v>
      </c>
      <c r="D225" s="9" t="n">
        <v>46188</v>
      </c>
      <c r="E225" s="9" t="n">
        <v>46290</v>
      </c>
      <c r="F225" s="10" t="n">
        <v>100</v>
      </c>
      <c r="G225" s="11" t="n">
        <f aca="false">IF(OR(D225="",E225="",E225&lt;=D225),"",MIN(100,MAX(0,(Parametros!$B$3-D225)/(E225-D225)*100)))</f>
        <v>68.6274509803922</v>
      </c>
      <c r="H225" s="12" t="n">
        <f aca="false">IF(G225="","",G225-F225)</f>
        <v>-31.3725490196078</v>
      </c>
      <c r="I225" s="13" t="str">
        <f aca="false">IF(K225="Finalizado","Verde",IF(G225="","Amarillo",IF(H225&lt;=Parametros!$B$4,"Verde",IF(H225&lt;=Parametros!$B$5,"Amarillo","Rojo"))))</f>
        <v>Verde</v>
      </c>
      <c r="J225" s="14" t="str">
        <f aca="false">IF(K225="Finalizado","Completado",IF(G225="","Sin fecha válida - revisar plazos",IF(H225&lt;=Parametros!$B$4,"En tiempo, según lo planificado",IF(H225&lt;=Parametros!$B$5,"Atraso leve - seguimiento cercano ("&amp;TEXT(H225,"0.0")&amp;" p.p.)","Atraso crítico - requiere intervención ("&amp;TEXT(H225,"0.0")&amp;" p.p.)"))))</f>
        <v>Completado</v>
      </c>
      <c r="K225" s="7" t="s">
        <v>38</v>
      </c>
      <c r="L225" s="7" t="s">
        <v>393</v>
      </c>
      <c r="M225" s="7" t="s">
        <v>336</v>
      </c>
      <c r="N225" s="7" t="s">
        <v>51</v>
      </c>
      <c r="O225" s="13" t="n">
        <f aca="false">IF(AND(E225&lt;&gt;"",YEAR(E225)=YEAR(Parametros!$B$3),MONTH(E225)&gt;=10),1,0)</f>
        <v>0</v>
      </c>
      <c r="P225" s="13" t="n">
        <f aca="false">IF(AND(E225&lt;Parametros!$B$3,K225&lt;&gt;"Finalizado"),1,0)</f>
        <v>0</v>
      </c>
      <c r="Q225" s="13" t="n">
        <f aca="false">IF(AND(E225&gt;=Parametros!$B$3,E225&lt;=Parametros!$B$3+30,K225&lt;&gt;"Finalizado"),1,0)</f>
        <v>0</v>
      </c>
    </row>
    <row r="226" customFormat="false" ht="15" hidden="false" customHeight="false" outlineLevel="0" collapsed="false">
      <c r="A226" s="7" t="s">
        <v>389</v>
      </c>
      <c r="B226" s="7" t="s">
        <v>390</v>
      </c>
      <c r="C226" s="7" t="s">
        <v>394</v>
      </c>
      <c r="D226" s="9" t="n">
        <v>46266</v>
      </c>
      <c r="E226" s="9" t="n">
        <v>46387</v>
      </c>
      <c r="F226" s="10" t="n">
        <v>0</v>
      </c>
      <c r="G226" s="11" t="n">
        <f aca="false">IF(OR(D226="",E226="",E226&lt;=D226),"",MIN(100,MAX(0,(Parametros!$B$3-D226)/(E226-D226)*100)))</f>
        <v>0</v>
      </c>
      <c r="H226" s="12" t="n">
        <f aca="false">IF(G226="","",G226-F226)</f>
        <v>0</v>
      </c>
      <c r="I226" s="13" t="str">
        <f aca="false">IF(K226="Finalizado","Verde",IF(G226="","Amarillo",IF(H226&lt;=Parametros!$B$4,"Verde",IF(H226&lt;=Parametros!$B$5,"Amarillo","Rojo"))))</f>
        <v>Verde</v>
      </c>
      <c r="J226" s="14" t="str">
        <f aca="false">IF(K226="Finalizado","Completado",IF(G226="","Sin fecha válida - revisar plazos",IF(H226&lt;=Parametros!$B$4,"En tiempo, según lo planificado",IF(H226&lt;=Parametros!$B$5,"Atraso leve - seguimiento cercano ("&amp;TEXT(H226,"0.0")&amp;" p.p.)","Atraso crítico - requiere intervención ("&amp;TEXT(H226,"0.0")&amp;" p.p.)"))))</f>
        <v>En tiempo, según lo planificado</v>
      </c>
      <c r="K226" s="7" t="s">
        <v>100</v>
      </c>
      <c r="L226" s="7"/>
      <c r="M226" s="7" t="s">
        <v>336</v>
      </c>
      <c r="N226" s="7" t="s">
        <v>51</v>
      </c>
      <c r="O226" s="13" t="n">
        <f aca="false">IF(AND(E226&lt;&gt;"",YEAR(E226)=YEAR(Parametros!$B$3),MONTH(E226)&gt;=10),1,0)</f>
        <v>1</v>
      </c>
      <c r="P226" s="13" t="n">
        <f aca="false">IF(AND(E226&lt;Parametros!$B$3,K226&lt;&gt;"Finalizado"),1,0)</f>
        <v>0</v>
      </c>
      <c r="Q226" s="13" t="n">
        <f aca="false">IF(AND(E226&gt;=Parametros!$B$3,E226&lt;=Parametros!$B$3+30,K226&lt;&gt;"Finalizado"),1,0)</f>
        <v>0</v>
      </c>
    </row>
    <row r="227" customFormat="false" ht="15" hidden="false" customHeight="false" outlineLevel="0" collapsed="false">
      <c r="A227" s="7" t="s">
        <v>395</v>
      </c>
      <c r="B227" s="7" t="s">
        <v>396</v>
      </c>
      <c r="C227" s="8" t="s">
        <v>397</v>
      </c>
      <c r="D227" s="9" t="n">
        <v>46047</v>
      </c>
      <c r="E227" s="9" t="n">
        <v>46265</v>
      </c>
      <c r="F227" s="10" t="n">
        <v>100</v>
      </c>
      <c r="G227" s="11" t="n">
        <f aca="false">IF(OR(D227="",E227="",E227&lt;=D227),"",MIN(100,MAX(0,(Parametros!$B$3-D227)/(E227-D227)*100)))</f>
        <v>96.7889908256881</v>
      </c>
      <c r="H227" s="12" t="n">
        <f aca="false">IF(G227="","",G227-F227)</f>
        <v>-3.21100917431193</v>
      </c>
      <c r="I227" s="13" t="str">
        <f aca="false">IF(K227="Finalizado","Verde",IF(G227="","Amarillo",IF(H227&lt;=Parametros!$B$4,"Verde",IF(H227&lt;=Parametros!$B$5,"Amarillo","Rojo"))))</f>
        <v>Verde</v>
      </c>
      <c r="J227" s="14" t="str">
        <f aca="false">IF(K227="Finalizado","Completado",IF(G227="","Sin fecha válida - revisar plazos",IF(H227&lt;=Parametros!$B$4,"En tiempo, según lo planificado",IF(H227&lt;=Parametros!$B$5,"Atraso leve - seguimiento cercano ("&amp;TEXT(H227,"0.0")&amp;" p.p.)","Atraso crítico - requiere intervención ("&amp;TEXT(H227,"0.0")&amp;" p.p.)"))))</f>
        <v>Completado</v>
      </c>
      <c r="K227" s="7" t="s">
        <v>38</v>
      </c>
      <c r="L227" s="7" t="s">
        <v>398</v>
      </c>
      <c r="M227" s="7" t="s">
        <v>336</v>
      </c>
      <c r="N227" s="7" t="s">
        <v>51</v>
      </c>
      <c r="O227" s="13" t="n">
        <f aca="false">IF(AND(E227&lt;&gt;"",YEAR(E227)=YEAR(Parametros!$B$3),MONTH(E227)&gt;=10),1,0)</f>
        <v>0</v>
      </c>
      <c r="P227" s="13" t="n">
        <f aca="false">IF(AND(E227&lt;Parametros!$B$3,K227&lt;&gt;"Finalizado"),1,0)</f>
        <v>0</v>
      </c>
      <c r="Q227" s="13" t="n">
        <f aca="false">IF(AND(E227&gt;=Parametros!$B$3,E227&lt;=Parametros!$B$3+30,K227&lt;&gt;"Finalizado"),1,0)</f>
        <v>0</v>
      </c>
    </row>
    <row r="228" customFormat="false" ht="15" hidden="false" customHeight="false" outlineLevel="0" collapsed="false">
      <c r="A228" s="7" t="s">
        <v>395</v>
      </c>
      <c r="B228" s="7" t="s">
        <v>396</v>
      </c>
      <c r="C228" s="7" t="s">
        <v>399</v>
      </c>
      <c r="D228" s="9" t="n">
        <v>46266</v>
      </c>
      <c r="E228" s="9" t="n">
        <v>46387</v>
      </c>
      <c r="F228" s="10" t="n">
        <v>10</v>
      </c>
      <c r="G228" s="11" t="n">
        <f aca="false">IF(OR(D228="",E228="",E228&lt;=D228),"",MIN(100,MAX(0,(Parametros!$B$3-D228)/(E228-D228)*100)))</f>
        <v>0</v>
      </c>
      <c r="H228" s="12" t="n">
        <f aca="false">IF(G228="","",G228-F228)</f>
        <v>-10</v>
      </c>
      <c r="I228" s="13" t="str">
        <f aca="false">IF(K228="Finalizado","Verde",IF(G228="","Amarillo",IF(H228&lt;=Parametros!$B$4,"Verde",IF(H228&lt;=Parametros!$B$5,"Amarillo","Rojo"))))</f>
        <v>Verde</v>
      </c>
      <c r="J228" s="14" t="str">
        <f aca="false">IF(K228="Finalizado","Completado",IF(G228="","Sin fecha válida - revisar plazos",IF(H228&lt;=Parametros!$B$4,"En tiempo, según lo planificado",IF(H228&lt;=Parametros!$B$5,"Atraso leve - seguimiento cercano ("&amp;TEXT(H228,"0.0")&amp;" p.p.)","Atraso crítico - requiere intervención ("&amp;TEXT(H228,"0.0")&amp;" p.p.)"))))</f>
        <v>En tiempo, según lo planificado</v>
      </c>
      <c r="K228" s="7" t="s">
        <v>73</v>
      </c>
      <c r="L228" s="7"/>
      <c r="M228" s="7" t="s">
        <v>336</v>
      </c>
      <c r="N228" s="7" t="s">
        <v>51</v>
      </c>
      <c r="O228" s="13" t="n">
        <f aca="false">IF(AND(E228&lt;&gt;"",YEAR(E228)=YEAR(Parametros!$B$3),MONTH(E228)&gt;=10),1,0)</f>
        <v>1</v>
      </c>
      <c r="P228" s="13" t="n">
        <f aca="false">IF(AND(E228&lt;Parametros!$B$3,K228&lt;&gt;"Finalizado"),1,0)</f>
        <v>0</v>
      </c>
      <c r="Q228" s="13" t="n">
        <f aca="false">IF(AND(E228&gt;=Parametros!$B$3,E228&lt;=Parametros!$B$3+30,K228&lt;&gt;"Finalizado"),1,0)</f>
        <v>0</v>
      </c>
    </row>
    <row r="229" customFormat="false" ht="15" hidden="false" customHeight="false" outlineLevel="0" collapsed="false">
      <c r="A229" s="7" t="s">
        <v>395</v>
      </c>
      <c r="B229" s="7" t="s">
        <v>396</v>
      </c>
      <c r="C229" s="7" t="s">
        <v>400</v>
      </c>
      <c r="D229" s="9" t="n">
        <v>46143</v>
      </c>
      <c r="E229" s="9" t="n">
        <v>46295</v>
      </c>
      <c r="F229" s="10" t="n">
        <v>65</v>
      </c>
      <c r="G229" s="11" t="n">
        <f aca="false">IF(OR(D229="",E229="",E229&lt;=D229),"",MIN(100,MAX(0,(Parametros!$B$3-D229)/(E229-D229)*100)))</f>
        <v>75.6578947368421</v>
      </c>
      <c r="H229" s="12" t="n">
        <f aca="false">IF(G229="","",G229-F229)</f>
        <v>10.6578947368421</v>
      </c>
      <c r="I229" s="13" t="str">
        <f aca="false">IF(K229="Finalizado","Verde",IF(G229="","Amarillo",IF(H229&lt;=Parametros!$B$4,"Verde",IF(H229&lt;=Parametros!$B$5,"Amarillo","Rojo"))))</f>
        <v>Amarillo</v>
      </c>
      <c r="J229" s="14" t="str">
        <f aca="false">IF(K229="Finalizado","Completado",IF(G229="","Sin fecha válida - revisar plazos",IF(H229&lt;=Parametros!$B$4,"En tiempo, según lo planificado",IF(H229&lt;=Parametros!$B$5,"Atraso leve - seguimiento cercano ("&amp;TEXT(H229,"0.0")&amp;" p.p.)","Atraso crítico - requiere intervención ("&amp;TEXT(H229,"0.0")&amp;" p.p.)"))))</f>
        <v>Atraso leve - seguimiento cercano (10.7 p.p.)</v>
      </c>
      <c r="K229" s="7" t="s">
        <v>27</v>
      </c>
      <c r="L229" s="7"/>
      <c r="M229" s="7" t="s">
        <v>336</v>
      </c>
      <c r="N229" s="7" t="s">
        <v>51</v>
      </c>
      <c r="O229" s="13" t="n">
        <f aca="false">IF(AND(E229&lt;&gt;"",YEAR(E229)=YEAR(Parametros!$B$3),MONTH(E229)&gt;=10),1,0)</f>
        <v>0</v>
      </c>
      <c r="P229" s="13" t="n">
        <f aca="false">IF(AND(E229&lt;Parametros!$B$3,K229&lt;&gt;"Finalizado"),1,0)</f>
        <v>0</v>
      </c>
      <c r="Q229" s="13" t="n">
        <f aca="false">IF(AND(E229&gt;=Parametros!$B$3,E229&lt;=Parametros!$B$3+30,K229&lt;&gt;"Finalizado"),1,0)</f>
        <v>0</v>
      </c>
    </row>
    <row r="230" customFormat="false" ht="15" hidden="false" customHeight="false" outlineLevel="0" collapsed="false">
      <c r="A230" s="7" t="s">
        <v>401</v>
      </c>
      <c r="B230" s="7" t="s">
        <v>402</v>
      </c>
      <c r="C230" s="8" t="s">
        <v>403</v>
      </c>
      <c r="D230" s="9" t="n">
        <v>46296</v>
      </c>
      <c r="E230" s="9" t="n">
        <v>46387</v>
      </c>
      <c r="F230" s="10" t="n">
        <v>0</v>
      </c>
      <c r="G230" s="11" t="n">
        <f aca="false">IF(OR(D230="",E230="",E230&lt;=D230),"",MIN(100,MAX(0,(Parametros!$B$3-D230)/(E230-D230)*100)))</f>
        <v>0</v>
      </c>
      <c r="H230" s="12" t="n">
        <f aca="false">IF(G230="","",G230-F230)</f>
        <v>0</v>
      </c>
      <c r="I230" s="13" t="str">
        <f aca="false">IF(K230="Finalizado","Verde",IF(G230="","Amarillo",IF(H230&lt;=Parametros!$B$4,"Verde",IF(H230&lt;=Parametros!$B$5,"Amarillo","Rojo"))))</f>
        <v>Verde</v>
      </c>
      <c r="J230" s="14" t="str">
        <f aca="false">IF(K230="Finalizado","Completado",IF(G230="","Sin fecha válida - revisar plazos",IF(H230&lt;=Parametros!$B$4,"En tiempo, según lo planificado",IF(H230&lt;=Parametros!$B$5,"Atraso leve - seguimiento cercano ("&amp;TEXT(H230,"0.0")&amp;" p.p.)","Atraso crítico - requiere intervención ("&amp;TEXT(H230,"0.0")&amp;" p.p.)"))))</f>
        <v>En tiempo, según lo planificado</v>
      </c>
      <c r="K230" s="7" t="s">
        <v>100</v>
      </c>
      <c r="L230" s="7"/>
      <c r="M230" s="7" t="s">
        <v>336</v>
      </c>
      <c r="N230" s="7" t="s">
        <v>51</v>
      </c>
      <c r="O230" s="13" t="n">
        <f aca="false">IF(AND(E230&lt;&gt;"",YEAR(E230)=YEAR(Parametros!$B$3),MONTH(E230)&gt;=10),1,0)</f>
        <v>1</v>
      </c>
      <c r="P230" s="13" t="n">
        <f aca="false">IF(AND(E230&lt;Parametros!$B$3,K230&lt;&gt;"Finalizado"),1,0)</f>
        <v>0</v>
      </c>
      <c r="Q230" s="13" t="n">
        <f aca="false">IF(AND(E230&gt;=Parametros!$B$3,E230&lt;=Parametros!$B$3+30,K230&lt;&gt;"Finalizado"),1,0)</f>
        <v>0</v>
      </c>
    </row>
    <row r="231" customFormat="false" ht="15" hidden="false" customHeight="false" outlineLevel="0" collapsed="false">
      <c r="A231" s="7" t="s">
        <v>401</v>
      </c>
      <c r="B231" s="7" t="s">
        <v>402</v>
      </c>
      <c r="C231" s="8" t="s">
        <v>404</v>
      </c>
      <c r="D231" s="9" t="n">
        <v>46188</v>
      </c>
      <c r="E231" s="9" t="n">
        <v>46295</v>
      </c>
      <c r="F231" s="10" t="n">
        <v>70</v>
      </c>
      <c r="G231" s="11" t="n">
        <f aca="false">IF(OR(D231="",E231="",E231&lt;=D231),"",MIN(100,MAX(0,(Parametros!$B$3-D231)/(E231-D231)*100)))</f>
        <v>65.4205607476635</v>
      </c>
      <c r="H231" s="12" t="n">
        <f aca="false">IF(G231="","",G231-F231)</f>
        <v>-4.57943925233646</v>
      </c>
      <c r="I231" s="13" t="str">
        <f aca="false">IF(K231="Finalizado","Verde",IF(G231="","Amarillo",IF(H231&lt;=Parametros!$B$4,"Verde",IF(H231&lt;=Parametros!$B$5,"Amarillo","Rojo"))))</f>
        <v>Verde</v>
      </c>
      <c r="J231" s="14" t="str">
        <f aca="false">IF(K231="Finalizado","Completado",IF(G231="","Sin fecha válida - revisar plazos",IF(H231&lt;=Parametros!$B$4,"En tiempo, según lo planificado",IF(H231&lt;=Parametros!$B$5,"Atraso leve - seguimiento cercano ("&amp;TEXT(H231,"0.0")&amp;" p.p.)","Atraso crítico - requiere intervención ("&amp;TEXT(H231,"0.0")&amp;" p.p.)"))))</f>
        <v>En tiempo, según lo planificado</v>
      </c>
      <c r="K231" s="7" t="s">
        <v>27</v>
      </c>
      <c r="L231" s="7"/>
      <c r="M231" s="7" t="s">
        <v>336</v>
      </c>
      <c r="N231" s="7" t="s">
        <v>51</v>
      </c>
      <c r="O231" s="13" t="n">
        <f aca="false">IF(AND(E231&lt;&gt;"",YEAR(E231)=YEAR(Parametros!$B$3),MONTH(E231)&gt;=10),1,0)</f>
        <v>0</v>
      </c>
      <c r="P231" s="13" t="n">
        <f aca="false">IF(AND(E231&lt;Parametros!$B$3,K231&lt;&gt;"Finalizado"),1,0)</f>
        <v>0</v>
      </c>
      <c r="Q231" s="13" t="n">
        <f aca="false">IF(AND(E231&gt;=Parametros!$B$3,E231&lt;=Parametros!$B$3+30,K231&lt;&gt;"Finalizado"),1,0)</f>
        <v>0</v>
      </c>
    </row>
    <row r="232" customFormat="false" ht="15" hidden="false" customHeight="false" outlineLevel="0" collapsed="false">
      <c r="A232" s="7" t="s">
        <v>401</v>
      </c>
      <c r="B232" s="7" t="s">
        <v>402</v>
      </c>
      <c r="C232" s="8" t="s">
        <v>405</v>
      </c>
      <c r="D232" s="9" t="n">
        <v>46188</v>
      </c>
      <c r="E232" s="9" t="n">
        <v>46265</v>
      </c>
      <c r="F232" s="10" t="n">
        <v>85</v>
      </c>
      <c r="G232" s="11" t="n">
        <f aca="false">IF(OR(D232="",E232="",E232&lt;=D232),"",MIN(100,MAX(0,(Parametros!$B$3-D232)/(E232-D232)*100)))</f>
        <v>90.9090909090909</v>
      </c>
      <c r="H232" s="12" t="n">
        <f aca="false">IF(G232="","",G232-F232)</f>
        <v>5.90909090909091</v>
      </c>
      <c r="I232" s="13" t="str">
        <f aca="false">IF(K232="Finalizado","Verde",IF(G232="","Amarillo",IF(H232&lt;=Parametros!$B$4,"Verde",IF(H232&lt;=Parametros!$B$5,"Amarillo","Rojo"))))</f>
        <v>Amarillo</v>
      </c>
      <c r="J232" s="14" t="str">
        <f aca="false">IF(K232="Finalizado","Completado",IF(G232="","Sin fecha válida - revisar plazos",IF(H232&lt;=Parametros!$B$4,"En tiempo, según lo planificado",IF(H232&lt;=Parametros!$B$5,"Atraso leve - seguimiento cercano ("&amp;TEXT(H232,"0.0")&amp;" p.p.)","Atraso crítico - requiere intervención ("&amp;TEXT(H232,"0.0")&amp;" p.p.)"))))</f>
        <v>Atraso leve - seguimiento cercano (5.9 p.p.)</v>
      </c>
      <c r="K232" s="7" t="s">
        <v>27</v>
      </c>
      <c r="L232" s="7" t="s">
        <v>393</v>
      </c>
      <c r="M232" s="7" t="s">
        <v>336</v>
      </c>
      <c r="N232" s="7" t="s">
        <v>51</v>
      </c>
      <c r="O232" s="13" t="n">
        <f aca="false">IF(AND(E232&lt;&gt;"",YEAR(E232)=YEAR(Parametros!$B$3),MONTH(E232)&gt;=10),1,0)</f>
        <v>0</v>
      </c>
      <c r="P232" s="13" t="n">
        <f aca="false">IF(AND(E232&lt;Parametros!$B$3,K232&lt;&gt;"Finalizado"),1,0)</f>
        <v>0</v>
      </c>
      <c r="Q232" s="13" t="n">
        <f aca="false">IF(AND(E232&gt;=Parametros!$B$3,E232&lt;=Parametros!$B$3+30,K232&lt;&gt;"Finalizado"),1,0)</f>
        <v>1</v>
      </c>
    </row>
    <row r="233" customFormat="false" ht="15" hidden="false" customHeight="false" outlineLevel="0" collapsed="false">
      <c r="A233" s="7" t="s">
        <v>401</v>
      </c>
      <c r="B233" s="7" t="s">
        <v>402</v>
      </c>
      <c r="C233" s="8" t="s">
        <v>406</v>
      </c>
      <c r="D233" s="9" t="n">
        <v>46296</v>
      </c>
      <c r="E233" s="9" t="n">
        <v>46387</v>
      </c>
      <c r="F233" s="10" t="n">
        <v>0</v>
      </c>
      <c r="G233" s="11" t="n">
        <f aca="false">IF(OR(D233="",E233="",E233&lt;=D233),"",MIN(100,MAX(0,(Parametros!$B$3-D233)/(E233-D233)*100)))</f>
        <v>0</v>
      </c>
      <c r="H233" s="12" t="n">
        <f aca="false">IF(G233="","",G233-F233)</f>
        <v>0</v>
      </c>
      <c r="I233" s="13" t="str">
        <f aca="false">IF(K233="Finalizado","Verde",IF(G233="","Amarillo",IF(H233&lt;=Parametros!$B$4,"Verde",IF(H233&lt;=Parametros!$B$5,"Amarillo","Rojo"))))</f>
        <v>Verde</v>
      </c>
      <c r="J233" s="14" t="str">
        <f aca="false">IF(K233="Finalizado","Completado",IF(G233="","Sin fecha válida - revisar plazos",IF(H233&lt;=Parametros!$B$4,"En tiempo, según lo planificado",IF(H233&lt;=Parametros!$B$5,"Atraso leve - seguimiento cercano ("&amp;TEXT(H233,"0.0")&amp;" p.p.)","Atraso crítico - requiere intervención ("&amp;TEXT(H233,"0.0")&amp;" p.p.)"))))</f>
        <v>En tiempo, según lo planificado</v>
      </c>
      <c r="K233" s="7" t="s">
        <v>100</v>
      </c>
      <c r="L233" s="7"/>
      <c r="M233" s="7" t="s">
        <v>336</v>
      </c>
      <c r="N233" s="7" t="s">
        <v>51</v>
      </c>
      <c r="O233" s="13" t="n">
        <f aca="false">IF(AND(E233&lt;&gt;"",YEAR(E233)=YEAR(Parametros!$B$3),MONTH(E233)&gt;=10),1,0)</f>
        <v>1</v>
      </c>
      <c r="P233" s="13" t="n">
        <f aca="false">IF(AND(E233&lt;Parametros!$B$3,K233&lt;&gt;"Finalizado"),1,0)</f>
        <v>0</v>
      </c>
      <c r="Q233" s="13" t="n">
        <f aca="false">IF(AND(E233&gt;=Parametros!$B$3,E233&lt;=Parametros!$B$3+30,K233&lt;&gt;"Finalizado"),1,0)</f>
        <v>0</v>
      </c>
    </row>
    <row r="234" customFormat="false" ht="15" hidden="false" customHeight="false" outlineLevel="0" collapsed="false">
      <c r="A234" s="7" t="s">
        <v>407</v>
      </c>
      <c r="B234" s="7" t="s">
        <v>408</v>
      </c>
      <c r="C234" s="7" t="s">
        <v>409</v>
      </c>
      <c r="D234" s="9" t="n">
        <v>46113</v>
      </c>
      <c r="E234" s="9" t="n">
        <v>46203</v>
      </c>
      <c r="F234" s="10" t="n">
        <v>100</v>
      </c>
      <c r="G234" s="11" t="n">
        <f aca="false">IF(OR(D234="",E234="",E234&lt;=D234),"",MIN(100,MAX(0,(Parametros!$B$3-D234)/(E234-D234)*100)))</f>
        <v>100</v>
      </c>
      <c r="H234" s="12" t="n">
        <f aca="false">IF(G234="","",G234-F234)</f>
        <v>0</v>
      </c>
      <c r="I234" s="13" t="str">
        <f aca="false">IF(K234="Finalizado","Verde",IF(G234="","Amarillo",IF(H234&lt;=Parametros!$B$4,"Verde",IF(H234&lt;=Parametros!$B$5,"Amarillo","Rojo"))))</f>
        <v>Verde</v>
      </c>
      <c r="J234" s="14" t="str">
        <f aca="false">IF(K234="Finalizado","Completado",IF(G234="","Sin fecha válida - revisar plazos",IF(H234&lt;=Parametros!$B$4,"En tiempo, según lo planificado",IF(H234&lt;=Parametros!$B$5,"Atraso leve - seguimiento cercano ("&amp;TEXT(H234,"0.0")&amp;" p.p.)","Atraso crítico - requiere intervención ("&amp;TEXT(H234,"0.0")&amp;" p.p.)"))))</f>
        <v>Completado</v>
      </c>
      <c r="K234" s="7" t="s">
        <v>38</v>
      </c>
      <c r="L234" s="7" t="s">
        <v>410</v>
      </c>
      <c r="M234" s="7" t="s">
        <v>336</v>
      </c>
      <c r="N234" s="7" t="s">
        <v>51</v>
      </c>
      <c r="O234" s="13" t="n">
        <f aca="false">IF(AND(E234&lt;&gt;"",YEAR(E234)=YEAR(Parametros!$B$3),MONTH(E234)&gt;=10),1,0)</f>
        <v>0</v>
      </c>
      <c r="P234" s="13" t="n">
        <f aca="false">IF(AND(E234&lt;Parametros!$B$3,K234&lt;&gt;"Finalizado"),1,0)</f>
        <v>0</v>
      </c>
      <c r="Q234" s="13" t="n">
        <f aca="false">IF(AND(E234&gt;=Parametros!$B$3,E234&lt;=Parametros!$B$3+30,K234&lt;&gt;"Finalizado"),1,0)</f>
        <v>0</v>
      </c>
    </row>
    <row r="235" customFormat="false" ht="15" hidden="false" customHeight="false" outlineLevel="0" collapsed="false">
      <c r="A235" s="7" t="s">
        <v>407</v>
      </c>
      <c r="B235" s="7" t="s">
        <v>408</v>
      </c>
      <c r="C235" s="7" t="s">
        <v>411</v>
      </c>
      <c r="D235" s="9" t="n">
        <v>46204</v>
      </c>
      <c r="E235" s="9" t="n">
        <v>46295</v>
      </c>
      <c r="F235" s="10" t="n">
        <v>100</v>
      </c>
      <c r="G235" s="11" t="n">
        <f aca="false">IF(OR(D235="",E235="",E235&lt;=D235),"",MIN(100,MAX(0,(Parametros!$B$3-D235)/(E235-D235)*100)))</f>
        <v>59.3406593406593</v>
      </c>
      <c r="H235" s="12" t="n">
        <f aca="false">IF(G235="","",G235-F235)</f>
        <v>-40.6593406593407</v>
      </c>
      <c r="I235" s="13" t="str">
        <f aca="false">IF(K235="Finalizado","Verde",IF(G235="","Amarillo",IF(H235&lt;=Parametros!$B$4,"Verde",IF(H235&lt;=Parametros!$B$5,"Amarillo","Rojo"))))</f>
        <v>Verde</v>
      </c>
      <c r="J235" s="14" t="str">
        <f aca="false">IF(K235="Finalizado","Completado",IF(G235="","Sin fecha válida - revisar plazos",IF(H235&lt;=Parametros!$B$4,"En tiempo, según lo planificado",IF(H235&lt;=Parametros!$B$5,"Atraso leve - seguimiento cercano ("&amp;TEXT(H235,"0.0")&amp;" p.p.)","Atraso crítico - requiere intervención ("&amp;TEXT(H235,"0.0")&amp;" p.p.)"))))</f>
        <v>Completado</v>
      </c>
      <c r="K235" s="7" t="s">
        <v>38</v>
      </c>
      <c r="L235" s="7"/>
      <c r="M235" s="7" t="s">
        <v>336</v>
      </c>
      <c r="N235" s="7" t="s">
        <v>51</v>
      </c>
      <c r="O235" s="13" t="n">
        <f aca="false">IF(AND(E235&lt;&gt;"",YEAR(E235)=YEAR(Parametros!$B$3),MONTH(E235)&gt;=10),1,0)</f>
        <v>0</v>
      </c>
      <c r="P235" s="13" t="n">
        <f aca="false">IF(AND(E235&lt;Parametros!$B$3,K235&lt;&gt;"Finalizado"),1,0)</f>
        <v>0</v>
      </c>
      <c r="Q235" s="13" t="n">
        <f aca="false">IF(AND(E235&gt;=Parametros!$B$3,E235&lt;=Parametros!$B$3+30,K235&lt;&gt;"Finalizado"),1,0)</f>
        <v>0</v>
      </c>
    </row>
    <row r="236" customFormat="false" ht="15" hidden="false" customHeight="false" outlineLevel="0" collapsed="false">
      <c r="A236" s="7" t="s">
        <v>407</v>
      </c>
      <c r="B236" s="7" t="s">
        <v>408</v>
      </c>
      <c r="C236" s="7" t="s">
        <v>412</v>
      </c>
      <c r="D236" s="9" t="n">
        <v>46296</v>
      </c>
      <c r="E236" s="9" t="n">
        <v>46387</v>
      </c>
      <c r="F236" s="10" t="n">
        <v>0</v>
      </c>
      <c r="G236" s="11" t="n">
        <f aca="false">IF(OR(D236="",E236="",E236&lt;=D236),"",MIN(100,MAX(0,(Parametros!$B$3-D236)/(E236-D236)*100)))</f>
        <v>0</v>
      </c>
      <c r="H236" s="12" t="n">
        <f aca="false">IF(G236="","",G236-F236)</f>
        <v>0</v>
      </c>
      <c r="I236" s="13" t="str">
        <f aca="false">IF(K236="Finalizado","Verde",IF(G236="","Amarillo",IF(H236&lt;=Parametros!$B$4,"Verde",IF(H236&lt;=Parametros!$B$5,"Amarillo","Rojo"))))</f>
        <v>Verde</v>
      </c>
      <c r="J236" s="14" t="str">
        <f aca="false">IF(K236="Finalizado","Completado",IF(G236="","Sin fecha válida - revisar plazos",IF(H236&lt;=Parametros!$B$4,"En tiempo, según lo planificado",IF(H236&lt;=Parametros!$B$5,"Atraso leve - seguimiento cercano ("&amp;TEXT(H236,"0.0")&amp;" p.p.)","Atraso crítico - requiere intervención ("&amp;TEXT(H236,"0.0")&amp;" p.p.)"))))</f>
        <v>En tiempo, según lo planificado</v>
      </c>
      <c r="K236" s="7" t="s">
        <v>100</v>
      </c>
      <c r="L236" s="7"/>
      <c r="M236" s="7" t="s">
        <v>336</v>
      </c>
      <c r="N236" s="7" t="s">
        <v>51</v>
      </c>
      <c r="O236" s="13" t="n">
        <f aca="false">IF(AND(E236&lt;&gt;"",YEAR(E236)=YEAR(Parametros!$B$3),MONTH(E236)&gt;=10),1,0)</f>
        <v>1</v>
      </c>
      <c r="P236" s="13" t="n">
        <f aca="false">IF(AND(E236&lt;Parametros!$B$3,K236&lt;&gt;"Finalizado"),1,0)</f>
        <v>0</v>
      </c>
      <c r="Q236" s="13" t="n">
        <f aca="false">IF(AND(E236&gt;=Parametros!$B$3,E236&lt;=Parametros!$B$3+30,K236&lt;&gt;"Finalizado"),1,0)</f>
        <v>0</v>
      </c>
    </row>
    <row r="237" customFormat="false" ht="15" hidden="false" customHeight="false" outlineLevel="0" collapsed="false">
      <c r="A237" s="7" t="s">
        <v>413</v>
      </c>
      <c r="B237" s="7" t="s">
        <v>414</v>
      </c>
      <c r="C237" s="8" t="s">
        <v>415</v>
      </c>
      <c r="D237" s="9" t="n">
        <v>46113</v>
      </c>
      <c r="E237" s="9" t="n">
        <v>46142</v>
      </c>
      <c r="F237" s="10" t="n">
        <v>100</v>
      </c>
      <c r="G237" s="11" t="n">
        <f aca="false">IF(OR(D237="",E237="",E237&lt;=D237),"",MIN(100,MAX(0,(Parametros!$B$3-D237)/(E237-D237)*100)))</f>
        <v>100</v>
      </c>
      <c r="H237" s="12" t="n">
        <f aca="false">IF(G237="","",G237-F237)</f>
        <v>0</v>
      </c>
      <c r="I237" s="13" t="str">
        <f aca="false">IF(K237="Finalizado","Verde",IF(G237="","Amarillo",IF(H237&lt;=Parametros!$B$4,"Verde",IF(H237&lt;=Parametros!$B$5,"Amarillo","Rojo"))))</f>
        <v>Verde</v>
      </c>
      <c r="J237" s="14" t="str">
        <f aca="false">IF(K237="Finalizado","Completado",IF(G237="","Sin fecha válida - revisar plazos",IF(H237&lt;=Parametros!$B$4,"En tiempo, según lo planificado",IF(H237&lt;=Parametros!$B$5,"Atraso leve - seguimiento cercano ("&amp;TEXT(H237,"0.0")&amp;" p.p.)","Atraso crítico - requiere intervención ("&amp;TEXT(H237,"0.0")&amp;" p.p.)"))))</f>
        <v>Completado</v>
      </c>
      <c r="K237" s="7" t="s">
        <v>38</v>
      </c>
      <c r="L237" s="7"/>
      <c r="M237" s="7" t="s">
        <v>336</v>
      </c>
      <c r="N237" s="7" t="s">
        <v>51</v>
      </c>
      <c r="O237" s="13" t="n">
        <f aca="false">IF(AND(E237&lt;&gt;"",YEAR(E237)=YEAR(Parametros!$B$3),MONTH(E237)&gt;=10),1,0)</f>
        <v>0</v>
      </c>
      <c r="P237" s="13" t="n">
        <f aca="false">IF(AND(E237&lt;Parametros!$B$3,K237&lt;&gt;"Finalizado"),1,0)</f>
        <v>0</v>
      </c>
      <c r="Q237" s="13" t="n">
        <f aca="false">IF(AND(E237&gt;=Parametros!$B$3,E237&lt;=Parametros!$B$3+30,K237&lt;&gt;"Finalizado"),1,0)</f>
        <v>0</v>
      </c>
    </row>
    <row r="238" customFormat="false" ht="15" hidden="false" customHeight="false" outlineLevel="0" collapsed="false">
      <c r="A238" s="7" t="s">
        <v>413</v>
      </c>
      <c r="B238" s="7" t="s">
        <v>414</v>
      </c>
      <c r="C238" s="8" t="s">
        <v>416</v>
      </c>
      <c r="D238" s="9" t="n">
        <v>46143</v>
      </c>
      <c r="E238" s="9" t="n">
        <v>46171</v>
      </c>
      <c r="F238" s="10" t="n">
        <v>100</v>
      </c>
      <c r="G238" s="11" t="n">
        <f aca="false">IF(OR(D238="",E238="",E238&lt;=D238),"",MIN(100,MAX(0,(Parametros!$B$3-D238)/(E238-D238)*100)))</f>
        <v>100</v>
      </c>
      <c r="H238" s="12" t="n">
        <f aca="false">IF(G238="","",G238-F238)</f>
        <v>0</v>
      </c>
      <c r="I238" s="13" t="str">
        <f aca="false">IF(K238="Finalizado","Verde",IF(G238="","Amarillo",IF(H238&lt;=Parametros!$B$4,"Verde",IF(H238&lt;=Parametros!$B$5,"Amarillo","Rojo"))))</f>
        <v>Verde</v>
      </c>
      <c r="J238" s="14" t="str">
        <f aca="false">IF(K238="Finalizado","Completado",IF(G238="","Sin fecha válida - revisar plazos",IF(H238&lt;=Parametros!$B$4,"En tiempo, según lo planificado",IF(H238&lt;=Parametros!$B$5,"Atraso leve - seguimiento cercano ("&amp;TEXT(H238,"0.0")&amp;" p.p.)","Atraso crítico - requiere intervención ("&amp;TEXT(H238,"0.0")&amp;" p.p.)"))))</f>
        <v>Completado</v>
      </c>
      <c r="K238" s="7" t="s">
        <v>38</v>
      </c>
      <c r="L238" s="7"/>
      <c r="M238" s="7" t="s">
        <v>336</v>
      </c>
      <c r="N238" s="7" t="s">
        <v>51</v>
      </c>
      <c r="O238" s="13" t="n">
        <f aca="false">IF(AND(E238&lt;&gt;"",YEAR(E238)=YEAR(Parametros!$B$3),MONTH(E238)&gt;=10),1,0)</f>
        <v>0</v>
      </c>
      <c r="P238" s="13" t="n">
        <f aca="false">IF(AND(E238&lt;Parametros!$B$3,K238&lt;&gt;"Finalizado"),1,0)</f>
        <v>0</v>
      </c>
      <c r="Q238" s="13" t="n">
        <f aca="false">IF(AND(E238&gt;=Parametros!$B$3,E238&lt;=Parametros!$B$3+30,K238&lt;&gt;"Finalizado"),1,0)</f>
        <v>0</v>
      </c>
    </row>
    <row r="239" customFormat="false" ht="15" hidden="false" customHeight="false" outlineLevel="0" collapsed="false">
      <c r="A239" s="7" t="s">
        <v>413</v>
      </c>
      <c r="B239" s="7" t="s">
        <v>414</v>
      </c>
      <c r="C239" s="8" t="s">
        <v>417</v>
      </c>
      <c r="D239" s="9" t="n">
        <v>46174</v>
      </c>
      <c r="E239" s="9" t="n">
        <v>46234</v>
      </c>
      <c r="F239" s="10" t="n">
        <v>100</v>
      </c>
      <c r="G239" s="11" t="n">
        <f aca="false">IF(OR(D239="",E239="",E239&lt;=D239),"",MIN(100,MAX(0,(Parametros!$B$3-D239)/(E239-D239)*100)))</f>
        <v>100</v>
      </c>
      <c r="H239" s="12" t="n">
        <f aca="false">IF(G239="","",G239-F239)</f>
        <v>0</v>
      </c>
      <c r="I239" s="13" t="str">
        <f aca="false">IF(K239="Finalizado","Verde",IF(G239="","Amarillo",IF(H239&lt;=Parametros!$B$4,"Verde",IF(H239&lt;=Parametros!$B$5,"Amarillo","Rojo"))))</f>
        <v>Verde</v>
      </c>
      <c r="J239" s="14" t="str">
        <f aca="false">IF(K239="Finalizado","Completado",IF(G239="","Sin fecha válida - revisar plazos",IF(H239&lt;=Parametros!$B$4,"En tiempo, según lo planificado",IF(H239&lt;=Parametros!$B$5,"Atraso leve - seguimiento cercano ("&amp;TEXT(H239,"0.0")&amp;" p.p.)","Atraso crítico - requiere intervención ("&amp;TEXT(H239,"0.0")&amp;" p.p.)"))))</f>
        <v>Completado</v>
      </c>
      <c r="K239" s="7" t="s">
        <v>38</v>
      </c>
      <c r="L239" s="7"/>
      <c r="M239" s="7" t="s">
        <v>336</v>
      </c>
      <c r="N239" s="7" t="s">
        <v>51</v>
      </c>
      <c r="O239" s="13" t="n">
        <f aca="false">IF(AND(E239&lt;&gt;"",YEAR(E239)=YEAR(Parametros!$B$3),MONTH(E239)&gt;=10),1,0)</f>
        <v>0</v>
      </c>
      <c r="P239" s="13" t="n">
        <f aca="false">IF(AND(E239&lt;Parametros!$B$3,K239&lt;&gt;"Finalizado"),1,0)</f>
        <v>0</v>
      </c>
      <c r="Q239" s="13" t="n">
        <f aca="false">IF(AND(E239&gt;=Parametros!$B$3,E239&lt;=Parametros!$B$3+30,K239&lt;&gt;"Finalizado"),1,0)</f>
        <v>0</v>
      </c>
    </row>
    <row r="240" customFormat="false" ht="15" hidden="false" customHeight="false" outlineLevel="0" collapsed="false">
      <c r="A240" s="7" t="s">
        <v>418</v>
      </c>
      <c r="B240" s="7" t="s">
        <v>419</v>
      </c>
      <c r="C240" s="8" t="s">
        <v>420</v>
      </c>
      <c r="D240" s="9" t="n">
        <v>46082</v>
      </c>
      <c r="E240" s="9" t="n">
        <v>46112</v>
      </c>
      <c r="F240" s="10" t="n">
        <v>100</v>
      </c>
      <c r="G240" s="11" t="n">
        <f aca="false">IF(OR(D240="",E240="",E240&lt;=D240),"",MIN(100,MAX(0,(Parametros!$B$3-D240)/(E240-D240)*100)))</f>
        <v>100</v>
      </c>
      <c r="H240" s="12" t="n">
        <f aca="false">IF(G240="","",G240-F240)</f>
        <v>0</v>
      </c>
      <c r="I240" s="13" t="str">
        <f aca="false">IF(K240="Finalizado","Verde",IF(G240="","Amarillo",IF(H240&lt;=Parametros!$B$4,"Verde",IF(H240&lt;=Parametros!$B$5,"Amarillo","Rojo"))))</f>
        <v>Verde</v>
      </c>
      <c r="J240" s="14" t="str">
        <f aca="false">IF(K240="Finalizado","Completado",IF(G240="","Sin fecha válida - revisar plazos",IF(H240&lt;=Parametros!$B$4,"En tiempo, según lo planificado",IF(H240&lt;=Parametros!$B$5,"Atraso leve - seguimiento cercano ("&amp;TEXT(H240,"0.0")&amp;" p.p.)","Atraso crítico - requiere intervención ("&amp;TEXT(H240,"0.0")&amp;" p.p.)"))))</f>
        <v>Completado</v>
      </c>
      <c r="K240" s="7" t="s">
        <v>38</v>
      </c>
      <c r="L240" s="7"/>
      <c r="M240" s="7" t="s">
        <v>336</v>
      </c>
      <c r="N240" s="7" t="s">
        <v>51</v>
      </c>
      <c r="O240" s="13" t="n">
        <f aca="false">IF(AND(E240&lt;&gt;"",YEAR(E240)=YEAR(Parametros!$B$3),MONTH(E240)&gt;=10),1,0)</f>
        <v>0</v>
      </c>
      <c r="P240" s="13" t="n">
        <f aca="false">IF(AND(E240&lt;Parametros!$B$3,K240&lt;&gt;"Finalizado"),1,0)</f>
        <v>0</v>
      </c>
      <c r="Q240" s="13" t="n">
        <f aca="false">IF(AND(E240&gt;=Parametros!$B$3,E240&lt;=Parametros!$B$3+30,K240&lt;&gt;"Finalizado"),1,0)</f>
        <v>0</v>
      </c>
    </row>
    <row r="241" customFormat="false" ht="15" hidden="false" customHeight="false" outlineLevel="0" collapsed="false">
      <c r="A241" s="7" t="s">
        <v>418</v>
      </c>
      <c r="B241" s="7" t="s">
        <v>419</v>
      </c>
      <c r="C241" s="8" t="s">
        <v>421</v>
      </c>
      <c r="D241" s="9" t="n">
        <v>46113</v>
      </c>
      <c r="E241" s="9" t="n">
        <v>46234</v>
      </c>
      <c r="F241" s="10" t="n">
        <v>100</v>
      </c>
      <c r="G241" s="11" t="n">
        <f aca="false">IF(OR(D241="",E241="",E241&lt;=D241),"",MIN(100,MAX(0,(Parametros!$B$3-D241)/(E241-D241)*100)))</f>
        <v>100</v>
      </c>
      <c r="H241" s="12" t="n">
        <f aca="false">IF(G241="","",G241-F241)</f>
        <v>0</v>
      </c>
      <c r="I241" s="13" t="str">
        <f aca="false">IF(K241="Finalizado","Verde",IF(G241="","Amarillo",IF(H241&lt;=Parametros!$B$4,"Verde",IF(H241&lt;=Parametros!$B$5,"Amarillo","Rojo"))))</f>
        <v>Verde</v>
      </c>
      <c r="J241" s="14" t="str">
        <f aca="false">IF(K241="Finalizado","Completado",IF(G241="","Sin fecha válida - revisar plazos",IF(H241&lt;=Parametros!$B$4,"En tiempo, según lo planificado",IF(H241&lt;=Parametros!$B$5,"Atraso leve - seguimiento cercano ("&amp;TEXT(H241,"0.0")&amp;" p.p.)","Atraso crítico - requiere intervención ("&amp;TEXT(H241,"0.0")&amp;" p.p.)"))))</f>
        <v>Completado</v>
      </c>
      <c r="K241" s="7" t="s">
        <v>38</v>
      </c>
      <c r="L241" s="7"/>
      <c r="M241" s="7" t="s">
        <v>336</v>
      </c>
      <c r="N241" s="7" t="s">
        <v>51</v>
      </c>
      <c r="O241" s="13" t="n">
        <f aca="false">IF(AND(E241&lt;&gt;"",YEAR(E241)=YEAR(Parametros!$B$3),MONTH(E241)&gt;=10),1,0)</f>
        <v>0</v>
      </c>
      <c r="P241" s="13" t="n">
        <f aca="false">IF(AND(E241&lt;Parametros!$B$3,K241&lt;&gt;"Finalizado"),1,0)</f>
        <v>0</v>
      </c>
      <c r="Q241" s="13" t="n">
        <f aca="false">IF(AND(E241&gt;=Parametros!$B$3,E241&lt;=Parametros!$B$3+30,K241&lt;&gt;"Finalizado"),1,0)</f>
        <v>0</v>
      </c>
    </row>
    <row r="242" customFormat="false" ht="15" hidden="false" customHeight="false" outlineLevel="0" collapsed="false">
      <c r="A242" s="7" t="s">
        <v>418</v>
      </c>
      <c r="B242" s="7" t="s">
        <v>419</v>
      </c>
      <c r="C242" s="8" t="s">
        <v>422</v>
      </c>
      <c r="D242" s="9" t="n">
        <v>46235</v>
      </c>
      <c r="E242" s="9" t="n">
        <v>46387</v>
      </c>
      <c r="F242" s="10" t="n">
        <v>0</v>
      </c>
      <c r="G242" s="11" t="n">
        <f aca="false">IF(OR(D242="",E242="",E242&lt;=D242),"",MIN(100,MAX(0,(Parametros!$B$3-D242)/(E242-D242)*100)))</f>
        <v>15.1315789473684</v>
      </c>
      <c r="H242" s="12" t="n">
        <f aca="false">IF(G242="","",G242-F242)</f>
        <v>15.1315789473684</v>
      </c>
      <c r="I242" s="13" t="str">
        <f aca="false">IF(K242="Finalizado","Verde",IF(G242="","Amarillo",IF(H242&lt;=Parametros!$B$4,"Verde",IF(H242&lt;=Parametros!$B$5,"Amarillo","Rojo"))))</f>
        <v>Amarillo</v>
      </c>
      <c r="J242" s="14" t="str">
        <f aca="false">IF(K242="Finalizado","Completado",IF(G242="","Sin fecha válida - revisar plazos",IF(H242&lt;=Parametros!$B$4,"En tiempo, según lo planificado",IF(H242&lt;=Parametros!$B$5,"Atraso leve - seguimiento cercano ("&amp;TEXT(H242,"0.0")&amp;" p.p.)","Atraso crítico - requiere intervención ("&amp;TEXT(H242,"0.0")&amp;" p.p.)"))))</f>
        <v>Atraso leve - seguimiento cercano (15.1 p.p.)</v>
      </c>
      <c r="K242" s="7" t="s">
        <v>100</v>
      </c>
      <c r="L242" s="7"/>
      <c r="M242" s="7" t="s">
        <v>336</v>
      </c>
      <c r="N242" s="7" t="s">
        <v>51</v>
      </c>
      <c r="O242" s="13" t="n">
        <f aca="false">IF(AND(E242&lt;&gt;"",YEAR(E242)=YEAR(Parametros!$B$3),MONTH(E242)&gt;=10),1,0)</f>
        <v>1</v>
      </c>
      <c r="P242" s="13" t="n">
        <f aca="false">IF(AND(E242&lt;Parametros!$B$3,K242&lt;&gt;"Finalizado"),1,0)</f>
        <v>0</v>
      </c>
      <c r="Q242" s="13" t="n">
        <f aca="false">IF(AND(E242&gt;=Parametros!$B$3,E242&lt;=Parametros!$B$3+30,K242&lt;&gt;"Finalizado"),1,0)</f>
        <v>0</v>
      </c>
    </row>
    <row r="243" customFormat="false" ht="15" hidden="false" customHeight="false" outlineLevel="0" collapsed="false">
      <c r="A243" s="7" t="s">
        <v>423</v>
      </c>
      <c r="B243" s="7" t="s">
        <v>424</v>
      </c>
      <c r="C243" s="8" t="s">
        <v>425</v>
      </c>
      <c r="D243" s="9" t="n">
        <v>46112</v>
      </c>
      <c r="E243" s="9" t="n">
        <v>46181</v>
      </c>
      <c r="F243" s="10" t="n">
        <v>100</v>
      </c>
      <c r="G243" s="11" t="n">
        <f aca="false">IF(OR(D243="",E243="",E243&lt;=D243),"",MIN(100,MAX(0,(Parametros!$B$3-D243)/(E243-D243)*100)))</f>
        <v>100</v>
      </c>
      <c r="H243" s="12" t="n">
        <f aca="false">IF(G243="","",G243-F243)</f>
        <v>0</v>
      </c>
      <c r="I243" s="13" t="str">
        <f aca="false">IF(K243="Finalizado","Verde",IF(G243="","Amarillo",IF(H243&lt;=Parametros!$B$4,"Verde",IF(H243&lt;=Parametros!$B$5,"Amarillo","Rojo"))))</f>
        <v>Verde</v>
      </c>
      <c r="J243" s="14" t="str">
        <f aca="false">IF(K243="Finalizado","Completado",IF(G243="","Sin fecha válida - revisar plazos",IF(H243&lt;=Parametros!$B$4,"En tiempo, según lo planificado",IF(H243&lt;=Parametros!$B$5,"Atraso leve - seguimiento cercano ("&amp;TEXT(H243,"0.0")&amp;" p.p.)","Atraso crítico - requiere intervención ("&amp;TEXT(H243,"0.0")&amp;" p.p.)"))))</f>
        <v>Completado</v>
      </c>
      <c r="K243" s="7" t="s">
        <v>38</v>
      </c>
      <c r="L243" s="7"/>
      <c r="M243" s="7" t="s">
        <v>336</v>
      </c>
      <c r="N243" s="7" t="s">
        <v>51</v>
      </c>
      <c r="O243" s="13" t="n">
        <f aca="false">IF(AND(E243&lt;&gt;"",YEAR(E243)=YEAR(Parametros!$B$3),MONTH(E243)&gt;=10),1,0)</f>
        <v>0</v>
      </c>
      <c r="P243" s="13" t="n">
        <f aca="false">IF(AND(E243&lt;Parametros!$B$3,K243&lt;&gt;"Finalizado"),1,0)</f>
        <v>0</v>
      </c>
      <c r="Q243" s="13" t="n">
        <f aca="false">IF(AND(E243&gt;=Parametros!$B$3,E243&lt;=Parametros!$B$3+30,K243&lt;&gt;"Finalizado"),1,0)</f>
        <v>0</v>
      </c>
    </row>
    <row r="244" customFormat="false" ht="15" hidden="false" customHeight="false" outlineLevel="0" collapsed="false">
      <c r="A244" s="7" t="s">
        <v>423</v>
      </c>
      <c r="B244" s="7" t="s">
        <v>424</v>
      </c>
      <c r="C244" s="8" t="s">
        <v>426</v>
      </c>
      <c r="D244" s="9" t="n">
        <v>46206</v>
      </c>
      <c r="E244" s="9" t="n">
        <v>46223</v>
      </c>
      <c r="F244" s="10" t="n">
        <v>100</v>
      </c>
      <c r="G244" s="11" t="n">
        <f aca="false">IF(OR(D244="",E244="",E244&lt;=D244),"",MIN(100,MAX(0,(Parametros!$B$3-D244)/(E244-D244)*100)))</f>
        <v>100</v>
      </c>
      <c r="H244" s="12" t="n">
        <f aca="false">IF(G244="","",G244-F244)</f>
        <v>0</v>
      </c>
      <c r="I244" s="13" t="str">
        <f aca="false">IF(K244="Finalizado","Verde",IF(G244="","Amarillo",IF(H244&lt;=Parametros!$B$4,"Verde",IF(H244&lt;=Parametros!$B$5,"Amarillo","Rojo"))))</f>
        <v>Verde</v>
      </c>
      <c r="J244" s="14" t="str">
        <f aca="false">IF(K244="Finalizado","Completado",IF(G244="","Sin fecha válida - revisar plazos",IF(H244&lt;=Parametros!$B$4,"En tiempo, según lo planificado",IF(H244&lt;=Parametros!$B$5,"Atraso leve - seguimiento cercano ("&amp;TEXT(H244,"0.0")&amp;" p.p.)","Atraso crítico - requiere intervención ("&amp;TEXT(H244,"0.0")&amp;" p.p.)"))))</f>
        <v>Completado</v>
      </c>
      <c r="K244" s="7" t="s">
        <v>38</v>
      </c>
      <c r="L244" s="7"/>
      <c r="M244" s="7" t="s">
        <v>336</v>
      </c>
      <c r="N244" s="7" t="s">
        <v>51</v>
      </c>
      <c r="O244" s="13" t="n">
        <f aca="false">IF(AND(E244&lt;&gt;"",YEAR(E244)=YEAR(Parametros!$B$3),MONTH(E244)&gt;=10),1,0)</f>
        <v>0</v>
      </c>
      <c r="P244" s="13" t="n">
        <f aca="false">IF(AND(E244&lt;Parametros!$B$3,K244&lt;&gt;"Finalizado"),1,0)</f>
        <v>0</v>
      </c>
      <c r="Q244" s="13" t="n">
        <f aca="false">IF(AND(E244&gt;=Parametros!$B$3,E244&lt;=Parametros!$B$3+30,K244&lt;&gt;"Finalizado"),1,0)</f>
        <v>0</v>
      </c>
    </row>
    <row r="245" customFormat="false" ht="15" hidden="false" customHeight="false" outlineLevel="0" collapsed="false">
      <c r="A245" s="7" t="s">
        <v>423</v>
      </c>
      <c r="B245" s="7" t="s">
        <v>424</v>
      </c>
      <c r="C245" s="8" t="s">
        <v>427</v>
      </c>
      <c r="D245" s="9" t="n">
        <v>46237</v>
      </c>
      <c r="E245" s="9" t="n">
        <v>46325</v>
      </c>
      <c r="F245" s="10" t="n">
        <v>10</v>
      </c>
      <c r="G245" s="11" t="n">
        <f aca="false">IF(OR(D245="",E245="",E245&lt;=D245),"",MIN(100,MAX(0,(Parametros!$B$3-D245)/(E245-D245)*100)))</f>
        <v>23.8636363636364</v>
      </c>
      <c r="H245" s="12" t="n">
        <f aca="false">IF(G245="","",G245-F245)</f>
        <v>13.8636363636364</v>
      </c>
      <c r="I245" s="13" t="str">
        <f aca="false">IF(K245="Finalizado","Verde",IF(G245="","Amarillo",IF(H245&lt;=Parametros!$B$4,"Verde",IF(H245&lt;=Parametros!$B$5,"Amarillo","Rojo"))))</f>
        <v>Amarillo</v>
      </c>
      <c r="J245" s="14" t="str">
        <f aca="false">IF(K245="Finalizado","Completado",IF(G245="","Sin fecha válida - revisar plazos",IF(H245&lt;=Parametros!$B$4,"En tiempo, según lo planificado",IF(H245&lt;=Parametros!$B$5,"Atraso leve - seguimiento cercano ("&amp;TEXT(H245,"0.0")&amp;" p.p.)","Atraso crítico - requiere intervención ("&amp;TEXT(H245,"0.0")&amp;" p.p.)"))))</f>
        <v>Atraso leve - seguimiento cercano (13.9 p.p.)</v>
      </c>
      <c r="K245" s="7" t="s">
        <v>73</v>
      </c>
      <c r="L245" s="7"/>
      <c r="M245" s="7" t="s">
        <v>336</v>
      </c>
      <c r="N245" s="7" t="s">
        <v>51</v>
      </c>
      <c r="O245" s="13" t="n">
        <f aca="false">IF(AND(E245&lt;&gt;"",YEAR(E245)=YEAR(Parametros!$B$3),MONTH(E245)&gt;=10),1,0)</f>
        <v>1</v>
      </c>
      <c r="P245" s="13" t="n">
        <f aca="false">IF(AND(E245&lt;Parametros!$B$3,K245&lt;&gt;"Finalizado"),1,0)</f>
        <v>0</v>
      </c>
      <c r="Q245" s="13" t="n">
        <f aca="false">IF(AND(E245&gt;=Parametros!$B$3,E245&lt;=Parametros!$B$3+30,K245&lt;&gt;"Finalizado"),1,0)</f>
        <v>0</v>
      </c>
    </row>
    <row r="246" customFormat="false" ht="15" hidden="false" customHeight="false" outlineLevel="0" collapsed="false">
      <c r="A246" s="7" t="s">
        <v>428</v>
      </c>
      <c r="B246" s="7" t="s">
        <v>429</v>
      </c>
      <c r="C246" s="8" t="s">
        <v>430</v>
      </c>
      <c r="D246" s="9" t="n">
        <v>46113</v>
      </c>
      <c r="E246" s="9" t="n">
        <v>46387</v>
      </c>
      <c r="F246" s="10" t="n">
        <v>70</v>
      </c>
      <c r="G246" s="11" t="n">
        <f aca="false">IF(OR(D246="",E246="",E246&lt;=D246),"",MIN(100,MAX(0,(Parametros!$B$3-D246)/(E246-D246)*100)))</f>
        <v>52.9197080291971</v>
      </c>
      <c r="H246" s="12" t="n">
        <f aca="false">IF(G246="","",G246-F246)</f>
        <v>-17.0802919708029</v>
      </c>
      <c r="I246" s="13" t="str">
        <f aca="false">IF(K246="Finalizado","Verde",IF(G246="","Amarillo",IF(H246&lt;=Parametros!$B$4,"Verde",IF(H246&lt;=Parametros!$B$5,"Amarillo","Rojo"))))</f>
        <v>Verde</v>
      </c>
      <c r="J246" s="14" t="str">
        <f aca="false">IF(K246="Finalizado","Completado",IF(G246="","Sin fecha válida - revisar plazos",IF(H246&lt;=Parametros!$B$4,"En tiempo, según lo planificado",IF(H246&lt;=Parametros!$B$5,"Atraso leve - seguimiento cercano ("&amp;TEXT(H246,"0.0")&amp;" p.p.)","Atraso crítico - requiere intervención ("&amp;TEXT(H246,"0.0")&amp;" p.p.)"))))</f>
        <v>En tiempo, según lo planificado</v>
      </c>
      <c r="K246" s="7" t="s">
        <v>27</v>
      </c>
      <c r="L246" s="7" t="s">
        <v>286</v>
      </c>
      <c r="M246" s="7" t="s">
        <v>336</v>
      </c>
      <c r="N246" s="7" t="s">
        <v>51</v>
      </c>
      <c r="O246" s="13" t="n">
        <f aca="false">IF(AND(E246&lt;&gt;"",YEAR(E246)=YEAR(Parametros!$B$3),MONTH(E246)&gt;=10),1,0)</f>
        <v>1</v>
      </c>
      <c r="P246" s="13" t="n">
        <f aca="false">IF(AND(E246&lt;Parametros!$B$3,K246&lt;&gt;"Finalizado"),1,0)</f>
        <v>0</v>
      </c>
      <c r="Q246" s="13" t="n">
        <f aca="false">IF(AND(E246&gt;=Parametros!$B$3,E246&lt;=Parametros!$B$3+30,K246&lt;&gt;"Finalizado"),1,0)</f>
        <v>0</v>
      </c>
    </row>
    <row r="247" customFormat="false" ht="15" hidden="false" customHeight="false" outlineLevel="0" collapsed="false">
      <c r="A247" s="7" t="s">
        <v>431</v>
      </c>
      <c r="B247" s="7" t="s">
        <v>432</v>
      </c>
      <c r="C247" s="7" t="s">
        <v>433</v>
      </c>
      <c r="D247" s="9" t="n">
        <v>46113</v>
      </c>
      <c r="E247" s="9" t="n">
        <v>46356</v>
      </c>
      <c r="F247" s="10" t="n">
        <v>80</v>
      </c>
      <c r="G247" s="11" t="n">
        <f aca="false">IF(OR(D247="",E247="",E247&lt;=D247),"",MIN(100,MAX(0,(Parametros!$B$3-D247)/(E247-D247)*100)))</f>
        <v>59.6707818930041</v>
      </c>
      <c r="H247" s="12" t="n">
        <f aca="false">IF(G247="","",G247-F247)</f>
        <v>-20.3292181069959</v>
      </c>
      <c r="I247" s="13" t="str">
        <f aca="false">IF(K247="Finalizado","Verde",IF(G247="","Amarillo",IF(H247&lt;=Parametros!$B$4,"Verde",IF(H247&lt;=Parametros!$B$5,"Amarillo","Rojo"))))</f>
        <v>Verde</v>
      </c>
      <c r="J247" s="14" t="str">
        <f aca="false">IF(K247="Finalizado","Completado",IF(G247="","Sin fecha válida - revisar plazos",IF(H247&lt;=Parametros!$B$4,"En tiempo, según lo planificado",IF(H247&lt;=Parametros!$B$5,"Atraso leve - seguimiento cercano ("&amp;TEXT(H247,"0.0")&amp;" p.p.)","Atraso crítico - requiere intervención ("&amp;TEXT(H247,"0.0")&amp;" p.p.)"))))</f>
        <v>En tiempo, según lo planificado</v>
      </c>
      <c r="K247" s="7" t="s">
        <v>27</v>
      </c>
      <c r="L247" s="7" t="s">
        <v>393</v>
      </c>
      <c r="M247" s="7" t="s">
        <v>336</v>
      </c>
      <c r="N247" s="7" t="s">
        <v>51</v>
      </c>
      <c r="O247" s="13" t="n">
        <f aca="false">IF(AND(E247&lt;&gt;"",YEAR(E247)=YEAR(Parametros!$B$3),MONTH(E247)&gt;=10),1,0)</f>
        <v>1</v>
      </c>
      <c r="P247" s="13" t="n">
        <f aca="false">IF(AND(E247&lt;Parametros!$B$3,K247&lt;&gt;"Finalizado"),1,0)</f>
        <v>0</v>
      </c>
      <c r="Q247" s="13" t="n">
        <f aca="false">IF(AND(E247&gt;=Parametros!$B$3,E247&lt;=Parametros!$B$3+30,K247&lt;&gt;"Finalizado"),1,0)</f>
        <v>0</v>
      </c>
    </row>
    <row r="248" customFormat="false" ht="15" hidden="false" customHeight="false" outlineLevel="0" collapsed="false">
      <c r="A248" s="7" t="s">
        <v>431</v>
      </c>
      <c r="B248" s="7" t="s">
        <v>432</v>
      </c>
      <c r="C248" s="7" t="s">
        <v>434</v>
      </c>
      <c r="D248" s="9" t="n">
        <v>46143</v>
      </c>
      <c r="E248" s="9" t="n">
        <v>46203</v>
      </c>
      <c r="F248" s="10" t="n">
        <v>100</v>
      </c>
      <c r="G248" s="11" t="n">
        <f aca="false">IF(OR(D248="",E248="",E248&lt;=D248),"",MIN(100,MAX(0,(Parametros!$B$3-D248)/(E248-D248)*100)))</f>
        <v>100</v>
      </c>
      <c r="H248" s="12" t="n">
        <f aca="false">IF(G248="","",G248-F248)</f>
        <v>0</v>
      </c>
      <c r="I248" s="13" t="str">
        <f aca="false">IF(K248="Finalizado","Verde",IF(G248="","Amarillo",IF(H248&lt;=Parametros!$B$4,"Verde",IF(H248&lt;=Parametros!$B$5,"Amarillo","Rojo"))))</f>
        <v>Verde</v>
      </c>
      <c r="J248" s="14" t="str">
        <f aca="false">IF(K248="Finalizado","Completado",IF(G248="","Sin fecha válida - revisar plazos",IF(H248&lt;=Parametros!$B$4,"En tiempo, según lo planificado",IF(H248&lt;=Parametros!$B$5,"Atraso leve - seguimiento cercano ("&amp;TEXT(H248,"0.0")&amp;" p.p.)","Atraso crítico - requiere intervención ("&amp;TEXT(H248,"0.0")&amp;" p.p.)"))))</f>
        <v>Completado</v>
      </c>
      <c r="K248" s="7" t="s">
        <v>38</v>
      </c>
      <c r="L248" s="7"/>
      <c r="M248" s="7" t="s">
        <v>336</v>
      </c>
      <c r="N248" s="7" t="s">
        <v>51</v>
      </c>
      <c r="O248" s="13" t="n">
        <f aca="false">IF(AND(E248&lt;&gt;"",YEAR(E248)=YEAR(Parametros!$B$3),MONTH(E248)&gt;=10),1,0)</f>
        <v>0</v>
      </c>
      <c r="P248" s="13" t="n">
        <f aca="false">IF(AND(E248&lt;Parametros!$B$3,K248&lt;&gt;"Finalizado"),1,0)</f>
        <v>0</v>
      </c>
      <c r="Q248" s="13" t="n">
        <f aca="false">IF(AND(E248&gt;=Parametros!$B$3,E248&lt;=Parametros!$B$3+30,K248&lt;&gt;"Finalizado"),1,0)</f>
        <v>0</v>
      </c>
    </row>
    <row r="249" customFormat="false" ht="15" hidden="false" customHeight="false" outlineLevel="0" collapsed="false">
      <c r="A249" s="7" t="s">
        <v>431</v>
      </c>
      <c r="B249" s="7" t="s">
        <v>432</v>
      </c>
      <c r="C249" s="7" t="s">
        <v>435</v>
      </c>
      <c r="D249" s="9" t="n">
        <v>46188</v>
      </c>
      <c r="E249" s="9" t="n">
        <v>46265</v>
      </c>
      <c r="F249" s="10" t="n">
        <v>85</v>
      </c>
      <c r="G249" s="11" t="n">
        <f aca="false">IF(OR(D249="",E249="",E249&lt;=D249),"",MIN(100,MAX(0,(Parametros!$B$3-D249)/(E249-D249)*100)))</f>
        <v>90.9090909090909</v>
      </c>
      <c r="H249" s="12" t="n">
        <f aca="false">IF(G249="","",G249-F249)</f>
        <v>5.90909090909091</v>
      </c>
      <c r="I249" s="13" t="str">
        <f aca="false">IF(K249="Finalizado","Verde",IF(G249="","Amarillo",IF(H249&lt;=Parametros!$B$4,"Verde",IF(H249&lt;=Parametros!$B$5,"Amarillo","Rojo"))))</f>
        <v>Amarillo</v>
      </c>
      <c r="J249" s="14" t="str">
        <f aca="false">IF(K249="Finalizado","Completado",IF(G249="","Sin fecha válida - revisar plazos",IF(H249&lt;=Parametros!$B$4,"En tiempo, según lo planificado",IF(H249&lt;=Parametros!$B$5,"Atraso leve - seguimiento cercano ("&amp;TEXT(H249,"0.0")&amp;" p.p.)","Atraso crítico - requiere intervención ("&amp;TEXT(H249,"0.0")&amp;" p.p.)"))))</f>
        <v>Atraso leve - seguimiento cercano (5.9 p.p.)</v>
      </c>
      <c r="K249" s="7" t="s">
        <v>27</v>
      </c>
      <c r="L249" s="7"/>
      <c r="M249" s="7" t="s">
        <v>336</v>
      </c>
      <c r="N249" s="7" t="s">
        <v>51</v>
      </c>
      <c r="O249" s="13" t="n">
        <f aca="false">IF(AND(E249&lt;&gt;"",YEAR(E249)=YEAR(Parametros!$B$3),MONTH(E249)&gt;=10),1,0)</f>
        <v>0</v>
      </c>
      <c r="P249" s="13" t="n">
        <f aca="false">IF(AND(E249&lt;Parametros!$B$3,K249&lt;&gt;"Finalizado"),1,0)</f>
        <v>0</v>
      </c>
      <c r="Q249" s="13" t="n">
        <f aca="false">IF(AND(E249&gt;=Parametros!$B$3,E249&lt;=Parametros!$B$3+30,K249&lt;&gt;"Finalizado"),1,0)</f>
        <v>1</v>
      </c>
    </row>
    <row r="250" customFormat="false" ht="15" hidden="false" customHeight="false" outlineLevel="0" collapsed="false">
      <c r="A250" s="7" t="s">
        <v>431</v>
      </c>
      <c r="B250" s="7" t="s">
        <v>432</v>
      </c>
      <c r="C250" s="7" t="s">
        <v>436</v>
      </c>
      <c r="D250" s="9" t="n">
        <v>46204</v>
      </c>
      <c r="E250" s="9" t="n">
        <v>46387</v>
      </c>
      <c r="F250" s="10" t="n">
        <v>0</v>
      </c>
      <c r="G250" s="11" t="n">
        <f aca="false">IF(OR(D250="",E250="",E250&lt;=D250),"",MIN(100,MAX(0,(Parametros!$B$3-D250)/(E250-D250)*100)))</f>
        <v>29.5081967213115</v>
      </c>
      <c r="H250" s="12" t="n">
        <f aca="false">IF(G250="","",G250-F250)</f>
        <v>29.5081967213115</v>
      </c>
      <c r="I250" s="13" t="str">
        <f aca="false">IF(K250="Finalizado","Verde",IF(G250="","Amarillo",IF(H250&lt;=Parametros!$B$4,"Verde",IF(H250&lt;=Parametros!$B$5,"Amarillo","Rojo"))))</f>
        <v>Rojo</v>
      </c>
      <c r="J250" s="14" t="str">
        <f aca="false">IF(K250="Finalizado","Completado",IF(G250="","Sin fecha válida - revisar plazos",IF(H250&lt;=Parametros!$B$4,"En tiempo, según lo planificado",IF(H250&lt;=Parametros!$B$5,"Atraso leve - seguimiento cercano ("&amp;TEXT(H250,"0.0")&amp;" p.p.)","Atraso crítico - requiere intervención ("&amp;TEXT(H250,"0.0")&amp;" p.p.)"))))</f>
        <v>Atraso crítico - requiere intervención (29.5 p.p.)</v>
      </c>
      <c r="K250" s="7" t="s">
        <v>100</v>
      </c>
      <c r="L250" s="7"/>
      <c r="M250" s="7" t="s">
        <v>336</v>
      </c>
      <c r="N250" s="7" t="s">
        <v>51</v>
      </c>
      <c r="O250" s="13" t="n">
        <f aca="false">IF(AND(E250&lt;&gt;"",YEAR(E250)=YEAR(Parametros!$B$3),MONTH(E250)&gt;=10),1,0)</f>
        <v>1</v>
      </c>
      <c r="P250" s="13" t="n">
        <f aca="false">IF(AND(E250&lt;Parametros!$B$3,K250&lt;&gt;"Finalizado"),1,0)</f>
        <v>0</v>
      </c>
      <c r="Q250" s="13" t="n">
        <f aca="false">IF(AND(E250&gt;=Parametros!$B$3,E250&lt;=Parametros!$B$3+30,K250&lt;&gt;"Finalizado"),1,0)</f>
        <v>0</v>
      </c>
    </row>
    <row r="251" customFormat="false" ht="15" hidden="false" customHeight="false" outlineLevel="0" collapsed="false">
      <c r="A251" s="7" t="s">
        <v>437</v>
      </c>
      <c r="B251" s="7" t="s">
        <v>438</v>
      </c>
      <c r="C251" s="8" t="s">
        <v>439</v>
      </c>
      <c r="D251" s="9" t="n">
        <v>46143</v>
      </c>
      <c r="E251" s="9" t="n">
        <v>46203</v>
      </c>
      <c r="F251" s="10" t="n">
        <v>100</v>
      </c>
      <c r="G251" s="11" t="n">
        <f aca="false">IF(OR(D251="",E251="",E251&lt;=D251),"",MIN(100,MAX(0,(Parametros!$B$3-D251)/(E251-D251)*100)))</f>
        <v>100</v>
      </c>
      <c r="H251" s="12" t="n">
        <f aca="false">IF(G251="","",G251-F251)</f>
        <v>0</v>
      </c>
      <c r="I251" s="13" t="str">
        <f aca="false">IF(K251="Finalizado","Verde",IF(G251="","Amarillo",IF(H251&lt;=Parametros!$B$4,"Verde",IF(H251&lt;=Parametros!$B$5,"Amarillo","Rojo"))))</f>
        <v>Verde</v>
      </c>
      <c r="J251" s="14" t="str">
        <f aca="false">IF(K251="Finalizado","Completado",IF(G251="","Sin fecha válida - revisar plazos",IF(H251&lt;=Parametros!$B$4,"En tiempo, según lo planificado",IF(H251&lt;=Parametros!$B$5,"Atraso leve - seguimiento cercano ("&amp;TEXT(H251,"0.0")&amp;" p.p.)","Atraso crítico - requiere intervención ("&amp;TEXT(H251,"0.0")&amp;" p.p.)"))))</f>
        <v>Completado</v>
      </c>
      <c r="K251" s="7" t="s">
        <v>38</v>
      </c>
      <c r="L251" s="7"/>
      <c r="M251" s="7" t="s">
        <v>336</v>
      </c>
      <c r="N251" s="7" t="s">
        <v>51</v>
      </c>
      <c r="O251" s="13" t="n">
        <f aca="false">IF(AND(E251&lt;&gt;"",YEAR(E251)=YEAR(Parametros!$B$3),MONTH(E251)&gt;=10),1,0)</f>
        <v>0</v>
      </c>
      <c r="P251" s="13" t="n">
        <f aca="false">IF(AND(E251&lt;Parametros!$B$3,K251&lt;&gt;"Finalizado"),1,0)</f>
        <v>0</v>
      </c>
      <c r="Q251" s="13" t="n">
        <f aca="false">IF(AND(E251&gt;=Parametros!$B$3,E251&lt;=Parametros!$B$3+30,K251&lt;&gt;"Finalizado"),1,0)</f>
        <v>0</v>
      </c>
    </row>
    <row r="252" customFormat="false" ht="15" hidden="false" customHeight="false" outlineLevel="0" collapsed="false">
      <c r="A252" s="7" t="s">
        <v>437</v>
      </c>
      <c r="B252" s="7" t="s">
        <v>438</v>
      </c>
      <c r="C252" s="8" t="s">
        <v>440</v>
      </c>
      <c r="D252" s="9" t="n">
        <v>46174</v>
      </c>
      <c r="E252" s="9" t="n">
        <v>46265</v>
      </c>
      <c r="F252" s="10" t="n">
        <v>70</v>
      </c>
      <c r="G252" s="11" t="n">
        <f aca="false">IF(OR(D252="",E252="",E252&lt;=D252),"",MIN(100,MAX(0,(Parametros!$B$3-D252)/(E252-D252)*100)))</f>
        <v>92.3076923076923</v>
      </c>
      <c r="H252" s="12" t="n">
        <f aca="false">IF(G252="","",G252-F252)</f>
        <v>22.3076923076923</v>
      </c>
      <c r="I252" s="13" t="str">
        <f aca="false">IF(K252="Finalizado","Verde",IF(G252="","Amarillo",IF(H252&lt;=Parametros!$B$4,"Verde",IF(H252&lt;=Parametros!$B$5,"Amarillo","Rojo"))))</f>
        <v>Rojo</v>
      </c>
      <c r="J252" s="14" t="str">
        <f aca="false">IF(K252="Finalizado","Completado",IF(G252="","Sin fecha válida - revisar plazos",IF(H252&lt;=Parametros!$B$4,"En tiempo, según lo planificado",IF(H252&lt;=Parametros!$B$5,"Atraso leve - seguimiento cercano ("&amp;TEXT(H252,"0.0")&amp;" p.p.)","Atraso crítico - requiere intervención ("&amp;TEXT(H252,"0.0")&amp;" p.p.)"))))</f>
        <v>Atraso crítico - requiere intervención (22.3 p.p.)</v>
      </c>
      <c r="K252" s="7" t="s">
        <v>27</v>
      </c>
      <c r="L252" s="7"/>
      <c r="M252" s="7" t="s">
        <v>336</v>
      </c>
      <c r="N252" s="7" t="s">
        <v>51</v>
      </c>
      <c r="O252" s="13" t="n">
        <f aca="false">IF(AND(E252&lt;&gt;"",YEAR(E252)=YEAR(Parametros!$B$3),MONTH(E252)&gt;=10),1,0)</f>
        <v>0</v>
      </c>
      <c r="P252" s="13" t="n">
        <f aca="false">IF(AND(E252&lt;Parametros!$B$3,K252&lt;&gt;"Finalizado"),1,0)</f>
        <v>0</v>
      </c>
      <c r="Q252" s="13" t="n">
        <f aca="false">IF(AND(E252&gt;=Parametros!$B$3,E252&lt;=Parametros!$B$3+30,K252&lt;&gt;"Finalizado"),1,0)</f>
        <v>1</v>
      </c>
    </row>
    <row r="253" customFormat="false" ht="15" hidden="false" customHeight="false" outlineLevel="0" collapsed="false">
      <c r="A253" s="7" t="s">
        <v>437</v>
      </c>
      <c r="B253" s="7" t="s">
        <v>438</v>
      </c>
      <c r="C253" s="8" t="s">
        <v>441</v>
      </c>
      <c r="D253" s="9" t="n">
        <v>46204</v>
      </c>
      <c r="E253" s="9" t="n">
        <v>46386</v>
      </c>
      <c r="F253" s="10" t="n">
        <v>30</v>
      </c>
      <c r="G253" s="11" t="n">
        <f aca="false">IF(OR(D253="",E253="",E253&lt;=D253),"",MIN(100,MAX(0,(Parametros!$B$3-D253)/(E253-D253)*100)))</f>
        <v>29.6703296703297</v>
      </c>
      <c r="H253" s="12" t="n">
        <f aca="false">IF(G253="","",G253-F253)</f>
        <v>-0.329670329670329</v>
      </c>
      <c r="I253" s="13" t="str">
        <f aca="false">IF(K253="Finalizado","Verde",IF(G253="","Amarillo",IF(H253&lt;=Parametros!$B$4,"Verde",IF(H253&lt;=Parametros!$B$5,"Amarillo","Rojo"))))</f>
        <v>Verde</v>
      </c>
      <c r="J253" s="14" t="str">
        <f aca="false">IF(K253="Finalizado","Completado",IF(G253="","Sin fecha válida - revisar plazos",IF(H253&lt;=Parametros!$B$4,"En tiempo, según lo planificado",IF(H253&lt;=Parametros!$B$5,"Atraso leve - seguimiento cercano ("&amp;TEXT(H253,"0.0")&amp;" p.p.)","Atraso crítico - requiere intervención ("&amp;TEXT(H253,"0.0")&amp;" p.p.)"))))</f>
        <v>En tiempo, según lo planificado</v>
      </c>
      <c r="K253" s="7" t="s">
        <v>27</v>
      </c>
      <c r="L253" s="7"/>
      <c r="M253" s="7" t="s">
        <v>336</v>
      </c>
      <c r="N253" s="7" t="s">
        <v>51</v>
      </c>
      <c r="O253" s="13" t="n">
        <f aca="false">IF(AND(E253&lt;&gt;"",YEAR(E253)=YEAR(Parametros!$B$3),MONTH(E253)&gt;=10),1,0)</f>
        <v>1</v>
      </c>
      <c r="P253" s="13" t="n">
        <f aca="false">IF(AND(E253&lt;Parametros!$B$3,K253&lt;&gt;"Finalizado"),1,0)</f>
        <v>0</v>
      </c>
      <c r="Q253" s="13" t="n">
        <f aca="false">IF(AND(E253&gt;=Parametros!$B$3,E253&lt;=Parametros!$B$3+30,K253&lt;&gt;"Finalizado"),1,0)</f>
        <v>0</v>
      </c>
    </row>
    <row r="254" customFormat="false" ht="15" hidden="false" customHeight="false" outlineLevel="0" collapsed="false">
      <c r="A254" s="7" t="s">
        <v>442</v>
      </c>
      <c r="B254" s="7" t="s">
        <v>443</v>
      </c>
      <c r="C254" s="8" t="s">
        <v>444</v>
      </c>
      <c r="D254" s="9" t="n">
        <v>46111</v>
      </c>
      <c r="E254" s="9" t="n">
        <v>46198</v>
      </c>
      <c r="F254" s="10" t="n">
        <v>100</v>
      </c>
      <c r="G254" s="11" t="n">
        <f aca="false">IF(OR(D254="",E254="",E254&lt;=D254),"",MIN(100,MAX(0,(Parametros!$B$3-D254)/(E254-D254)*100)))</f>
        <v>100</v>
      </c>
      <c r="H254" s="12" t="n">
        <f aca="false">IF(G254="","",G254-F254)</f>
        <v>0</v>
      </c>
      <c r="I254" s="13" t="str">
        <f aca="false">IF(K254="Finalizado","Verde",IF(G254="","Amarillo",IF(H254&lt;=Parametros!$B$4,"Verde",IF(H254&lt;=Parametros!$B$5,"Amarillo","Rojo"))))</f>
        <v>Verde</v>
      </c>
      <c r="J254" s="14" t="str">
        <f aca="false">IF(K254="Finalizado","Completado",IF(G254="","Sin fecha válida - revisar plazos",IF(H254&lt;=Parametros!$B$4,"En tiempo, según lo planificado",IF(H254&lt;=Parametros!$B$5,"Atraso leve - seguimiento cercano ("&amp;TEXT(H254,"0.0")&amp;" p.p.)","Atraso crítico - requiere intervención ("&amp;TEXT(H254,"0.0")&amp;" p.p.)"))))</f>
        <v>Completado</v>
      </c>
      <c r="K254" s="7" t="s">
        <v>38</v>
      </c>
      <c r="L254" s="7"/>
      <c r="M254" s="7" t="s">
        <v>445</v>
      </c>
      <c r="N254" s="7" t="s">
        <v>51</v>
      </c>
      <c r="O254" s="13" t="n">
        <f aca="false">IF(AND(E254&lt;&gt;"",YEAR(E254)=YEAR(Parametros!$B$3),MONTH(E254)&gt;=10),1,0)</f>
        <v>0</v>
      </c>
      <c r="P254" s="13" t="n">
        <f aca="false">IF(AND(E254&lt;Parametros!$B$3,K254&lt;&gt;"Finalizado"),1,0)</f>
        <v>0</v>
      </c>
      <c r="Q254" s="13" t="n">
        <f aca="false">IF(AND(E254&gt;=Parametros!$B$3,E254&lt;=Parametros!$B$3+30,K254&lt;&gt;"Finalizado"),1,0)</f>
        <v>0</v>
      </c>
    </row>
    <row r="255" customFormat="false" ht="15" hidden="false" customHeight="false" outlineLevel="0" collapsed="false">
      <c r="A255" s="7" t="s">
        <v>442</v>
      </c>
      <c r="B255" s="7" t="s">
        <v>443</v>
      </c>
      <c r="C255" s="8" t="s">
        <v>446</v>
      </c>
      <c r="D255" s="9" t="n">
        <v>46157</v>
      </c>
      <c r="E255" s="9" t="n">
        <v>46265</v>
      </c>
      <c r="F255" s="10" t="n">
        <v>70</v>
      </c>
      <c r="G255" s="11" t="n">
        <f aca="false">IF(OR(D255="",E255="",E255&lt;=D255),"",MIN(100,MAX(0,(Parametros!$B$3-D255)/(E255-D255)*100)))</f>
        <v>93.5185185185185</v>
      </c>
      <c r="H255" s="12" t="n">
        <f aca="false">IF(G255="","",G255-F255)</f>
        <v>23.5185185185185</v>
      </c>
      <c r="I255" s="13" t="str">
        <f aca="false">IF(K255="Finalizado","Verde",IF(G255="","Amarillo",IF(H255&lt;=Parametros!$B$4,"Verde",IF(H255&lt;=Parametros!$B$5,"Amarillo","Rojo"))))</f>
        <v>Rojo</v>
      </c>
      <c r="J255" s="14" t="str">
        <f aca="false">IF(K255="Finalizado","Completado",IF(G255="","Sin fecha válida - revisar plazos",IF(H255&lt;=Parametros!$B$4,"En tiempo, según lo planificado",IF(H255&lt;=Parametros!$B$5,"Atraso leve - seguimiento cercano ("&amp;TEXT(H255,"0.0")&amp;" p.p.)","Atraso crítico - requiere intervención ("&amp;TEXT(H255,"0.0")&amp;" p.p.)"))))</f>
        <v>Atraso crítico - requiere intervención (23.5 p.p.)</v>
      </c>
      <c r="K255" s="7" t="s">
        <v>73</v>
      </c>
      <c r="L255" s="7"/>
      <c r="M255" s="7" t="s">
        <v>445</v>
      </c>
      <c r="N255" s="7" t="s">
        <v>51</v>
      </c>
      <c r="O255" s="13" t="n">
        <f aca="false">IF(AND(E255&lt;&gt;"",YEAR(E255)=YEAR(Parametros!$B$3),MONTH(E255)&gt;=10),1,0)</f>
        <v>0</v>
      </c>
      <c r="P255" s="13" t="n">
        <f aca="false">IF(AND(E255&lt;Parametros!$B$3,K255&lt;&gt;"Finalizado"),1,0)</f>
        <v>0</v>
      </c>
      <c r="Q255" s="13" t="n">
        <f aca="false">IF(AND(E255&gt;=Parametros!$B$3,E255&lt;=Parametros!$B$3+30,K255&lt;&gt;"Finalizado"),1,0)</f>
        <v>1</v>
      </c>
    </row>
    <row r="256" customFormat="false" ht="15" hidden="false" customHeight="false" outlineLevel="0" collapsed="false">
      <c r="A256" s="7" t="s">
        <v>442</v>
      </c>
      <c r="B256" s="7" t="s">
        <v>443</v>
      </c>
      <c r="C256" s="8" t="s">
        <v>447</v>
      </c>
      <c r="D256" s="9" t="n">
        <v>46204</v>
      </c>
      <c r="E256" s="9" t="n">
        <v>46265</v>
      </c>
      <c r="F256" s="10" t="n">
        <v>70</v>
      </c>
      <c r="G256" s="11" t="n">
        <f aca="false">IF(OR(D256="",E256="",E256&lt;=D256),"",MIN(100,MAX(0,(Parametros!$B$3-D256)/(E256-D256)*100)))</f>
        <v>88.5245901639344</v>
      </c>
      <c r="H256" s="12" t="n">
        <f aca="false">IF(G256="","",G256-F256)</f>
        <v>18.5245901639344</v>
      </c>
      <c r="I256" s="13" t="str">
        <f aca="false">IF(K256="Finalizado","Verde",IF(G256="","Amarillo",IF(H256&lt;=Parametros!$B$4,"Verde",IF(H256&lt;=Parametros!$B$5,"Amarillo","Rojo"))))</f>
        <v>Amarillo</v>
      </c>
      <c r="J256" s="14" t="str">
        <f aca="false">IF(K256="Finalizado","Completado",IF(G256="","Sin fecha válida - revisar plazos",IF(H256&lt;=Parametros!$B$4,"En tiempo, según lo planificado",IF(H256&lt;=Parametros!$B$5,"Atraso leve - seguimiento cercano ("&amp;TEXT(H256,"0.0")&amp;" p.p.)","Atraso crítico - requiere intervención ("&amp;TEXT(H256,"0.0")&amp;" p.p.)"))))</f>
        <v>Atraso leve - seguimiento cercano (18.5 p.p.)</v>
      </c>
      <c r="K256" s="7" t="s">
        <v>73</v>
      </c>
      <c r="L256" s="7"/>
      <c r="M256" s="7" t="s">
        <v>445</v>
      </c>
      <c r="N256" s="7" t="s">
        <v>51</v>
      </c>
      <c r="O256" s="13" t="n">
        <f aca="false">IF(AND(E256&lt;&gt;"",YEAR(E256)=YEAR(Parametros!$B$3),MONTH(E256)&gt;=10),1,0)</f>
        <v>0</v>
      </c>
      <c r="P256" s="13" t="n">
        <f aca="false">IF(AND(E256&lt;Parametros!$B$3,K256&lt;&gt;"Finalizado"),1,0)</f>
        <v>0</v>
      </c>
      <c r="Q256" s="13" t="n">
        <f aca="false">IF(AND(E256&gt;=Parametros!$B$3,E256&lt;=Parametros!$B$3+30,K256&lt;&gt;"Finalizado"),1,0)</f>
        <v>1</v>
      </c>
    </row>
    <row r="257" customFormat="false" ht="15" hidden="false" customHeight="false" outlineLevel="0" collapsed="false">
      <c r="A257" s="7" t="s">
        <v>442</v>
      </c>
      <c r="B257" s="7" t="s">
        <v>443</v>
      </c>
      <c r="C257" s="7" t="s">
        <v>448</v>
      </c>
      <c r="D257" s="9" t="n">
        <v>46143</v>
      </c>
      <c r="E257" s="9" t="n">
        <v>46326</v>
      </c>
      <c r="F257" s="10" t="n">
        <v>71.8</v>
      </c>
      <c r="G257" s="11" t="n">
        <f aca="false">IF(OR(D257="",E257="",E257&lt;=D257),"",MIN(100,MAX(0,(Parametros!$B$3-D257)/(E257-D257)*100)))</f>
        <v>62.8415300546448</v>
      </c>
      <c r="H257" s="12" t="n">
        <f aca="false">IF(G257="","",G257-F257)</f>
        <v>-8.95846994535518</v>
      </c>
      <c r="I257" s="13" t="str">
        <f aca="false">IF(K257="Finalizado","Verde",IF(G257="","Amarillo",IF(H257&lt;=Parametros!$B$4,"Verde",IF(H257&lt;=Parametros!$B$5,"Amarillo","Rojo"))))</f>
        <v>Verde</v>
      </c>
      <c r="J257" s="14" t="str">
        <f aca="false">IF(K257="Finalizado","Completado",IF(G257="","Sin fecha válida - revisar plazos",IF(H257&lt;=Parametros!$B$4,"En tiempo, según lo planificado",IF(H257&lt;=Parametros!$B$5,"Atraso leve - seguimiento cercano ("&amp;TEXT(H257,"0.0")&amp;" p.p.)","Atraso crítico - requiere intervención ("&amp;TEXT(H257,"0.0")&amp;" p.p.)"))))</f>
        <v>En tiempo, según lo planificado</v>
      </c>
      <c r="K257" s="7" t="s">
        <v>73</v>
      </c>
      <c r="L257" s="7" t="s">
        <v>449</v>
      </c>
      <c r="M257" s="7" t="s">
        <v>445</v>
      </c>
      <c r="N257" s="7" t="s">
        <v>51</v>
      </c>
      <c r="O257" s="13" t="n">
        <f aca="false">IF(AND(E257&lt;&gt;"",YEAR(E257)=YEAR(Parametros!$B$3),MONTH(E257)&gt;=10),1,0)</f>
        <v>1</v>
      </c>
      <c r="P257" s="13" t="n">
        <f aca="false">IF(AND(E257&lt;Parametros!$B$3,K257&lt;&gt;"Finalizado"),1,0)</f>
        <v>0</v>
      </c>
      <c r="Q257" s="13" t="n">
        <f aca="false">IF(AND(E257&gt;=Parametros!$B$3,E257&lt;=Parametros!$B$3+30,K257&lt;&gt;"Finalizado"),1,0)</f>
        <v>0</v>
      </c>
    </row>
    <row r="258" customFormat="false" ht="15" hidden="false" customHeight="false" outlineLevel="0" collapsed="false">
      <c r="A258" s="7" t="s">
        <v>450</v>
      </c>
      <c r="B258" s="7" t="s">
        <v>451</v>
      </c>
      <c r="C258" s="7" t="s">
        <v>452</v>
      </c>
      <c r="D258" s="9" t="n">
        <v>46266</v>
      </c>
      <c r="E258" s="9" t="n">
        <v>46398</v>
      </c>
      <c r="F258" s="10" t="n">
        <v>0</v>
      </c>
      <c r="G258" s="11" t="n">
        <f aca="false">IF(OR(D258="",E258="",E258&lt;=D258),"",MIN(100,MAX(0,(Parametros!$B$3-D258)/(E258-D258)*100)))</f>
        <v>0</v>
      </c>
      <c r="H258" s="12" t="n">
        <f aca="false">IF(G258="","",G258-F258)</f>
        <v>0</v>
      </c>
      <c r="I258" s="13" t="str">
        <f aca="false">IF(K258="Finalizado","Verde",IF(G258="","Amarillo",IF(H258&lt;=Parametros!$B$4,"Verde",IF(H258&lt;=Parametros!$B$5,"Amarillo","Rojo"))))</f>
        <v>Verde</v>
      </c>
      <c r="J258" s="14" t="str">
        <f aca="false">IF(K258="Finalizado","Completado",IF(G258="","Sin fecha válida - revisar plazos",IF(H258&lt;=Parametros!$B$4,"En tiempo, según lo planificado",IF(H258&lt;=Parametros!$B$5,"Atraso leve - seguimiento cercano ("&amp;TEXT(H258,"0.0")&amp;" p.p.)","Atraso crítico - requiere intervención ("&amp;TEXT(H258,"0.0")&amp;" p.p.)"))))</f>
        <v>En tiempo, según lo planificado</v>
      </c>
      <c r="K258" s="7" t="s">
        <v>100</v>
      </c>
      <c r="L258" s="7"/>
      <c r="M258" s="7" t="s">
        <v>445</v>
      </c>
      <c r="N258" s="7" t="s">
        <v>51</v>
      </c>
      <c r="O258" s="13" t="n">
        <f aca="false">IF(AND(E258&lt;&gt;"",YEAR(E258)=YEAR(Parametros!$B$3),MONTH(E258)&gt;=10),1,0)</f>
        <v>0</v>
      </c>
      <c r="P258" s="13" t="n">
        <f aca="false">IF(AND(E258&lt;Parametros!$B$3,K258&lt;&gt;"Finalizado"),1,0)</f>
        <v>0</v>
      </c>
      <c r="Q258" s="13" t="n">
        <f aca="false">IF(AND(E258&gt;=Parametros!$B$3,E258&lt;=Parametros!$B$3+30,K258&lt;&gt;"Finalizado"),1,0)</f>
        <v>0</v>
      </c>
    </row>
    <row r="259" customFormat="false" ht="15" hidden="false" customHeight="false" outlineLevel="0" collapsed="false">
      <c r="A259" s="7" t="s">
        <v>450</v>
      </c>
      <c r="B259" s="7" t="s">
        <v>451</v>
      </c>
      <c r="C259" s="7" t="s">
        <v>453</v>
      </c>
      <c r="D259" s="9" t="n">
        <v>46027</v>
      </c>
      <c r="E259" s="9" t="n">
        <v>46265</v>
      </c>
      <c r="F259" s="10" t="n">
        <v>80</v>
      </c>
      <c r="G259" s="11" t="n">
        <f aca="false">IF(OR(D259="",E259="",E259&lt;=D259),"",MIN(100,MAX(0,(Parametros!$B$3-D259)/(E259-D259)*100)))</f>
        <v>97.0588235294118</v>
      </c>
      <c r="H259" s="12" t="n">
        <f aca="false">IF(G259="","",G259-F259)</f>
        <v>17.0588235294118</v>
      </c>
      <c r="I259" s="13" t="str">
        <f aca="false">IF(K259="Finalizado","Verde",IF(G259="","Amarillo",IF(H259&lt;=Parametros!$B$4,"Verde",IF(H259&lt;=Parametros!$B$5,"Amarillo","Rojo"))))</f>
        <v>Amarillo</v>
      </c>
      <c r="J259" s="14" t="str">
        <f aca="false">IF(K259="Finalizado","Completado",IF(G259="","Sin fecha válida - revisar plazos",IF(H259&lt;=Parametros!$B$4,"En tiempo, según lo planificado",IF(H259&lt;=Parametros!$B$5,"Atraso leve - seguimiento cercano ("&amp;TEXT(H259,"0.0")&amp;" p.p.)","Atraso crítico - requiere intervención ("&amp;TEXT(H259,"0.0")&amp;" p.p.)"))))</f>
        <v>Atraso leve - seguimiento cercano (17.1 p.p.)</v>
      </c>
      <c r="K259" s="7" t="s">
        <v>27</v>
      </c>
      <c r="L259" s="7" t="s">
        <v>454</v>
      </c>
      <c r="M259" s="7" t="s">
        <v>445</v>
      </c>
      <c r="N259" s="7" t="s">
        <v>51</v>
      </c>
      <c r="O259" s="13" t="n">
        <f aca="false">IF(AND(E259&lt;&gt;"",YEAR(E259)=YEAR(Parametros!$B$3),MONTH(E259)&gt;=10),1,0)</f>
        <v>0</v>
      </c>
      <c r="P259" s="13" t="n">
        <f aca="false">IF(AND(E259&lt;Parametros!$B$3,K259&lt;&gt;"Finalizado"),1,0)</f>
        <v>0</v>
      </c>
      <c r="Q259" s="13" t="n">
        <f aca="false">IF(AND(E259&gt;=Parametros!$B$3,E259&lt;=Parametros!$B$3+30,K259&lt;&gt;"Finalizado"),1,0)</f>
        <v>1</v>
      </c>
    </row>
    <row r="260" customFormat="false" ht="15" hidden="false" customHeight="false" outlineLevel="0" collapsed="false">
      <c r="A260" s="7" t="s">
        <v>450</v>
      </c>
      <c r="B260" s="7" t="s">
        <v>451</v>
      </c>
      <c r="C260" s="7" t="s">
        <v>455</v>
      </c>
      <c r="D260" s="9" t="n">
        <v>46496</v>
      </c>
      <c r="E260" s="9" t="n">
        <v>47057</v>
      </c>
      <c r="F260" s="10" t="n">
        <v>0</v>
      </c>
      <c r="G260" s="11" t="n">
        <f aca="false">IF(OR(D260="",E260="",E260&lt;=D260),"",MIN(100,MAX(0,(Parametros!$B$3-D260)/(E260-D260)*100)))</f>
        <v>0</v>
      </c>
      <c r="H260" s="12" t="n">
        <f aca="false">IF(G260="","",G260-F260)</f>
        <v>0</v>
      </c>
      <c r="I260" s="13" t="str">
        <f aca="false">IF(K260="Finalizado","Verde",IF(G260="","Amarillo",IF(H260&lt;=Parametros!$B$4,"Verde",IF(H260&lt;=Parametros!$B$5,"Amarillo","Rojo"))))</f>
        <v>Verde</v>
      </c>
      <c r="J260" s="14" t="str">
        <f aca="false">IF(K260="Finalizado","Completado",IF(G260="","Sin fecha válida - revisar plazos",IF(H260&lt;=Parametros!$B$4,"En tiempo, según lo planificado",IF(H260&lt;=Parametros!$B$5,"Atraso leve - seguimiento cercano ("&amp;TEXT(H260,"0.0")&amp;" p.p.)","Atraso crítico - requiere intervención ("&amp;TEXT(H260,"0.0")&amp;" p.p.)"))))</f>
        <v>En tiempo, según lo planificado</v>
      </c>
      <c r="K260" s="7" t="s">
        <v>100</v>
      </c>
      <c r="L260" s="7"/>
      <c r="M260" s="7" t="s">
        <v>445</v>
      </c>
      <c r="N260" s="7" t="s">
        <v>51</v>
      </c>
      <c r="O260" s="13" t="n">
        <f aca="false">IF(AND(E260&lt;&gt;"",YEAR(E260)=YEAR(Parametros!$B$3),MONTH(E260)&gt;=10),1,0)</f>
        <v>0</v>
      </c>
      <c r="P260" s="13" t="n">
        <f aca="false">IF(AND(E260&lt;Parametros!$B$3,K260&lt;&gt;"Finalizado"),1,0)</f>
        <v>0</v>
      </c>
      <c r="Q260" s="13" t="n">
        <f aca="false">IF(AND(E260&gt;=Parametros!$B$3,E260&lt;=Parametros!$B$3+30,K260&lt;&gt;"Finalizado"),1,0)</f>
        <v>0</v>
      </c>
    </row>
    <row r="261" customFormat="false" ht="15" hidden="false" customHeight="false" outlineLevel="0" collapsed="false">
      <c r="A261" s="7" t="s">
        <v>450</v>
      </c>
      <c r="B261" s="7" t="s">
        <v>451</v>
      </c>
      <c r="C261" s="7" t="s">
        <v>456</v>
      </c>
      <c r="D261" s="9" t="n">
        <v>46358</v>
      </c>
      <c r="E261" s="9" t="n">
        <v>46446</v>
      </c>
      <c r="F261" s="10" t="n">
        <v>0</v>
      </c>
      <c r="G261" s="11" t="n">
        <f aca="false">IF(OR(D261="",E261="",E261&lt;=D261),"",MIN(100,MAX(0,(Parametros!$B$3-D261)/(E261-D261)*100)))</f>
        <v>0</v>
      </c>
      <c r="H261" s="12" t="n">
        <f aca="false">IF(G261="","",G261-F261)</f>
        <v>0</v>
      </c>
      <c r="I261" s="13" t="str">
        <f aca="false">IF(K261="Finalizado","Verde",IF(G261="","Amarillo",IF(H261&lt;=Parametros!$B$4,"Verde",IF(H261&lt;=Parametros!$B$5,"Amarillo","Rojo"))))</f>
        <v>Verde</v>
      </c>
      <c r="J261" s="14" t="str">
        <f aca="false">IF(K261="Finalizado","Completado",IF(G261="","Sin fecha válida - revisar plazos",IF(H261&lt;=Parametros!$B$4,"En tiempo, según lo planificado",IF(H261&lt;=Parametros!$B$5,"Atraso leve - seguimiento cercano ("&amp;TEXT(H261,"0.0")&amp;" p.p.)","Atraso crítico - requiere intervención ("&amp;TEXT(H261,"0.0")&amp;" p.p.)"))))</f>
        <v>En tiempo, según lo planificado</v>
      </c>
      <c r="K261" s="7" t="s">
        <v>100</v>
      </c>
      <c r="L261" s="7"/>
      <c r="M261" s="7" t="s">
        <v>445</v>
      </c>
      <c r="N261" s="7" t="s">
        <v>51</v>
      </c>
      <c r="O261" s="13" t="n">
        <f aca="false">IF(AND(E261&lt;&gt;"",YEAR(E261)=YEAR(Parametros!$B$3),MONTH(E261)&gt;=10),1,0)</f>
        <v>0</v>
      </c>
      <c r="P261" s="13" t="n">
        <f aca="false">IF(AND(E261&lt;Parametros!$B$3,K261&lt;&gt;"Finalizado"),1,0)</f>
        <v>0</v>
      </c>
      <c r="Q261" s="13" t="n">
        <f aca="false">IF(AND(E261&gt;=Parametros!$B$3,E261&lt;=Parametros!$B$3+30,K261&lt;&gt;"Finalizado"),1,0)</f>
        <v>0</v>
      </c>
    </row>
    <row r="262" customFormat="false" ht="15" hidden="false" customHeight="false" outlineLevel="0" collapsed="false">
      <c r="A262" s="7" t="s">
        <v>450</v>
      </c>
      <c r="B262" s="7" t="s">
        <v>451</v>
      </c>
      <c r="C262" s="7" t="s">
        <v>457</v>
      </c>
      <c r="D262" s="9" t="n">
        <v>46266</v>
      </c>
      <c r="E262" s="9" t="n">
        <v>46357</v>
      </c>
      <c r="F262" s="10" t="n">
        <v>0</v>
      </c>
      <c r="G262" s="11" t="n">
        <f aca="false">IF(OR(D262="",E262="",E262&lt;=D262),"",MIN(100,MAX(0,(Parametros!$B$3-D262)/(E262-D262)*100)))</f>
        <v>0</v>
      </c>
      <c r="H262" s="12" t="n">
        <f aca="false">IF(G262="","",G262-F262)</f>
        <v>0</v>
      </c>
      <c r="I262" s="13" t="str">
        <f aca="false">IF(K262="Finalizado","Verde",IF(G262="","Amarillo",IF(H262&lt;=Parametros!$B$4,"Verde",IF(H262&lt;=Parametros!$B$5,"Amarillo","Rojo"))))</f>
        <v>Verde</v>
      </c>
      <c r="J262" s="14" t="str">
        <f aca="false">IF(K262="Finalizado","Completado",IF(G262="","Sin fecha válida - revisar plazos",IF(H262&lt;=Parametros!$B$4,"En tiempo, según lo planificado",IF(H262&lt;=Parametros!$B$5,"Atraso leve - seguimiento cercano ("&amp;TEXT(H262,"0.0")&amp;" p.p.)","Atraso crítico - requiere intervención ("&amp;TEXT(H262,"0.0")&amp;" p.p.)"))))</f>
        <v>En tiempo, según lo planificado</v>
      </c>
      <c r="K262" s="7" t="s">
        <v>100</v>
      </c>
      <c r="L262" s="7"/>
      <c r="M262" s="7" t="s">
        <v>445</v>
      </c>
      <c r="N262" s="7" t="s">
        <v>51</v>
      </c>
      <c r="O262" s="13" t="n">
        <f aca="false">IF(AND(E262&lt;&gt;"",YEAR(E262)=YEAR(Parametros!$B$3),MONTH(E262)&gt;=10),1,0)</f>
        <v>1</v>
      </c>
      <c r="P262" s="13" t="n">
        <f aca="false">IF(AND(E262&lt;Parametros!$B$3,K262&lt;&gt;"Finalizado"),1,0)</f>
        <v>0</v>
      </c>
      <c r="Q262" s="13" t="n">
        <f aca="false">IF(AND(E262&gt;=Parametros!$B$3,E262&lt;=Parametros!$B$3+30,K262&lt;&gt;"Finalizado"),1,0)</f>
        <v>0</v>
      </c>
    </row>
    <row r="263" customFormat="false" ht="15" hidden="false" customHeight="false" outlineLevel="0" collapsed="false">
      <c r="A263" s="7" t="s">
        <v>450</v>
      </c>
      <c r="B263" s="7" t="s">
        <v>451</v>
      </c>
      <c r="C263" s="7" t="s">
        <v>458</v>
      </c>
      <c r="D263" s="9" t="n">
        <v>46266</v>
      </c>
      <c r="E263" s="9" t="n">
        <v>46630</v>
      </c>
      <c r="F263" s="10" t="n">
        <v>0</v>
      </c>
      <c r="G263" s="11" t="n">
        <f aca="false">IF(OR(D263="",E263="",E263&lt;=D263),"",MIN(100,MAX(0,(Parametros!$B$3-D263)/(E263-D263)*100)))</f>
        <v>0</v>
      </c>
      <c r="H263" s="12" t="n">
        <f aca="false">IF(G263="","",G263-F263)</f>
        <v>0</v>
      </c>
      <c r="I263" s="13" t="str">
        <f aca="false">IF(K263="Finalizado","Verde",IF(G263="","Amarillo",IF(H263&lt;=Parametros!$B$4,"Verde",IF(H263&lt;=Parametros!$B$5,"Amarillo","Rojo"))))</f>
        <v>Verde</v>
      </c>
      <c r="J263" s="14" t="str">
        <f aca="false">IF(K263="Finalizado","Completado",IF(G263="","Sin fecha válida - revisar plazos",IF(H263&lt;=Parametros!$B$4,"En tiempo, según lo planificado",IF(H263&lt;=Parametros!$B$5,"Atraso leve - seguimiento cercano ("&amp;TEXT(H263,"0.0")&amp;" p.p.)","Atraso crítico - requiere intervención ("&amp;TEXT(H263,"0.0")&amp;" p.p.)"))))</f>
        <v>En tiempo, según lo planificado</v>
      </c>
      <c r="K263" s="7" t="s">
        <v>100</v>
      </c>
      <c r="L263" s="7"/>
      <c r="M263" s="7" t="s">
        <v>445</v>
      </c>
      <c r="N263" s="7" t="s">
        <v>51</v>
      </c>
      <c r="O263" s="13" t="n">
        <f aca="false">IF(AND(E263&lt;&gt;"",YEAR(E263)=YEAR(Parametros!$B$3),MONTH(E263)&gt;=10),1,0)</f>
        <v>0</v>
      </c>
      <c r="P263" s="13" t="n">
        <f aca="false">IF(AND(E263&lt;Parametros!$B$3,K263&lt;&gt;"Finalizado"),1,0)</f>
        <v>0</v>
      </c>
      <c r="Q263" s="13" t="n">
        <f aca="false">IF(AND(E263&gt;=Parametros!$B$3,E263&lt;=Parametros!$B$3+30,K263&lt;&gt;"Finalizado"),1,0)</f>
        <v>0</v>
      </c>
    </row>
    <row r="264" customFormat="false" ht="15" hidden="false" customHeight="false" outlineLevel="0" collapsed="false">
      <c r="A264" s="7" t="s">
        <v>450</v>
      </c>
      <c r="B264" s="7" t="s">
        <v>451</v>
      </c>
      <c r="C264" s="7" t="s">
        <v>459</v>
      </c>
      <c r="D264" s="9" t="n">
        <v>46357</v>
      </c>
      <c r="E264" s="9" t="n">
        <v>47087</v>
      </c>
      <c r="F264" s="10" t="n">
        <v>0</v>
      </c>
      <c r="G264" s="11" t="n">
        <f aca="false">IF(OR(D264="",E264="",E264&lt;=D264),"",MIN(100,MAX(0,(Parametros!$B$3-D264)/(E264-D264)*100)))</f>
        <v>0</v>
      </c>
      <c r="H264" s="12" t="n">
        <f aca="false">IF(G264="","",G264-F264)</f>
        <v>0</v>
      </c>
      <c r="I264" s="13" t="str">
        <f aca="false">IF(K264="Finalizado","Verde",IF(G264="","Amarillo",IF(H264&lt;=Parametros!$B$4,"Verde",IF(H264&lt;=Parametros!$B$5,"Amarillo","Rojo"))))</f>
        <v>Verde</v>
      </c>
      <c r="J264" s="14" t="str">
        <f aca="false">IF(K264="Finalizado","Completado",IF(G264="","Sin fecha válida - revisar plazos",IF(H264&lt;=Parametros!$B$4,"En tiempo, según lo planificado",IF(H264&lt;=Parametros!$B$5,"Atraso leve - seguimiento cercano ("&amp;TEXT(H264,"0.0")&amp;" p.p.)","Atraso crítico - requiere intervención ("&amp;TEXT(H264,"0.0")&amp;" p.p.)"))))</f>
        <v>En tiempo, según lo planificado</v>
      </c>
      <c r="K264" s="7" t="s">
        <v>100</v>
      </c>
      <c r="L264" s="7"/>
      <c r="M264" s="7" t="s">
        <v>445</v>
      </c>
      <c r="N264" s="7" t="s">
        <v>51</v>
      </c>
      <c r="O264" s="13" t="n">
        <f aca="false">IF(AND(E264&lt;&gt;"",YEAR(E264)=YEAR(Parametros!$B$3),MONTH(E264)&gt;=10),1,0)</f>
        <v>0</v>
      </c>
      <c r="P264" s="13" t="n">
        <f aca="false">IF(AND(E264&lt;Parametros!$B$3,K264&lt;&gt;"Finalizado"),1,0)</f>
        <v>0</v>
      </c>
      <c r="Q264" s="13" t="n">
        <f aca="false">IF(AND(E264&gt;=Parametros!$B$3,E264&lt;=Parametros!$B$3+30,K264&lt;&gt;"Finalizado"),1,0)</f>
        <v>0</v>
      </c>
    </row>
    <row r="265" customFormat="false" ht="15" hidden="false" customHeight="false" outlineLevel="0" collapsed="false">
      <c r="A265" s="7" t="s">
        <v>460</v>
      </c>
      <c r="B265" s="7" t="s">
        <v>461</v>
      </c>
      <c r="C265" s="8" t="s">
        <v>462</v>
      </c>
      <c r="D265" s="9" t="n">
        <v>46087</v>
      </c>
      <c r="E265" s="9" t="n">
        <v>46142</v>
      </c>
      <c r="F265" s="10" t="n">
        <v>100</v>
      </c>
      <c r="G265" s="11" t="n">
        <f aca="false">IF(OR(D265="",E265="",E265&lt;=D265),"",MIN(100,MAX(0,(Parametros!$B$3-D265)/(E265-D265)*100)))</f>
        <v>100</v>
      </c>
      <c r="H265" s="12" t="n">
        <f aca="false">IF(G265="","",G265-F265)</f>
        <v>0</v>
      </c>
      <c r="I265" s="13" t="str">
        <f aca="false">IF(K265="Finalizado","Verde",IF(G265="","Amarillo",IF(H265&lt;=Parametros!$B$4,"Verde",IF(H265&lt;=Parametros!$B$5,"Amarillo","Rojo"))))</f>
        <v>Verde</v>
      </c>
      <c r="J265" s="14" t="str">
        <f aca="false">IF(K265="Finalizado","Completado",IF(G265="","Sin fecha válida - revisar plazos",IF(H265&lt;=Parametros!$B$4,"En tiempo, según lo planificado",IF(H265&lt;=Parametros!$B$5,"Atraso leve - seguimiento cercano ("&amp;TEXT(H265,"0.0")&amp;" p.p.)","Atraso crítico - requiere intervención ("&amp;TEXT(H265,"0.0")&amp;" p.p.)"))))</f>
        <v>Completado</v>
      </c>
      <c r="K265" s="7" t="s">
        <v>38</v>
      </c>
      <c r="L265" s="7"/>
      <c r="M265" s="7" t="s">
        <v>445</v>
      </c>
      <c r="N265" s="7" t="s">
        <v>51</v>
      </c>
      <c r="O265" s="13" t="n">
        <f aca="false">IF(AND(E265&lt;&gt;"",YEAR(E265)=YEAR(Parametros!$B$3),MONTH(E265)&gt;=10),1,0)</f>
        <v>0</v>
      </c>
      <c r="P265" s="13" t="n">
        <f aca="false">IF(AND(E265&lt;Parametros!$B$3,K265&lt;&gt;"Finalizado"),1,0)</f>
        <v>0</v>
      </c>
      <c r="Q265" s="13" t="n">
        <f aca="false">IF(AND(E265&gt;=Parametros!$B$3,E265&lt;=Parametros!$B$3+30,K265&lt;&gt;"Finalizado"),1,0)</f>
        <v>0</v>
      </c>
    </row>
    <row r="266" customFormat="false" ht="15" hidden="false" customHeight="false" outlineLevel="0" collapsed="false">
      <c r="A266" s="7" t="s">
        <v>460</v>
      </c>
      <c r="B266" s="7" t="s">
        <v>461</v>
      </c>
      <c r="C266" s="8" t="s">
        <v>463</v>
      </c>
      <c r="D266" s="9" t="n">
        <v>46142</v>
      </c>
      <c r="E266" s="9" t="n">
        <v>46183</v>
      </c>
      <c r="F266" s="10" t="n">
        <v>100</v>
      </c>
      <c r="G266" s="11" t="n">
        <f aca="false">IF(OR(D266="",E266="",E266&lt;=D266),"",MIN(100,MAX(0,(Parametros!$B$3-D266)/(E266-D266)*100)))</f>
        <v>100</v>
      </c>
      <c r="H266" s="12" t="n">
        <f aca="false">IF(G266="","",G266-F266)</f>
        <v>0</v>
      </c>
      <c r="I266" s="13" t="str">
        <f aca="false">IF(K266="Finalizado","Verde",IF(G266="","Amarillo",IF(H266&lt;=Parametros!$B$4,"Verde",IF(H266&lt;=Parametros!$B$5,"Amarillo","Rojo"))))</f>
        <v>Verde</v>
      </c>
      <c r="J266" s="14" t="str">
        <f aca="false">IF(K266="Finalizado","Completado",IF(G266="","Sin fecha válida - revisar plazos",IF(H266&lt;=Parametros!$B$4,"En tiempo, según lo planificado",IF(H266&lt;=Parametros!$B$5,"Atraso leve - seguimiento cercano ("&amp;TEXT(H266,"0.0")&amp;" p.p.)","Atraso crítico - requiere intervención ("&amp;TEXT(H266,"0.0")&amp;" p.p.)"))))</f>
        <v>Completado</v>
      </c>
      <c r="K266" s="7" t="s">
        <v>38</v>
      </c>
      <c r="L266" s="7"/>
      <c r="M266" s="7" t="s">
        <v>445</v>
      </c>
      <c r="N266" s="7" t="s">
        <v>51</v>
      </c>
      <c r="O266" s="13" t="n">
        <f aca="false">IF(AND(E266&lt;&gt;"",YEAR(E266)=YEAR(Parametros!$B$3),MONTH(E266)&gt;=10),1,0)</f>
        <v>0</v>
      </c>
      <c r="P266" s="13" t="n">
        <f aca="false">IF(AND(E266&lt;Parametros!$B$3,K266&lt;&gt;"Finalizado"),1,0)</f>
        <v>0</v>
      </c>
      <c r="Q266" s="13" t="n">
        <f aca="false">IF(AND(E266&gt;=Parametros!$B$3,E266&lt;=Parametros!$B$3+30,K266&lt;&gt;"Finalizado"),1,0)</f>
        <v>0</v>
      </c>
    </row>
    <row r="267" customFormat="false" ht="15" hidden="false" customHeight="false" outlineLevel="0" collapsed="false">
      <c r="A267" s="7" t="s">
        <v>460</v>
      </c>
      <c r="B267" s="7" t="s">
        <v>461</v>
      </c>
      <c r="C267" s="8" t="s">
        <v>464</v>
      </c>
      <c r="D267" s="9" t="n">
        <v>46183</v>
      </c>
      <c r="E267" s="9" t="n">
        <v>46418</v>
      </c>
      <c r="F267" s="10" t="n">
        <v>0</v>
      </c>
      <c r="G267" s="11" t="n">
        <f aca="false">IF(OR(D267="",E267="",E267&lt;=D267),"",MIN(100,MAX(0,(Parametros!$B$3-D267)/(E267-D267)*100)))</f>
        <v>31.9148936170213</v>
      </c>
      <c r="H267" s="12" t="n">
        <f aca="false">IF(G267="","",G267-F267)</f>
        <v>31.9148936170213</v>
      </c>
      <c r="I267" s="13" t="str">
        <f aca="false">IF(K267="Finalizado","Verde",IF(G267="","Amarillo",IF(H267&lt;=Parametros!$B$4,"Verde",IF(H267&lt;=Parametros!$B$5,"Amarillo","Rojo"))))</f>
        <v>Rojo</v>
      </c>
      <c r="J267" s="14" t="str">
        <f aca="false">IF(K267="Finalizado","Completado",IF(G267="","Sin fecha válida - revisar plazos",IF(H267&lt;=Parametros!$B$4,"En tiempo, según lo planificado",IF(H267&lt;=Parametros!$B$5,"Atraso leve - seguimiento cercano ("&amp;TEXT(H267,"0.0")&amp;" p.p.)","Atraso crítico - requiere intervención ("&amp;TEXT(H267,"0.0")&amp;" p.p.)"))))</f>
        <v>Atraso crítico - requiere intervención (31.9 p.p.)</v>
      </c>
      <c r="K267" s="7" t="s">
        <v>100</v>
      </c>
      <c r="L267" s="7"/>
      <c r="M267" s="7" t="s">
        <v>445</v>
      </c>
      <c r="N267" s="7" t="s">
        <v>51</v>
      </c>
      <c r="O267" s="13" t="n">
        <f aca="false">IF(AND(E267&lt;&gt;"",YEAR(E267)=YEAR(Parametros!$B$3),MONTH(E267)&gt;=10),1,0)</f>
        <v>0</v>
      </c>
      <c r="P267" s="13" t="n">
        <f aca="false">IF(AND(E267&lt;Parametros!$B$3,K267&lt;&gt;"Finalizado"),1,0)</f>
        <v>0</v>
      </c>
      <c r="Q267" s="13" t="n">
        <f aca="false">IF(AND(E267&gt;=Parametros!$B$3,E267&lt;=Parametros!$B$3+30,K267&lt;&gt;"Finalizado"),1,0)</f>
        <v>0</v>
      </c>
    </row>
    <row r="268" customFormat="false" ht="15" hidden="false" customHeight="false" outlineLevel="0" collapsed="false">
      <c r="A268" s="7" t="s">
        <v>460</v>
      </c>
      <c r="B268" s="7" t="s">
        <v>461</v>
      </c>
      <c r="C268" s="7" t="s">
        <v>465</v>
      </c>
      <c r="D268" s="9" t="n">
        <v>46087</v>
      </c>
      <c r="E268" s="9" t="n">
        <v>46477</v>
      </c>
      <c r="F268" s="10" t="n">
        <v>60</v>
      </c>
      <c r="G268" s="11" t="n">
        <f aca="false">IF(OR(D268="",E268="",E268&lt;=D268),"",MIN(100,MAX(0,(Parametros!$B$3-D268)/(E268-D268)*100)))</f>
        <v>43.8461538461539</v>
      </c>
      <c r="H268" s="12" t="n">
        <f aca="false">IF(G268="","",G268-F268)</f>
        <v>-16.1538461538462</v>
      </c>
      <c r="I268" s="13" t="str">
        <f aca="false">IF(K268="Finalizado","Verde",IF(G268="","Amarillo",IF(H268&lt;=Parametros!$B$4,"Verde",IF(H268&lt;=Parametros!$B$5,"Amarillo","Rojo"))))</f>
        <v>Verde</v>
      </c>
      <c r="J268" s="14" t="str">
        <f aca="false">IF(K268="Finalizado","Completado",IF(G268="","Sin fecha válida - revisar plazos",IF(H268&lt;=Parametros!$B$4,"En tiempo, según lo planificado",IF(H268&lt;=Parametros!$B$5,"Atraso leve - seguimiento cercano ("&amp;TEXT(H268,"0.0")&amp;" p.p.)","Atraso crítico - requiere intervención ("&amp;TEXT(H268,"0.0")&amp;" p.p.)"))))</f>
        <v>En tiempo, según lo planificado</v>
      </c>
      <c r="K268" s="7" t="s">
        <v>73</v>
      </c>
      <c r="L268" s="7" t="s">
        <v>466</v>
      </c>
      <c r="M268" s="7" t="s">
        <v>445</v>
      </c>
      <c r="N268" s="7" t="s">
        <v>51</v>
      </c>
      <c r="O268" s="13" t="n">
        <f aca="false">IF(AND(E268&lt;&gt;"",YEAR(E268)=YEAR(Parametros!$B$3),MONTH(E268)&gt;=10),1,0)</f>
        <v>0</v>
      </c>
      <c r="P268" s="13" t="n">
        <f aca="false">IF(AND(E268&lt;Parametros!$B$3,K268&lt;&gt;"Finalizado"),1,0)</f>
        <v>0</v>
      </c>
      <c r="Q268" s="13" t="n">
        <f aca="false">IF(AND(E268&gt;=Parametros!$B$3,E268&lt;=Parametros!$B$3+30,K268&lt;&gt;"Finalizado"),1,0)</f>
        <v>0</v>
      </c>
    </row>
    <row r="269" customFormat="false" ht="15" hidden="false" customHeight="false" outlineLevel="0" collapsed="false">
      <c r="A269" s="7" t="s">
        <v>467</v>
      </c>
      <c r="B269" s="7" t="s">
        <v>468</v>
      </c>
      <c r="C269" s="7" t="s">
        <v>469</v>
      </c>
      <c r="D269" s="9" t="n">
        <v>46143</v>
      </c>
      <c r="E269" s="9" t="n">
        <v>46357</v>
      </c>
      <c r="F269" s="10" t="n">
        <v>0</v>
      </c>
      <c r="G269" s="11" t="n">
        <f aca="false">IF(OR(D269="",E269="",E269&lt;=D269),"",MIN(100,MAX(0,(Parametros!$B$3-D269)/(E269-D269)*100)))</f>
        <v>53.7383177570094</v>
      </c>
      <c r="H269" s="12" t="n">
        <f aca="false">IF(G269="","",G269-F269)</f>
        <v>53.7383177570094</v>
      </c>
      <c r="I269" s="13" t="str">
        <f aca="false">IF(K269="Finalizado","Verde",IF(G269="","Amarillo",IF(H269&lt;=Parametros!$B$4,"Verde",IF(H269&lt;=Parametros!$B$5,"Amarillo","Rojo"))))</f>
        <v>Rojo</v>
      </c>
      <c r="J269" s="14" t="str">
        <f aca="false">IF(K269="Finalizado","Completado",IF(G269="","Sin fecha válida - revisar plazos",IF(H269&lt;=Parametros!$B$4,"En tiempo, según lo planificado",IF(H269&lt;=Parametros!$B$5,"Atraso leve - seguimiento cercano ("&amp;TEXT(H269,"0.0")&amp;" p.p.)","Atraso crítico - requiere intervención ("&amp;TEXT(H269,"0.0")&amp;" p.p.)"))))</f>
        <v>Atraso crítico - requiere intervención (53.7 p.p.)</v>
      </c>
      <c r="K269" s="7" t="s">
        <v>100</v>
      </c>
      <c r="L269" s="7" t="s">
        <v>470</v>
      </c>
      <c r="M269" s="7" t="s">
        <v>445</v>
      </c>
      <c r="N269" s="7" t="s">
        <v>51</v>
      </c>
      <c r="O269" s="13" t="n">
        <f aca="false">IF(AND(E269&lt;&gt;"",YEAR(E269)=YEAR(Parametros!$B$3),MONTH(E269)&gt;=10),1,0)</f>
        <v>1</v>
      </c>
      <c r="P269" s="13" t="n">
        <f aca="false">IF(AND(E269&lt;Parametros!$B$3,K269&lt;&gt;"Finalizado"),1,0)</f>
        <v>0</v>
      </c>
      <c r="Q269" s="13" t="n">
        <f aca="false">IF(AND(E269&gt;=Parametros!$B$3,E269&lt;=Parametros!$B$3+30,K269&lt;&gt;"Finalizado"),1,0)</f>
        <v>0</v>
      </c>
    </row>
    <row r="270" customFormat="false" ht="15" hidden="false" customHeight="false" outlineLevel="0" collapsed="false">
      <c r="A270" s="7" t="s">
        <v>467</v>
      </c>
      <c r="B270" s="7" t="s">
        <v>468</v>
      </c>
      <c r="C270" s="8" t="s">
        <v>471</v>
      </c>
      <c r="D270" s="9" t="n">
        <v>46173</v>
      </c>
      <c r="E270" s="9" t="n">
        <v>46357</v>
      </c>
      <c r="F270" s="10" t="n">
        <v>30</v>
      </c>
      <c r="G270" s="11" t="n">
        <f aca="false">IF(OR(D270="",E270="",E270&lt;=D270),"",MIN(100,MAX(0,(Parametros!$B$3-D270)/(E270-D270)*100)))</f>
        <v>46.1956521739131</v>
      </c>
      <c r="H270" s="12" t="n">
        <f aca="false">IF(G270="","",G270-F270)</f>
        <v>16.195652173913</v>
      </c>
      <c r="I270" s="13" t="str">
        <f aca="false">IF(K270="Finalizado","Verde",IF(G270="","Amarillo",IF(H270&lt;=Parametros!$B$4,"Verde",IF(H270&lt;=Parametros!$B$5,"Amarillo","Rojo"))))</f>
        <v>Amarillo</v>
      </c>
      <c r="J270" s="14" t="str">
        <f aca="false">IF(K270="Finalizado","Completado",IF(G270="","Sin fecha válida - revisar plazos",IF(H270&lt;=Parametros!$B$4,"En tiempo, según lo planificado",IF(H270&lt;=Parametros!$B$5,"Atraso leve - seguimiento cercano ("&amp;TEXT(H270,"0.0")&amp;" p.p.)","Atraso crítico - requiere intervención ("&amp;TEXT(H270,"0.0")&amp;" p.p.)"))))</f>
        <v>Atraso leve - seguimiento cercano (16.2 p.p.)</v>
      </c>
      <c r="K270" s="7" t="s">
        <v>73</v>
      </c>
      <c r="L270" s="7"/>
      <c r="M270" s="7" t="s">
        <v>445</v>
      </c>
      <c r="N270" s="7" t="s">
        <v>51</v>
      </c>
      <c r="O270" s="13" t="n">
        <f aca="false">IF(AND(E270&lt;&gt;"",YEAR(E270)=YEAR(Parametros!$B$3),MONTH(E270)&gt;=10),1,0)</f>
        <v>1</v>
      </c>
      <c r="P270" s="13" t="n">
        <f aca="false">IF(AND(E270&lt;Parametros!$B$3,K270&lt;&gt;"Finalizado"),1,0)</f>
        <v>0</v>
      </c>
      <c r="Q270" s="13" t="n">
        <f aca="false">IF(AND(E270&gt;=Parametros!$B$3,E270&lt;=Parametros!$B$3+30,K270&lt;&gt;"Finalizado"),1,0)</f>
        <v>0</v>
      </c>
    </row>
    <row r="271" customFormat="false" ht="15" hidden="false" customHeight="false" outlineLevel="0" collapsed="false">
      <c r="A271" s="7" t="s">
        <v>467</v>
      </c>
      <c r="B271" s="7" t="s">
        <v>468</v>
      </c>
      <c r="C271" s="8" t="s">
        <v>472</v>
      </c>
      <c r="D271" s="9" t="n">
        <v>46174</v>
      </c>
      <c r="E271" s="9" t="n">
        <v>46203</v>
      </c>
      <c r="F271" s="10" t="n">
        <v>60</v>
      </c>
      <c r="G271" s="11" t="n">
        <f aca="false">IF(OR(D271="",E271="",E271&lt;=D271),"",MIN(100,MAX(0,(Parametros!$B$3-D271)/(E271-D271)*100)))</f>
        <v>100</v>
      </c>
      <c r="H271" s="12" t="n">
        <f aca="false">IF(G271="","",G271-F271)</f>
        <v>40</v>
      </c>
      <c r="I271" s="13" t="str">
        <f aca="false">IF(K271="Finalizado","Verde",IF(G271="","Amarillo",IF(H271&lt;=Parametros!$B$4,"Verde",IF(H271&lt;=Parametros!$B$5,"Amarillo","Rojo"))))</f>
        <v>Rojo</v>
      </c>
      <c r="J271" s="14" t="str">
        <f aca="false">IF(K271="Finalizado","Completado",IF(G271="","Sin fecha válida - revisar plazos",IF(H271&lt;=Parametros!$B$4,"En tiempo, según lo planificado",IF(H271&lt;=Parametros!$B$5,"Atraso leve - seguimiento cercano ("&amp;TEXT(H271,"0.0")&amp;" p.p.)","Atraso crítico - requiere intervención ("&amp;TEXT(H271,"0.0")&amp;" p.p.)"))))</f>
        <v>Atraso crítico - requiere intervención (40.0 p.p.)</v>
      </c>
      <c r="K271" s="7" t="s">
        <v>73</v>
      </c>
      <c r="L271" s="7"/>
      <c r="M271" s="7" t="s">
        <v>445</v>
      </c>
      <c r="N271" s="7" t="s">
        <v>51</v>
      </c>
      <c r="O271" s="13" t="n">
        <f aca="false">IF(AND(E271&lt;&gt;"",YEAR(E271)=YEAR(Parametros!$B$3),MONTH(E271)&gt;=10),1,0)</f>
        <v>0</v>
      </c>
      <c r="P271" s="13" t="n">
        <f aca="false">IF(AND(E271&lt;Parametros!$B$3,K271&lt;&gt;"Finalizado"),1,0)</f>
        <v>1</v>
      </c>
      <c r="Q271" s="13" t="n">
        <f aca="false">IF(AND(E271&gt;=Parametros!$B$3,E271&lt;=Parametros!$B$3+30,K271&lt;&gt;"Finalizado"),1,0)</f>
        <v>0</v>
      </c>
    </row>
    <row r="272" customFormat="false" ht="15" hidden="false" customHeight="false" outlineLevel="0" collapsed="false">
      <c r="A272" s="7" t="s">
        <v>467</v>
      </c>
      <c r="B272" s="7" t="s">
        <v>468</v>
      </c>
      <c r="C272" s="7" t="s">
        <v>473</v>
      </c>
      <c r="D272" s="9" t="n">
        <v>46234</v>
      </c>
      <c r="E272" s="9" t="n">
        <v>46387</v>
      </c>
      <c r="F272" s="10" t="n">
        <v>65</v>
      </c>
      <c r="G272" s="11" t="n">
        <f aca="false">IF(OR(D272="",E272="",E272&lt;=D272),"",MIN(100,MAX(0,(Parametros!$B$3-D272)/(E272-D272)*100)))</f>
        <v>15.6862745098039</v>
      </c>
      <c r="H272" s="12" t="n">
        <f aca="false">IF(G272="","",G272-F272)</f>
        <v>-49.3137254901961</v>
      </c>
      <c r="I272" s="13" t="str">
        <f aca="false">IF(K272="Finalizado","Verde",IF(G272="","Amarillo",IF(H272&lt;=Parametros!$B$4,"Verde",IF(H272&lt;=Parametros!$B$5,"Amarillo","Rojo"))))</f>
        <v>Verde</v>
      </c>
      <c r="J272" s="14" t="str">
        <f aca="false">IF(K272="Finalizado","Completado",IF(G272="","Sin fecha válida - revisar plazos",IF(H272&lt;=Parametros!$B$4,"En tiempo, según lo planificado",IF(H272&lt;=Parametros!$B$5,"Atraso leve - seguimiento cercano ("&amp;TEXT(H272,"0.0")&amp;" p.p.)","Atraso crítico - requiere intervención ("&amp;TEXT(H272,"0.0")&amp;" p.p.)"))))</f>
        <v>En tiempo, según lo planificado</v>
      </c>
      <c r="K272" s="7" t="s">
        <v>73</v>
      </c>
      <c r="L272" s="7"/>
      <c r="M272" s="7" t="s">
        <v>445</v>
      </c>
      <c r="N272" s="7" t="s">
        <v>189</v>
      </c>
      <c r="O272" s="13" t="n">
        <f aca="false">IF(AND(E272&lt;&gt;"",YEAR(E272)=YEAR(Parametros!$B$3),MONTH(E272)&gt;=10),1,0)</f>
        <v>1</v>
      </c>
      <c r="P272" s="13" t="n">
        <f aca="false">IF(AND(E272&lt;Parametros!$B$3,K272&lt;&gt;"Finalizado"),1,0)</f>
        <v>0</v>
      </c>
      <c r="Q272" s="13" t="n">
        <f aca="false">IF(AND(E272&gt;=Parametros!$B$3,E272&lt;=Parametros!$B$3+30,K272&lt;&gt;"Finalizado"),1,0)</f>
        <v>0</v>
      </c>
    </row>
    <row r="273" customFormat="false" ht="15" hidden="false" customHeight="false" outlineLevel="0" collapsed="false">
      <c r="A273" s="7" t="s">
        <v>474</v>
      </c>
      <c r="B273" s="7" t="s">
        <v>475</v>
      </c>
      <c r="C273" s="7" t="s">
        <v>476</v>
      </c>
      <c r="D273" s="9" t="n">
        <v>46328</v>
      </c>
      <c r="E273" s="9" t="n">
        <v>46387</v>
      </c>
      <c r="F273" s="10" t="n">
        <v>0</v>
      </c>
      <c r="G273" s="11" t="n">
        <f aca="false">IF(OR(D273="",E273="",E273&lt;=D273),"",MIN(100,MAX(0,(Parametros!$B$3-D273)/(E273-D273)*100)))</f>
        <v>0</v>
      </c>
      <c r="H273" s="12" t="n">
        <f aca="false">IF(G273="","",G273-F273)</f>
        <v>0</v>
      </c>
      <c r="I273" s="13" t="str">
        <f aca="false">IF(K273="Finalizado","Verde",IF(G273="","Amarillo",IF(H273&lt;=Parametros!$B$4,"Verde",IF(H273&lt;=Parametros!$B$5,"Amarillo","Rojo"))))</f>
        <v>Verde</v>
      </c>
      <c r="J273" s="14" t="str">
        <f aca="false">IF(K273="Finalizado","Completado",IF(G273="","Sin fecha válida - revisar plazos",IF(H273&lt;=Parametros!$B$4,"En tiempo, según lo planificado",IF(H273&lt;=Parametros!$B$5,"Atraso leve - seguimiento cercano ("&amp;TEXT(H273,"0.0")&amp;" p.p.)","Atraso crítico - requiere intervención ("&amp;TEXT(H273,"0.0")&amp;" p.p.)"))))</f>
        <v>En tiempo, según lo planificado</v>
      </c>
      <c r="K273" s="7" t="s">
        <v>100</v>
      </c>
      <c r="L273" s="7"/>
      <c r="M273" s="7" t="s">
        <v>445</v>
      </c>
      <c r="N273" s="7" t="s">
        <v>51</v>
      </c>
      <c r="O273" s="13" t="n">
        <f aca="false">IF(AND(E273&lt;&gt;"",YEAR(E273)=YEAR(Parametros!$B$3),MONTH(E273)&gt;=10),1,0)</f>
        <v>1</v>
      </c>
      <c r="P273" s="13" t="n">
        <f aca="false">IF(AND(E273&lt;Parametros!$B$3,K273&lt;&gt;"Finalizado"),1,0)</f>
        <v>0</v>
      </c>
      <c r="Q273" s="13" t="n">
        <f aca="false">IF(AND(E273&gt;=Parametros!$B$3,E273&lt;=Parametros!$B$3+30,K273&lt;&gt;"Finalizado"),1,0)</f>
        <v>0</v>
      </c>
    </row>
    <row r="274" customFormat="false" ht="15" hidden="false" customHeight="false" outlineLevel="0" collapsed="false">
      <c r="A274" s="7" t="s">
        <v>474</v>
      </c>
      <c r="B274" s="7" t="s">
        <v>475</v>
      </c>
      <c r="C274" s="7" t="s">
        <v>453</v>
      </c>
      <c r="D274" s="9" t="n">
        <v>46022</v>
      </c>
      <c r="E274" s="9" t="n">
        <v>46072</v>
      </c>
      <c r="F274" s="10" t="n">
        <v>100</v>
      </c>
      <c r="G274" s="11" t="n">
        <f aca="false">IF(OR(D274="",E274="",E274&lt;=D274),"",MIN(100,MAX(0,(Parametros!$B$3-D274)/(E274-D274)*100)))</f>
        <v>100</v>
      </c>
      <c r="H274" s="12" t="n">
        <f aca="false">IF(G274="","",G274-F274)</f>
        <v>0</v>
      </c>
      <c r="I274" s="13" t="str">
        <f aca="false">IF(K274="Finalizado","Verde",IF(G274="","Amarillo",IF(H274&lt;=Parametros!$B$4,"Verde",IF(H274&lt;=Parametros!$B$5,"Amarillo","Rojo"))))</f>
        <v>Verde</v>
      </c>
      <c r="J274" s="14" t="str">
        <f aca="false">IF(K274="Finalizado","Completado",IF(G274="","Sin fecha válida - revisar plazos",IF(H274&lt;=Parametros!$B$4,"En tiempo, según lo planificado",IF(H274&lt;=Parametros!$B$5,"Atraso leve - seguimiento cercano ("&amp;TEXT(H274,"0.0")&amp;" p.p.)","Atraso crítico - requiere intervención ("&amp;TEXT(H274,"0.0")&amp;" p.p.)"))))</f>
        <v>Completado</v>
      </c>
      <c r="K274" s="7" t="s">
        <v>38</v>
      </c>
      <c r="L274" s="7"/>
      <c r="M274" s="7" t="s">
        <v>445</v>
      </c>
      <c r="N274" s="7" t="s">
        <v>51</v>
      </c>
      <c r="O274" s="13" t="n">
        <f aca="false">IF(AND(E274&lt;&gt;"",YEAR(E274)=YEAR(Parametros!$B$3),MONTH(E274)&gt;=10),1,0)</f>
        <v>0</v>
      </c>
      <c r="P274" s="13" t="n">
        <f aca="false">IF(AND(E274&lt;Parametros!$B$3,K274&lt;&gt;"Finalizado"),1,0)</f>
        <v>0</v>
      </c>
      <c r="Q274" s="13" t="n">
        <f aca="false">IF(AND(E274&gt;=Parametros!$B$3,E274&lt;=Parametros!$B$3+30,K274&lt;&gt;"Finalizado"),1,0)</f>
        <v>0</v>
      </c>
    </row>
    <row r="275" customFormat="false" ht="15" hidden="false" customHeight="false" outlineLevel="0" collapsed="false">
      <c r="A275" s="7" t="s">
        <v>474</v>
      </c>
      <c r="B275" s="7" t="s">
        <v>475</v>
      </c>
      <c r="C275" s="7" t="s">
        <v>477</v>
      </c>
      <c r="D275" s="9" t="n">
        <v>46266</v>
      </c>
      <c r="E275" s="9" t="n">
        <v>46356</v>
      </c>
      <c r="F275" s="10" t="n">
        <v>0</v>
      </c>
      <c r="G275" s="11" t="n">
        <f aca="false">IF(OR(D275="",E275="",E275&lt;=D275),"",MIN(100,MAX(0,(Parametros!$B$3-D275)/(E275-D275)*100)))</f>
        <v>0</v>
      </c>
      <c r="H275" s="12" t="n">
        <f aca="false">IF(G275="","",G275-F275)</f>
        <v>0</v>
      </c>
      <c r="I275" s="13" t="str">
        <f aca="false">IF(K275="Finalizado","Verde",IF(G275="","Amarillo",IF(H275&lt;=Parametros!$B$4,"Verde",IF(H275&lt;=Parametros!$B$5,"Amarillo","Rojo"))))</f>
        <v>Verde</v>
      </c>
      <c r="J275" s="14" t="str">
        <f aca="false">IF(K275="Finalizado","Completado",IF(G275="","Sin fecha válida - revisar plazos",IF(H275&lt;=Parametros!$B$4,"En tiempo, según lo planificado",IF(H275&lt;=Parametros!$B$5,"Atraso leve - seguimiento cercano ("&amp;TEXT(H275,"0.0")&amp;" p.p.)","Atraso crítico - requiere intervención ("&amp;TEXT(H275,"0.0")&amp;" p.p.)"))))</f>
        <v>En tiempo, según lo planificado</v>
      </c>
      <c r="K275" s="7" t="s">
        <v>100</v>
      </c>
      <c r="L275" s="7"/>
      <c r="M275" s="7" t="s">
        <v>445</v>
      </c>
      <c r="N275" s="7" t="s">
        <v>51</v>
      </c>
      <c r="O275" s="13" t="n">
        <f aca="false">IF(AND(E275&lt;&gt;"",YEAR(E275)=YEAR(Parametros!$B$3),MONTH(E275)&gt;=10),1,0)</f>
        <v>1</v>
      </c>
      <c r="P275" s="13" t="n">
        <f aca="false">IF(AND(E275&lt;Parametros!$B$3,K275&lt;&gt;"Finalizado"),1,0)</f>
        <v>0</v>
      </c>
      <c r="Q275" s="13" t="n">
        <f aca="false">IF(AND(E275&gt;=Parametros!$B$3,E275&lt;=Parametros!$B$3+30,K275&lt;&gt;"Finalizado"),1,0)</f>
        <v>0</v>
      </c>
    </row>
    <row r="276" customFormat="false" ht="15" hidden="false" customHeight="false" outlineLevel="0" collapsed="false">
      <c r="A276" s="7" t="s">
        <v>474</v>
      </c>
      <c r="B276" s="7" t="s">
        <v>475</v>
      </c>
      <c r="C276" s="7" t="s">
        <v>478</v>
      </c>
      <c r="D276" s="9" t="n">
        <v>46296</v>
      </c>
      <c r="E276" s="9" t="n">
        <v>46370</v>
      </c>
      <c r="F276" s="10" t="n">
        <v>0</v>
      </c>
      <c r="G276" s="11" t="n">
        <f aca="false">IF(OR(D276="",E276="",E276&lt;=D276),"",MIN(100,MAX(0,(Parametros!$B$3-D276)/(E276-D276)*100)))</f>
        <v>0</v>
      </c>
      <c r="H276" s="12" t="n">
        <f aca="false">IF(G276="","",G276-F276)</f>
        <v>0</v>
      </c>
      <c r="I276" s="13" t="str">
        <f aca="false">IF(K276="Finalizado","Verde",IF(G276="","Amarillo",IF(H276&lt;=Parametros!$B$4,"Verde",IF(H276&lt;=Parametros!$B$5,"Amarillo","Rojo"))))</f>
        <v>Verde</v>
      </c>
      <c r="J276" s="14" t="str">
        <f aca="false">IF(K276="Finalizado","Completado",IF(G276="","Sin fecha válida - revisar plazos",IF(H276&lt;=Parametros!$B$4,"En tiempo, según lo planificado",IF(H276&lt;=Parametros!$B$5,"Atraso leve - seguimiento cercano ("&amp;TEXT(H276,"0.0")&amp;" p.p.)","Atraso crítico - requiere intervención ("&amp;TEXT(H276,"0.0")&amp;" p.p.)"))))</f>
        <v>En tiempo, según lo planificado</v>
      </c>
      <c r="K276" s="7" t="s">
        <v>100</v>
      </c>
      <c r="L276" s="7"/>
      <c r="M276" s="7" t="s">
        <v>445</v>
      </c>
      <c r="N276" s="7" t="s">
        <v>51</v>
      </c>
      <c r="O276" s="13" t="n">
        <f aca="false">IF(AND(E276&lt;&gt;"",YEAR(E276)=YEAR(Parametros!$B$3),MONTH(E276)&gt;=10),1,0)</f>
        <v>1</v>
      </c>
      <c r="P276" s="13" t="n">
        <f aca="false">IF(AND(E276&lt;Parametros!$B$3,K276&lt;&gt;"Finalizado"),1,0)</f>
        <v>0</v>
      </c>
      <c r="Q276" s="13" t="n">
        <f aca="false">IF(AND(E276&gt;=Parametros!$B$3,E276&lt;=Parametros!$B$3+30,K276&lt;&gt;"Finalizado"),1,0)</f>
        <v>0</v>
      </c>
    </row>
    <row r="277" customFormat="false" ht="15" hidden="false" customHeight="false" outlineLevel="0" collapsed="false">
      <c r="A277" s="7" t="s">
        <v>474</v>
      </c>
      <c r="B277" s="7" t="s">
        <v>475</v>
      </c>
      <c r="C277" s="7" t="s">
        <v>479</v>
      </c>
      <c r="D277" s="9" t="n">
        <v>46266</v>
      </c>
      <c r="E277" s="9" t="n">
        <v>46356</v>
      </c>
      <c r="F277" s="10" t="n">
        <v>0</v>
      </c>
      <c r="G277" s="11" t="n">
        <f aca="false">IF(OR(D277="",E277="",E277&lt;=D277),"",MIN(100,MAX(0,(Parametros!$B$3-D277)/(E277-D277)*100)))</f>
        <v>0</v>
      </c>
      <c r="H277" s="12" t="n">
        <f aca="false">IF(G277="","",G277-F277)</f>
        <v>0</v>
      </c>
      <c r="I277" s="13" t="str">
        <f aca="false">IF(K277="Finalizado","Verde",IF(G277="","Amarillo",IF(H277&lt;=Parametros!$B$4,"Verde",IF(H277&lt;=Parametros!$B$5,"Amarillo","Rojo"))))</f>
        <v>Verde</v>
      </c>
      <c r="J277" s="14" t="str">
        <f aca="false">IF(K277="Finalizado","Completado",IF(G277="","Sin fecha válida - revisar plazos",IF(H277&lt;=Parametros!$B$4,"En tiempo, según lo planificado",IF(H277&lt;=Parametros!$B$5,"Atraso leve - seguimiento cercano ("&amp;TEXT(H277,"0.0")&amp;" p.p.)","Atraso crítico - requiere intervención ("&amp;TEXT(H277,"0.0")&amp;" p.p.)"))))</f>
        <v>En tiempo, según lo planificado</v>
      </c>
      <c r="K277" s="7" t="s">
        <v>100</v>
      </c>
      <c r="L277" s="7"/>
      <c r="M277" s="7" t="s">
        <v>445</v>
      </c>
      <c r="N277" s="7" t="s">
        <v>51</v>
      </c>
      <c r="O277" s="13" t="n">
        <f aca="false">IF(AND(E277&lt;&gt;"",YEAR(E277)=YEAR(Parametros!$B$3),MONTH(E277)&gt;=10),1,0)</f>
        <v>1</v>
      </c>
      <c r="P277" s="13" t="n">
        <f aca="false">IF(AND(E277&lt;Parametros!$B$3,K277&lt;&gt;"Finalizado"),1,0)</f>
        <v>0</v>
      </c>
      <c r="Q277" s="13" t="n">
        <f aca="false">IF(AND(E277&gt;=Parametros!$B$3,E277&lt;=Parametros!$B$3+30,K277&lt;&gt;"Finalizado"),1,0)</f>
        <v>0</v>
      </c>
    </row>
    <row r="278" customFormat="false" ht="15" hidden="false" customHeight="false" outlineLevel="0" collapsed="false">
      <c r="A278" s="7" t="s">
        <v>474</v>
      </c>
      <c r="B278" s="7" t="s">
        <v>475</v>
      </c>
      <c r="C278" s="7" t="s">
        <v>480</v>
      </c>
      <c r="D278" s="9" t="n">
        <v>46082</v>
      </c>
      <c r="E278" s="9" t="n">
        <v>46265</v>
      </c>
      <c r="F278" s="10" t="n">
        <v>95</v>
      </c>
      <c r="G278" s="11" t="n">
        <f aca="false">IF(OR(D278="",E278="",E278&lt;=D278),"",MIN(100,MAX(0,(Parametros!$B$3-D278)/(E278-D278)*100)))</f>
        <v>96.1748633879781</v>
      </c>
      <c r="H278" s="12" t="n">
        <f aca="false">IF(G278="","",G278-F278)</f>
        <v>1.17486338797814</v>
      </c>
      <c r="I278" s="13" t="str">
        <f aca="false">IF(K278="Finalizado","Verde",IF(G278="","Amarillo",IF(H278&lt;=Parametros!$B$4,"Verde",IF(H278&lt;=Parametros!$B$5,"Amarillo","Rojo"))))</f>
        <v>Verde</v>
      </c>
      <c r="J278" s="14" t="str">
        <f aca="false">IF(K278="Finalizado","Completado",IF(G278="","Sin fecha válida - revisar plazos",IF(H278&lt;=Parametros!$B$4,"En tiempo, según lo planificado",IF(H278&lt;=Parametros!$B$5,"Atraso leve - seguimiento cercano ("&amp;TEXT(H278,"0.0")&amp;" p.p.)","Atraso crítico - requiere intervención ("&amp;TEXT(H278,"0.0")&amp;" p.p.)"))))</f>
        <v>En tiempo, según lo planificado</v>
      </c>
      <c r="K278" s="7" t="s">
        <v>27</v>
      </c>
      <c r="L278" s="7" t="s">
        <v>454</v>
      </c>
      <c r="M278" s="7" t="s">
        <v>445</v>
      </c>
      <c r="N278" s="7" t="s">
        <v>51</v>
      </c>
      <c r="O278" s="13" t="n">
        <f aca="false">IF(AND(E278&lt;&gt;"",YEAR(E278)=YEAR(Parametros!$B$3),MONTH(E278)&gt;=10),1,0)</f>
        <v>0</v>
      </c>
      <c r="P278" s="13" t="n">
        <f aca="false">IF(AND(E278&lt;Parametros!$B$3,K278&lt;&gt;"Finalizado"),1,0)</f>
        <v>0</v>
      </c>
      <c r="Q278" s="13" t="n">
        <f aca="false">IF(AND(E278&gt;=Parametros!$B$3,E278&lt;=Parametros!$B$3+30,K278&lt;&gt;"Finalizado"),1,0)</f>
        <v>1</v>
      </c>
    </row>
    <row r="279" customFormat="false" ht="15" hidden="false" customHeight="false" outlineLevel="0" collapsed="false">
      <c r="A279" s="7" t="s">
        <v>481</v>
      </c>
      <c r="B279" s="7" t="s">
        <v>482</v>
      </c>
      <c r="C279" s="7" t="s">
        <v>483</v>
      </c>
      <c r="D279" s="9" t="n">
        <v>46188</v>
      </c>
      <c r="E279" s="9" t="n">
        <v>46310</v>
      </c>
      <c r="F279" s="10" t="n">
        <v>0</v>
      </c>
      <c r="G279" s="11" t="n">
        <f aca="false">IF(OR(D279="",E279="",E279&lt;=D279),"",MIN(100,MAX(0,(Parametros!$B$3-D279)/(E279-D279)*100)))</f>
        <v>57.3770491803279</v>
      </c>
      <c r="H279" s="12" t="n">
        <f aca="false">IF(G279="","",G279-F279)</f>
        <v>57.3770491803279</v>
      </c>
      <c r="I279" s="13" t="str">
        <f aca="false">IF(K279="Finalizado","Verde",IF(G279="","Amarillo",IF(H279&lt;=Parametros!$B$4,"Verde",IF(H279&lt;=Parametros!$B$5,"Amarillo","Rojo"))))</f>
        <v>Rojo</v>
      </c>
      <c r="J279" s="14" t="str">
        <f aca="false">IF(K279="Finalizado","Completado",IF(G279="","Sin fecha válida - revisar plazos",IF(H279&lt;=Parametros!$B$4,"En tiempo, según lo planificado",IF(H279&lt;=Parametros!$B$5,"Atraso leve - seguimiento cercano ("&amp;TEXT(H279,"0.0")&amp;" p.p.)","Atraso crítico - requiere intervención ("&amp;TEXT(H279,"0.0")&amp;" p.p.)"))))</f>
        <v>Atraso crítico - requiere intervención (57.4 p.p.)</v>
      </c>
      <c r="K279" s="7" t="s">
        <v>73</v>
      </c>
      <c r="L279" s="7"/>
      <c r="M279" s="7" t="s">
        <v>445</v>
      </c>
      <c r="N279" s="7" t="s">
        <v>51</v>
      </c>
      <c r="O279" s="13" t="n">
        <f aca="false">IF(AND(E279&lt;&gt;"",YEAR(E279)=YEAR(Parametros!$B$3),MONTH(E279)&gt;=10),1,0)</f>
        <v>1</v>
      </c>
      <c r="P279" s="13" t="n">
        <f aca="false">IF(AND(E279&lt;Parametros!$B$3,K279&lt;&gt;"Finalizado"),1,0)</f>
        <v>0</v>
      </c>
      <c r="Q279" s="13" t="n">
        <f aca="false">IF(AND(E279&gt;=Parametros!$B$3,E279&lt;=Parametros!$B$3+30,K279&lt;&gt;"Finalizado"),1,0)</f>
        <v>0</v>
      </c>
    </row>
    <row r="280" customFormat="false" ht="15" hidden="false" customHeight="false" outlineLevel="0" collapsed="false">
      <c r="A280" s="7" t="s">
        <v>481</v>
      </c>
      <c r="B280" s="7" t="s">
        <v>482</v>
      </c>
      <c r="C280" s="7" t="s">
        <v>484</v>
      </c>
      <c r="D280" s="9" t="n">
        <v>45877</v>
      </c>
      <c r="E280" s="9" t="n">
        <v>45889</v>
      </c>
      <c r="F280" s="10" t="n">
        <v>100</v>
      </c>
      <c r="G280" s="11" t="n">
        <f aca="false">IF(OR(D280="",E280="",E280&lt;=D280),"",MIN(100,MAX(0,(Parametros!$B$3-D280)/(E280-D280)*100)))</f>
        <v>100</v>
      </c>
      <c r="H280" s="12" t="n">
        <f aca="false">IF(G280="","",G280-F280)</f>
        <v>0</v>
      </c>
      <c r="I280" s="13" t="str">
        <f aca="false">IF(K280="Finalizado","Verde",IF(G280="","Amarillo",IF(H280&lt;=Parametros!$B$4,"Verde",IF(H280&lt;=Parametros!$B$5,"Amarillo","Rojo"))))</f>
        <v>Verde</v>
      </c>
      <c r="J280" s="14" t="str">
        <f aca="false">IF(K280="Finalizado","Completado",IF(G280="","Sin fecha válida - revisar plazos",IF(H280&lt;=Parametros!$B$4,"En tiempo, según lo planificado",IF(H280&lt;=Parametros!$B$5,"Atraso leve - seguimiento cercano ("&amp;TEXT(H280,"0.0")&amp;" p.p.)","Atraso crítico - requiere intervención ("&amp;TEXT(H280,"0.0")&amp;" p.p.)"))))</f>
        <v>Completado</v>
      </c>
      <c r="K280" s="7" t="s">
        <v>38</v>
      </c>
      <c r="L280" s="7" t="s">
        <v>485</v>
      </c>
      <c r="M280" s="7" t="s">
        <v>445</v>
      </c>
      <c r="N280" s="7" t="s">
        <v>51</v>
      </c>
      <c r="O280" s="13" t="n">
        <f aca="false">IF(AND(E280&lt;&gt;"",YEAR(E280)=YEAR(Parametros!$B$3),MONTH(E280)&gt;=10),1,0)</f>
        <v>0</v>
      </c>
      <c r="P280" s="13" t="n">
        <f aca="false">IF(AND(E280&lt;Parametros!$B$3,K280&lt;&gt;"Finalizado"),1,0)</f>
        <v>0</v>
      </c>
      <c r="Q280" s="13" t="n">
        <f aca="false">IF(AND(E280&gt;=Parametros!$B$3,E280&lt;=Parametros!$B$3+30,K280&lt;&gt;"Finalizado"),1,0)</f>
        <v>0</v>
      </c>
    </row>
    <row r="281" customFormat="false" ht="15" hidden="false" customHeight="false" outlineLevel="0" collapsed="false">
      <c r="A281" s="7" t="s">
        <v>481</v>
      </c>
      <c r="B281" s="7" t="s">
        <v>482</v>
      </c>
      <c r="C281" s="7" t="s">
        <v>486</v>
      </c>
      <c r="D281" s="9" t="n">
        <v>45938</v>
      </c>
      <c r="E281" s="9" t="n">
        <v>45951</v>
      </c>
      <c r="F281" s="10" t="n">
        <v>100</v>
      </c>
      <c r="G281" s="11" t="n">
        <f aca="false">IF(OR(D281="",E281="",E281&lt;=D281),"",MIN(100,MAX(0,(Parametros!$B$3-D281)/(E281-D281)*100)))</f>
        <v>100</v>
      </c>
      <c r="H281" s="12" t="n">
        <f aca="false">IF(G281="","",G281-F281)</f>
        <v>0</v>
      </c>
      <c r="I281" s="13" t="str">
        <f aca="false">IF(K281="Finalizado","Verde",IF(G281="","Amarillo",IF(H281&lt;=Parametros!$B$4,"Verde",IF(H281&lt;=Parametros!$B$5,"Amarillo","Rojo"))))</f>
        <v>Verde</v>
      </c>
      <c r="J281" s="14" t="str">
        <f aca="false">IF(K281="Finalizado","Completado",IF(G281="","Sin fecha válida - revisar plazos",IF(H281&lt;=Parametros!$B$4,"En tiempo, según lo planificado",IF(H281&lt;=Parametros!$B$5,"Atraso leve - seguimiento cercano ("&amp;TEXT(H281,"0.0")&amp;" p.p.)","Atraso crítico - requiere intervención ("&amp;TEXT(H281,"0.0")&amp;" p.p.)"))))</f>
        <v>Completado</v>
      </c>
      <c r="K281" s="7" t="s">
        <v>38</v>
      </c>
      <c r="L281" s="7"/>
      <c r="M281" s="7" t="s">
        <v>445</v>
      </c>
      <c r="N281" s="7" t="s">
        <v>51</v>
      </c>
      <c r="O281" s="13" t="n">
        <f aca="false">IF(AND(E281&lt;&gt;"",YEAR(E281)=YEAR(Parametros!$B$3),MONTH(E281)&gt;=10),1,0)</f>
        <v>0</v>
      </c>
      <c r="P281" s="13" t="n">
        <f aca="false">IF(AND(E281&lt;Parametros!$B$3,K281&lt;&gt;"Finalizado"),1,0)</f>
        <v>0</v>
      </c>
      <c r="Q281" s="13" t="n">
        <f aca="false">IF(AND(E281&gt;=Parametros!$B$3,E281&lt;=Parametros!$B$3+30,K281&lt;&gt;"Finalizado"),1,0)</f>
        <v>0</v>
      </c>
    </row>
    <row r="282" customFormat="false" ht="15" hidden="false" customHeight="false" outlineLevel="0" collapsed="false">
      <c r="A282" s="7" t="s">
        <v>481</v>
      </c>
      <c r="B282" s="7" t="s">
        <v>482</v>
      </c>
      <c r="C282" s="7" t="s">
        <v>487</v>
      </c>
      <c r="D282" s="9" t="n">
        <v>45951</v>
      </c>
      <c r="E282" s="9" t="n">
        <v>45965</v>
      </c>
      <c r="F282" s="10" t="n">
        <v>100</v>
      </c>
      <c r="G282" s="11" t="n">
        <f aca="false">IF(OR(D282="",E282="",E282&lt;=D282),"",MIN(100,MAX(0,(Parametros!$B$3-D282)/(E282-D282)*100)))</f>
        <v>100</v>
      </c>
      <c r="H282" s="12" t="n">
        <f aca="false">IF(G282="","",G282-F282)</f>
        <v>0</v>
      </c>
      <c r="I282" s="13" t="str">
        <f aca="false">IF(K282="Finalizado","Verde",IF(G282="","Amarillo",IF(H282&lt;=Parametros!$B$4,"Verde",IF(H282&lt;=Parametros!$B$5,"Amarillo","Rojo"))))</f>
        <v>Verde</v>
      </c>
      <c r="J282" s="14" t="str">
        <f aca="false">IF(K282="Finalizado","Completado",IF(G282="","Sin fecha válida - revisar plazos",IF(H282&lt;=Parametros!$B$4,"En tiempo, según lo planificado",IF(H282&lt;=Parametros!$B$5,"Atraso leve - seguimiento cercano ("&amp;TEXT(H282,"0.0")&amp;" p.p.)","Atraso crítico - requiere intervención ("&amp;TEXT(H282,"0.0")&amp;" p.p.)"))))</f>
        <v>Completado</v>
      </c>
      <c r="K282" s="7" t="s">
        <v>38</v>
      </c>
      <c r="L282" s="7"/>
      <c r="M282" s="7" t="s">
        <v>445</v>
      </c>
      <c r="N282" s="7" t="s">
        <v>51</v>
      </c>
      <c r="O282" s="13" t="n">
        <f aca="false">IF(AND(E282&lt;&gt;"",YEAR(E282)=YEAR(Parametros!$B$3),MONTH(E282)&gt;=10),1,0)</f>
        <v>0</v>
      </c>
      <c r="P282" s="13" t="n">
        <f aca="false">IF(AND(E282&lt;Parametros!$B$3,K282&lt;&gt;"Finalizado"),1,0)</f>
        <v>0</v>
      </c>
      <c r="Q282" s="13" t="n">
        <f aca="false">IF(AND(E282&gt;=Parametros!$B$3,E282&lt;=Parametros!$B$3+30,K282&lt;&gt;"Finalizado"),1,0)</f>
        <v>0</v>
      </c>
    </row>
    <row r="283" customFormat="false" ht="15" hidden="false" customHeight="false" outlineLevel="0" collapsed="false">
      <c r="A283" s="7" t="s">
        <v>481</v>
      </c>
      <c r="B283" s="7" t="s">
        <v>482</v>
      </c>
      <c r="C283" s="7" t="s">
        <v>488</v>
      </c>
      <c r="D283" s="9" t="n">
        <v>45971</v>
      </c>
      <c r="E283" s="9" t="n">
        <v>46045</v>
      </c>
      <c r="F283" s="10" t="n">
        <v>100</v>
      </c>
      <c r="G283" s="11" t="n">
        <f aca="false">IF(OR(D283="",E283="",E283&lt;=D283),"",MIN(100,MAX(0,(Parametros!$B$3-D283)/(E283-D283)*100)))</f>
        <v>100</v>
      </c>
      <c r="H283" s="12" t="n">
        <f aca="false">IF(G283="","",G283-F283)</f>
        <v>0</v>
      </c>
      <c r="I283" s="13" t="str">
        <f aca="false">IF(K283="Finalizado","Verde",IF(G283="","Amarillo",IF(H283&lt;=Parametros!$B$4,"Verde",IF(H283&lt;=Parametros!$B$5,"Amarillo","Rojo"))))</f>
        <v>Verde</v>
      </c>
      <c r="J283" s="14" t="str">
        <f aca="false">IF(K283="Finalizado","Completado",IF(G283="","Sin fecha válida - revisar plazos",IF(H283&lt;=Parametros!$B$4,"En tiempo, según lo planificado",IF(H283&lt;=Parametros!$B$5,"Atraso leve - seguimiento cercano ("&amp;TEXT(H283,"0.0")&amp;" p.p.)","Atraso crítico - requiere intervención ("&amp;TEXT(H283,"0.0")&amp;" p.p.)"))))</f>
        <v>Completado</v>
      </c>
      <c r="K283" s="7" t="s">
        <v>38</v>
      </c>
      <c r="L283" s="7"/>
      <c r="M283" s="7" t="s">
        <v>445</v>
      </c>
      <c r="N283" s="7" t="s">
        <v>51</v>
      </c>
      <c r="O283" s="13" t="n">
        <f aca="false">IF(AND(E283&lt;&gt;"",YEAR(E283)=YEAR(Parametros!$B$3),MONTH(E283)&gt;=10),1,0)</f>
        <v>0</v>
      </c>
      <c r="P283" s="13" t="n">
        <f aca="false">IF(AND(E283&lt;Parametros!$B$3,K283&lt;&gt;"Finalizado"),1,0)</f>
        <v>0</v>
      </c>
      <c r="Q283" s="13" t="n">
        <f aca="false">IF(AND(E283&gt;=Parametros!$B$3,E283&lt;=Parametros!$B$3+30,K283&lt;&gt;"Finalizado"),1,0)</f>
        <v>0</v>
      </c>
    </row>
    <row r="284" customFormat="false" ht="15" hidden="false" customHeight="false" outlineLevel="0" collapsed="false">
      <c r="A284" s="7" t="s">
        <v>481</v>
      </c>
      <c r="B284" s="7" t="s">
        <v>482</v>
      </c>
      <c r="C284" s="8" t="s">
        <v>489</v>
      </c>
      <c r="D284" s="9" t="n">
        <v>46321</v>
      </c>
      <c r="E284" s="9" t="n">
        <v>46419</v>
      </c>
      <c r="F284" s="10" t="n">
        <v>0</v>
      </c>
      <c r="G284" s="11" t="n">
        <f aca="false">IF(OR(D284="",E284="",E284&lt;=D284),"",MIN(100,MAX(0,(Parametros!$B$3-D284)/(E284-D284)*100)))</f>
        <v>0</v>
      </c>
      <c r="H284" s="12" t="n">
        <f aca="false">IF(G284="","",G284-F284)</f>
        <v>0</v>
      </c>
      <c r="I284" s="13" t="str">
        <f aca="false">IF(K284="Finalizado","Verde",IF(G284="","Amarillo",IF(H284&lt;=Parametros!$B$4,"Verde",IF(H284&lt;=Parametros!$B$5,"Amarillo","Rojo"))))</f>
        <v>Verde</v>
      </c>
      <c r="J284" s="14" t="str">
        <f aca="false">IF(K284="Finalizado","Completado",IF(G284="","Sin fecha válida - revisar plazos",IF(H284&lt;=Parametros!$B$4,"En tiempo, según lo planificado",IF(H284&lt;=Parametros!$B$5,"Atraso leve - seguimiento cercano ("&amp;TEXT(H284,"0.0")&amp;" p.p.)","Atraso crítico - requiere intervención ("&amp;TEXT(H284,"0.0")&amp;" p.p.)"))))</f>
        <v>En tiempo, según lo planificado</v>
      </c>
      <c r="K284" s="7" t="s">
        <v>100</v>
      </c>
      <c r="L284" s="7"/>
      <c r="M284" s="7" t="s">
        <v>445</v>
      </c>
      <c r="N284" s="7" t="s">
        <v>51</v>
      </c>
      <c r="O284" s="13" t="n">
        <f aca="false">IF(AND(E284&lt;&gt;"",YEAR(E284)=YEAR(Parametros!$B$3),MONTH(E284)&gt;=10),1,0)</f>
        <v>0</v>
      </c>
      <c r="P284" s="13" t="n">
        <f aca="false">IF(AND(E284&lt;Parametros!$B$3,K284&lt;&gt;"Finalizado"),1,0)</f>
        <v>0</v>
      </c>
      <c r="Q284" s="13" t="n">
        <f aca="false">IF(AND(E284&gt;=Parametros!$B$3,E284&lt;=Parametros!$B$3+30,K284&lt;&gt;"Finalizado"),1,0)</f>
        <v>0</v>
      </c>
    </row>
    <row r="285" customFormat="false" ht="15" hidden="false" customHeight="false" outlineLevel="0" collapsed="false">
      <c r="A285" s="7" t="s">
        <v>490</v>
      </c>
      <c r="B285" s="7" t="s">
        <v>491</v>
      </c>
      <c r="C285" s="7" t="s">
        <v>492</v>
      </c>
      <c r="D285" s="9" t="n">
        <v>46096</v>
      </c>
      <c r="E285" s="9" t="n">
        <v>46325</v>
      </c>
      <c r="F285" s="10" t="n">
        <v>61</v>
      </c>
      <c r="G285" s="11" t="n">
        <f aca="false">IF(OR(D285="",E285="",E285&lt;=D285),"",MIN(100,MAX(0,(Parametros!$B$3-D285)/(E285-D285)*100)))</f>
        <v>70.7423580786026</v>
      </c>
      <c r="H285" s="12" t="n">
        <f aca="false">IF(G285="","",G285-F285)</f>
        <v>9.74235807860262</v>
      </c>
      <c r="I285" s="13" t="str">
        <f aca="false">IF(K285="Finalizado","Verde",IF(G285="","Amarillo",IF(H285&lt;=Parametros!$B$4,"Verde",IF(H285&lt;=Parametros!$B$5,"Amarillo","Rojo"))))</f>
        <v>Amarillo</v>
      </c>
      <c r="J285" s="14" t="str">
        <f aca="false">IF(K285="Finalizado","Completado",IF(G285="","Sin fecha válida - revisar plazos",IF(H285&lt;=Parametros!$B$4,"En tiempo, según lo planificado",IF(H285&lt;=Parametros!$B$5,"Atraso leve - seguimiento cercano ("&amp;TEXT(H285,"0.0")&amp;" p.p.)","Atraso crítico - requiere intervención ("&amp;TEXT(H285,"0.0")&amp;" p.p.)"))))</f>
        <v>Atraso leve - seguimiento cercano (9.7 p.p.)</v>
      </c>
      <c r="K285" s="7" t="s">
        <v>27</v>
      </c>
      <c r="L285" s="7"/>
      <c r="M285" s="7" t="s">
        <v>445</v>
      </c>
      <c r="N285" s="7" t="s">
        <v>51</v>
      </c>
      <c r="O285" s="13" t="n">
        <f aca="false">IF(AND(E285&lt;&gt;"",YEAR(E285)=YEAR(Parametros!$B$3),MONTH(E285)&gt;=10),1,0)</f>
        <v>1</v>
      </c>
      <c r="P285" s="13" t="n">
        <f aca="false">IF(AND(E285&lt;Parametros!$B$3,K285&lt;&gt;"Finalizado"),1,0)</f>
        <v>0</v>
      </c>
      <c r="Q285" s="13" t="n">
        <f aca="false">IF(AND(E285&gt;=Parametros!$B$3,E285&lt;=Parametros!$B$3+30,K285&lt;&gt;"Finalizado"),1,0)</f>
        <v>0</v>
      </c>
    </row>
    <row r="286" customFormat="false" ht="15" hidden="false" customHeight="false" outlineLevel="0" collapsed="false">
      <c r="A286" s="7" t="s">
        <v>490</v>
      </c>
      <c r="B286" s="7" t="s">
        <v>491</v>
      </c>
      <c r="C286" s="7" t="s">
        <v>493</v>
      </c>
      <c r="D286" s="9" t="n">
        <v>46096</v>
      </c>
      <c r="E286" s="9" t="n">
        <v>46171</v>
      </c>
      <c r="F286" s="10" t="n">
        <v>100</v>
      </c>
      <c r="G286" s="11" t="n">
        <f aca="false">IF(OR(D286="",E286="",E286&lt;=D286),"",MIN(100,MAX(0,(Parametros!$B$3-D286)/(E286-D286)*100)))</f>
        <v>100</v>
      </c>
      <c r="H286" s="12" t="n">
        <f aca="false">IF(G286="","",G286-F286)</f>
        <v>0</v>
      </c>
      <c r="I286" s="13" t="str">
        <f aca="false">IF(K286="Finalizado","Verde",IF(G286="","Amarillo",IF(H286&lt;=Parametros!$B$4,"Verde",IF(H286&lt;=Parametros!$B$5,"Amarillo","Rojo"))))</f>
        <v>Verde</v>
      </c>
      <c r="J286" s="14" t="str">
        <f aca="false">IF(K286="Finalizado","Completado",IF(G286="","Sin fecha válida - revisar plazos",IF(H286&lt;=Parametros!$B$4,"En tiempo, según lo planificado",IF(H286&lt;=Parametros!$B$5,"Atraso leve - seguimiento cercano ("&amp;TEXT(H286,"0.0")&amp;" p.p.)","Atraso crítico - requiere intervención ("&amp;TEXT(H286,"0.0")&amp;" p.p.)"))))</f>
        <v>Completado</v>
      </c>
      <c r="K286" s="7" t="s">
        <v>38</v>
      </c>
      <c r="L286" s="7" t="s">
        <v>454</v>
      </c>
      <c r="M286" s="7" t="s">
        <v>445</v>
      </c>
      <c r="N286" s="7" t="s">
        <v>51</v>
      </c>
      <c r="O286" s="13" t="n">
        <f aca="false">IF(AND(E286&lt;&gt;"",YEAR(E286)=YEAR(Parametros!$B$3),MONTH(E286)&gt;=10),1,0)</f>
        <v>0</v>
      </c>
      <c r="P286" s="13" t="n">
        <f aca="false">IF(AND(E286&lt;Parametros!$B$3,K286&lt;&gt;"Finalizado"),1,0)</f>
        <v>0</v>
      </c>
      <c r="Q286" s="13" t="n">
        <f aca="false">IF(AND(E286&gt;=Parametros!$B$3,E286&lt;=Parametros!$B$3+30,K286&lt;&gt;"Finalizado"),1,0)</f>
        <v>0</v>
      </c>
    </row>
    <row r="287" customFormat="false" ht="15" hidden="false" customHeight="false" outlineLevel="0" collapsed="false">
      <c r="A287" s="7" t="s">
        <v>490</v>
      </c>
      <c r="B287" s="7" t="s">
        <v>491</v>
      </c>
      <c r="C287" s="7" t="s">
        <v>494</v>
      </c>
      <c r="D287" s="9" t="n">
        <v>46096</v>
      </c>
      <c r="E287" s="9" t="n">
        <v>46384</v>
      </c>
      <c r="F287" s="10" t="n">
        <v>61</v>
      </c>
      <c r="G287" s="11" t="n">
        <f aca="false">IF(OR(D287="",E287="",E287&lt;=D287),"",MIN(100,MAX(0,(Parametros!$B$3-D287)/(E287-D287)*100)))</f>
        <v>56.25</v>
      </c>
      <c r="H287" s="12" t="n">
        <f aca="false">IF(G287="","",G287-F287)</f>
        <v>-4.75</v>
      </c>
      <c r="I287" s="13" t="str">
        <f aca="false">IF(K287="Finalizado","Verde",IF(G287="","Amarillo",IF(H287&lt;=Parametros!$B$4,"Verde",IF(H287&lt;=Parametros!$B$5,"Amarillo","Rojo"))))</f>
        <v>Verde</v>
      </c>
      <c r="J287" s="14" t="str">
        <f aca="false">IF(K287="Finalizado","Completado",IF(G287="","Sin fecha válida - revisar plazos",IF(H287&lt;=Parametros!$B$4,"En tiempo, según lo planificado",IF(H287&lt;=Parametros!$B$5,"Atraso leve - seguimiento cercano ("&amp;TEXT(H287,"0.0")&amp;" p.p.)","Atraso crítico - requiere intervención ("&amp;TEXT(H287,"0.0")&amp;" p.p.)"))))</f>
        <v>En tiempo, según lo planificado</v>
      </c>
      <c r="K287" s="7" t="s">
        <v>27</v>
      </c>
      <c r="L287" s="7"/>
      <c r="M287" s="7" t="s">
        <v>445</v>
      </c>
      <c r="N287" s="7" t="s">
        <v>51</v>
      </c>
      <c r="O287" s="13" t="n">
        <f aca="false">IF(AND(E287&lt;&gt;"",YEAR(E287)=YEAR(Parametros!$B$3),MONTH(E287)&gt;=10),1,0)</f>
        <v>1</v>
      </c>
      <c r="P287" s="13" t="n">
        <f aca="false">IF(AND(E287&lt;Parametros!$B$3,K287&lt;&gt;"Finalizado"),1,0)</f>
        <v>0</v>
      </c>
      <c r="Q287" s="13" t="n">
        <f aca="false">IF(AND(E287&gt;=Parametros!$B$3,E287&lt;=Parametros!$B$3+30,K287&lt;&gt;"Finalizado"),1,0)</f>
        <v>0</v>
      </c>
    </row>
    <row r="288" customFormat="false" ht="15" hidden="false" customHeight="false" outlineLevel="0" collapsed="false">
      <c r="A288" s="7" t="s">
        <v>490</v>
      </c>
      <c r="B288" s="7" t="s">
        <v>491</v>
      </c>
      <c r="C288" s="7" t="s">
        <v>495</v>
      </c>
      <c r="D288" s="9" t="n">
        <v>46279</v>
      </c>
      <c r="E288" s="9" t="n">
        <v>46311</v>
      </c>
      <c r="F288" s="10" t="n">
        <v>0</v>
      </c>
      <c r="G288" s="11" t="n">
        <f aca="false">IF(OR(D288="",E288="",E288&lt;=D288),"",MIN(100,MAX(0,(Parametros!$B$3-D288)/(E288-D288)*100)))</f>
        <v>0</v>
      </c>
      <c r="H288" s="12" t="n">
        <f aca="false">IF(G288="","",G288-F288)</f>
        <v>0</v>
      </c>
      <c r="I288" s="13" t="str">
        <f aca="false">IF(K288="Finalizado","Verde",IF(G288="","Amarillo",IF(H288&lt;=Parametros!$B$4,"Verde",IF(H288&lt;=Parametros!$B$5,"Amarillo","Rojo"))))</f>
        <v>Verde</v>
      </c>
      <c r="J288" s="14" t="str">
        <f aca="false">IF(K288="Finalizado","Completado",IF(G288="","Sin fecha válida - revisar plazos",IF(H288&lt;=Parametros!$B$4,"En tiempo, según lo planificado",IF(H288&lt;=Parametros!$B$5,"Atraso leve - seguimiento cercano ("&amp;TEXT(H288,"0.0")&amp;" p.p.)","Atraso crítico - requiere intervención ("&amp;TEXT(H288,"0.0")&amp;" p.p.)"))))</f>
        <v>En tiempo, según lo planificado</v>
      </c>
      <c r="K288" s="7" t="s">
        <v>100</v>
      </c>
      <c r="L288" s="7"/>
      <c r="M288" s="7" t="s">
        <v>445</v>
      </c>
      <c r="N288" s="7" t="s">
        <v>51</v>
      </c>
      <c r="O288" s="13" t="n">
        <f aca="false">IF(AND(E288&lt;&gt;"",YEAR(E288)=YEAR(Parametros!$B$3),MONTH(E288)&gt;=10),1,0)</f>
        <v>1</v>
      </c>
      <c r="P288" s="13" t="n">
        <f aca="false">IF(AND(E288&lt;Parametros!$B$3,K288&lt;&gt;"Finalizado"),1,0)</f>
        <v>0</v>
      </c>
      <c r="Q288" s="13" t="n">
        <f aca="false">IF(AND(E288&gt;=Parametros!$B$3,E288&lt;=Parametros!$B$3+30,K288&lt;&gt;"Finalizado"),1,0)</f>
        <v>0</v>
      </c>
    </row>
    <row r="289" customFormat="false" ht="15" hidden="false" customHeight="false" outlineLevel="0" collapsed="false">
      <c r="A289" s="7" t="s">
        <v>490</v>
      </c>
      <c r="B289" s="7" t="s">
        <v>491</v>
      </c>
      <c r="C289" s="7" t="s">
        <v>495</v>
      </c>
      <c r="D289" s="9" t="n">
        <v>46342</v>
      </c>
      <c r="E289" s="9" t="n">
        <v>46387</v>
      </c>
      <c r="F289" s="10" t="n">
        <v>0</v>
      </c>
      <c r="G289" s="11" t="n">
        <f aca="false">IF(OR(D289="",E289="",E289&lt;=D289),"",MIN(100,MAX(0,(Parametros!$B$3-D289)/(E289-D289)*100)))</f>
        <v>0</v>
      </c>
      <c r="H289" s="12" t="n">
        <f aca="false">IF(G289="","",G289-F289)</f>
        <v>0</v>
      </c>
      <c r="I289" s="13" t="str">
        <f aca="false">IF(K289="Finalizado","Verde",IF(G289="","Amarillo",IF(H289&lt;=Parametros!$B$4,"Verde",IF(H289&lt;=Parametros!$B$5,"Amarillo","Rojo"))))</f>
        <v>Verde</v>
      </c>
      <c r="J289" s="14" t="str">
        <f aca="false">IF(K289="Finalizado","Completado",IF(G289="","Sin fecha válida - revisar plazos",IF(H289&lt;=Parametros!$B$4,"En tiempo, según lo planificado",IF(H289&lt;=Parametros!$B$5,"Atraso leve - seguimiento cercano ("&amp;TEXT(H289,"0.0")&amp;" p.p.)","Atraso crítico - requiere intervención ("&amp;TEXT(H289,"0.0")&amp;" p.p.)"))))</f>
        <v>En tiempo, según lo planificado</v>
      </c>
      <c r="K289" s="7" t="s">
        <v>100</v>
      </c>
      <c r="L289" s="7"/>
      <c r="M289" s="7" t="s">
        <v>445</v>
      </c>
      <c r="N289" s="7" t="s">
        <v>51</v>
      </c>
      <c r="O289" s="13" t="n">
        <f aca="false">IF(AND(E289&lt;&gt;"",YEAR(E289)=YEAR(Parametros!$B$3),MONTH(E289)&gt;=10),1,0)</f>
        <v>1</v>
      </c>
      <c r="P289" s="13" t="n">
        <f aca="false">IF(AND(E289&lt;Parametros!$B$3,K289&lt;&gt;"Finalizado"),1,0)</f>
        <v>0</v>
      </c>
      <c r="Q289" s="13" t="n">
        <f aca="false">IF(AND(E289&gt;=Parametros!$B$3,E289&lt;=Parametros!$B$3+30,K289&lt;&gt;"Finalizado"),1,0)</f>
        <v>0</v>
      </c>
    </row>
    <row r="290" customFormat="false" ht="15" hidden="false" customHeight="false" outlineLevel="0" collapsed="false">
      <c r="A290" s="7" t="s">
        <v>490</v>
      </c>
      <c r="B290" s="7" t="s">
        <v>491</v>
      </c>
      <c r="C290" s="7" t="s">
        <v>496</v>
      </c>
      <c r="D290" s="9" t="n">
        <v>46314</v>
      </c>
      <c r="E290" s="9" t="n">
        <v>46339</v>
      </c>
      <c r="F290" s="10" t="n">
        <v>0</v>
      </c>
      <c r="G290" s="11" t="n">
        <f aca="false">IF(OR(D290="",E290="",E290&lt;=D290),"",MIN(100,MAX(0,(Parametros!$B$3-D290)/(E290-D290)*100)))</f>
        <v>0</v>
      </c>
      <c r="H290" s="12" t="n">
        <f aca="false">IF(G290="","",G290-F290)</f>
        <v>0</v>
      </c>
      <c r="I290" s="13" t="str">
        <f aca="false">IF(K290="Finalizado","Verde",IF(G290="","Amarillo",IF(H290&lt;=Parametros!$B$4,"Verde",IF(H290&lt;=Parametros!$B$5,"Amarillo","Rojo"))))</f>
        <v>Verde</v>
      </c>
      <c r="J290" s="14" t="str">
        <f aca="false">IF(K290="Finalizado","Completado",IF(G290="","Sin fecha válida - revisar plazos",IF(H290&lt;=Parametros!$B$4,"En tiempo, según lo planificado",IF(H290&lt;=Parametros!$B$5,"Atraso leve - seguimiento cercano ("&amp;TEXT(H290,"0.0")&amp;" p.p.)","Atraso crítico - requiere intervención ("&amp;TEXT(H290,"0.0")&amp;" p.p.)"))))</f>
        <v>En tiempo, según lo planificado</v>
      </c>
      <c r="K290" s="7" t="s">
        <v>100</v>
      </c>
      <c r="L290" s="7"/>
      <c r="M290" s="7" t="s">
        <v>445</v>
      </c>
      <c r="N290" s="7" t="s">
        <v>51</v>
      </c>
      <c r="O290" s="13" t="n">
        <f aca="false">IF(AND(E290&lt;&gt;"",YEAR(E290)=YEAR(Parametros!$B$3),MONTH(E290)&gt;=10),1,0)</f>
        <v>1</v>
      </c>
      <c r="P290" s="13" t="n">
        <f aca="false">IF(AND(E290&lt;Parametros!$B$3,K290&lt;&gt;"Finalizado"),1,0)</f>
        <v>0</v>
      </c>
      <c r="Q290" s="13" t="n">
        <f aca="false">IF(AND(E290&gt;=Parametros!$B$3,E290&lt;=Parametros!$B$3+30,K290&lt;&gt;"Finalizado"),1,0)</f>
        <v>0</v>
      </c>
    </row>
    <row r="291" customFormat="false" ht="15" hidden="false" customHeight="false" outlineLevel="0" collapsed="false">
      <c r="A291" s="7" t="s">
        <v>490</v>
      </c>
      <c r="B291" s="7" t="s">
        <v>491</v>
      </c>
      <c r="C291" s="7" t="s">
        <v>497</v>
      </c>
      <c r="D291" s="9" t="n">
        <v>46096</v>
      </c>
      <c r="E291" s="9" t="n">
        <v>46325</v>
      </c>
      <c r="F291" s="10" t="n">
        <v>62</v>
      </c>
      <c r="G291" s="11" t="n">
        <f aca="false">IF(OR(D291="",E291="",E291&lt;=D291),"",MIN(100,MAX(0,(Parametros!$B$3-D291)/(E291-D291)*100)))</f>
        <v>70.7423580786026</v>
      </c>
      <c r="H291" s="12" t="n">
        <f aca="false">IF(G291="","",G291-F291)</f>
        <v>8.74235807860262</v>
      </c>
      <c r="I291" s="13" t="str">
        <f aca="false">IF(K291="Finalizado","Verde",IF(G291="","Amarillo",IF(H291&lt;=Parametros!$B$4,"Verde",IF(H291&lt;=Parametros!$B$5,"Amarillo","Rojo"))))</f>
        <v>Amarillo</v>
      </c>
      <c r="J291" s="14" t="str">
        <f aca="false">IF(K291="Finalizado","Completado",IF(G291="","Sin fecha válida - revisar plazos",IF(H291&lt;=Parametros!$B$4,"En tiempo, según lo planificado",IF(H291&lt;=Parametros!$B$5,"Atraso leve - seguimiento cercano ("&amp;TEXT(H291,"0.0")&amp;" p.p.)","Atraso crítico - requiere intervención ("&amp;TEXT(H291,"0.0")&amp;" p.p.)"))))</f>
        <v>Atraso leve - seguimiento cercano (8.7 p.p.)</v>
      </c>
      <c r="K291" s="7" t="s">
        <v>27</v>
      </c>
      <c r="L291" s="7"/>
      <c r="M291" s="7" t="s">
        <v>445</v>
      </c>
      <c r="N291" s="7" t="s">
        <v>51</v>
      </c>
      <c r="O291" s="13" t="n">
        <f aca="false">IF(AND(E291&lt;&gt;"",YEAR(E291)=YEAR(Parametros!$B$3),MONTH(E291)&gt;=10),1,0)</f>
        <v>1</v>
      </c>
      <c r="P291" s="13" t="n">
        <f aca="false">IF(AND(E291&lt;Parametros!$B$3,K291&lt;&gt;"Finalizado"),1,0)</f>
        <v>0</v>
      </c>
      <c r="Q291" s="13" t="n">
        <f aca="false">IF(AND(E291&gt;=Parametros!$B$3,E291&lt;=Parametros!$B$3+30,K291&lt;&gt;"Finalizado"),1,0)</f>
        <v>0</v>
      </c>
    </row>
    <row r="292" customFormat="false" ht="15" hidden="false" customHeight="false" outlineLevel="0" collapsed="false">
      <c r="A292" s="7" t="s">
        <v>490</v>
      </c>
      <c r="B292" s="7" t="s">
        <v>491</v>
      </c>
      <c r="C292" s="7" t="s">
        <v>498</v>
      </c>
      <c r="D292" s="9" t="n">
        <v>46096</v>
      </c>
      <c r="E292" s="9" t="n">
        <v>46384</v>
      </c>
      <c r="F292" s="10" t="n">
        <v>61</v>
      </c>
      <c r="G292" s="11" t="n">
        <f aca="false">IF(OR(D292="",E292="",E292&lt;=D292),"",MIN(100,MAX(0,(Parametros!$B$3-D292)/(E292-D292)*100)))</f>
        <v>56.25</v>
      </c>
      <c r="H292" s="12" t="n">
        <f aca="false">IF(G292="","",G292-F292)</f>
        <v>-4.75</v>
      </c>
      <c r="I292" s="13" t="str">
        <f aca="false">IF(K292="Finalizado","Verde",IF(G292="","Amarillo",IF(H292&lt;=Parametros!$B$4,"Verde",IF(H292&lt;=Parametros!$B$5,"Amarillo","Rojo"))))</f>
        <v>Verde</v>
      </c>
      <c r="J292" s="14" t="str">
        <f aca="false">IF(K292="Finalizado","Completado",IF(G292="","Sin fecha válida - revisar plazos",IF(H292&lt;=Parametros!$B$4,"En tiempo, según lo planificado",IF(H292&lt;=Parametros!$B$5,"Atraso leve - seguimiento cercano ("&amp;TEXT(H292,"0.0")&amp;" p.p.)","Atraso crítico - requiere intervención ("&amp;TEXT(H292,"0.0")&amp;" p.p.)"))))</f>
        <v>En tiempo, según lo planificado</v>
      </c>
      <c r="K292" s="7" t="s">
        <v>27</v>
      </c>
      <c r="L292" s="7"/>
      <c r="M292" s="7" t="s">
        <v>445</v>
      </c>
      <c r="N292" s="7" t="s">
        <v>51</v>
      </c>
      <c r="O292" s="13" t="n">
        <f aca="false">IF(AND(E292&lt;&gt;"",YEAR(E292)=YEAR(Parametros!$B$3),MONTH(E292)&gt;=10),1,0)</f>
        <v>1</v>
      </c>
      <c r="P292" s="13" t="n">
        <f aca="false">IF(AND(E292&lt;Parametros!$B$3,K292&lt;&gt;"Finalizado"),1,0)</f>
        <v>0</v>
      </c>
      <c r="Q292" s="13" t="n">
        <f aca="false">IF(AND(E292&gt;=Parametros!$B$3,E292&lt;=Parametros!$B$3+30,K292&lt;&gt;"Finalizado"),1,0)</f>
        <v>0</v>
      </c>
    </row>
    <row r="293" customFormat="false" ht="15" hidden="false" customHeight="false" outlineLevel="0" collapsed="false">
      <c r="A293" s="7" t="s">
        <v>499</v>
      </c>
      <c r="B293" s="7" t="s">
        <v>500</v>
      </c>
      <c r="C293" s="7" t="s">
        <v>501</v>
      </c>
      <c r="D293" s="9" t="n">
        <v>46204</v>
      </c>
      <c r="E293" s="9" t="n">
        <v>46387</v>
      </c>
      <c r="F293" s="10" t="n">
        <v>10</v>
      </c>
      <c r="G293" s="11" t="n">
        <f aca="false">IF(OR(D293="",E293="",E293&lt;=D293),"",MIN(100,MAX(0,(Parametros!$B$3-D293)/(E293-D293)*100)))</f>
        <v>29.5081967213115</v>
      </c>
      <c r="H293" s="12" t="n">
        <f aca="false">IF(G293="","",G293-F293)</f>
        <v>19.5081967213115</v>
      </c>
      <c r="I293" s="13" t="str">
        <f aca="false">IF(K293="Finalizado","Verde",IF(G293="","Amarillo",IF(H293&lt;=Parametros!$B$4,"Verde",IF(H293&lt;=Parametros!$B$5,"Amarillo","Rojo"))))</f>
        <v>Amarillo</v>
      </c>
      <c r="J293" s="14" t="str">
        <f aca="false">IF(K293="Finalizado","Completado",IF(G293="","Sin fecha válida - revisar plazos",IF(H293&lt;=Parametros!$B$4,"En tiempo, según lo planificado",IF(H293&lt;=Parametros!$B$5,"Atraso leve - seguimiento cercano ("&amp;TEXT(H293,"0.0")&amp;" p.p.)","Atraso crítico - requiere intervención ("&amp;TEXT(H293,"0.0")&amp;" p.p.)"))))</f>
        <v>Atraso leve - seguimiento cercano (19.5 p.p.)</v>
      </c>
      <c r="K293" s="7" t="s">
        <v>27</v>
      </c>
      <c r="L293" s="7"/>
      <c r="M293" s="7" t="s">
        <v>502</v>
      </c>
      <c r="N293" s="7" t="s">
        <v>30</v>
      </c>
      <c r="O293" s="13" t="n">
        <f aca="false">IF(AND(E293&lt;&gt;"",YEAR(E293)=YEAR(Parametros!$B$3),MONTH(E293)&gt;=10),1,0)</f>
        <v>1</v>
      </c>
      <c r="P293" s="13" t="n">
        <f aca="false">IF(AND(E293&lt;Parametros!$B$3,K293&lt;&gt;"Finalizado"),1,0)</f>
        <v>0</v>
      </c>
      <c r="Q293" s="13" t="n">
        <f aca="false">IF(AND(E293&gt;=Parametros!$B$3,E293&lt;=Parametros!$B$3+30,K293&lt;&gt;"Finalizado"),1,0)</f>
        <v>0</v>
      </c>
    </row>
    <row r="294" customFormat="false" ht="15" hidden="false" customHeight="false" outlineLevel="0" collapsed="false">
      <c r="A294" s="7" t="s">
        <v>499</v>
      </c>
      <c r="B294" s="7" t="s">
        <v>500</v>
      </c>
      <c r="C294" s="7" t="s">
        <v>503</v>
      </c>
      <c r="D294" s="9" t="n">
        <v>46296</v>
      </c>
      <c r="E294" s="9" t="n">
        <v>46387</v>
      </c>
      <c r="F294" s="10" t="n">
        <v>0</v>
      </c>
      <c r="G294" s="11" t="n">
        <f aca="false">IF(OR(D294="",E294="",E294&lt;=D294),"",MIN(100,MAX(0,(Parametros!$B$3-D294)/(E294-D294)*100)))</f>
        <v>0</v>
      </c>
      <c r="H294" s="12" t="n">
        <f aca="false">IF(G294="","",G294-F294)</f>
        <v>0</v>
      </c>
      <c r="I294" s="13" t="str">
        <f aca="false">IF(K294="Finalizado","Verde",IF(G294="","Amarillo",IF(H294&lt;=Parametros!$B$4,"Verde",IF(H294&lt;=Parametros!$B$5,"Amarillo","Rojo"))))</f>
        <v>Verde</v>
      </c>
      <c r="J294" s="14" t="str">
        <f aca="false">IF(K294="Finalizado","Completado",IF(G294="","Sin fecha válida - revisar plazos",IF(H294&lt;=Parametros!$B$4,"En tiempo, según lo planificado",IF(H294&lt;=Parametros!$B$5,"Atraso leve - seguimiento cercano ("&amp;TEXT(H294,"0.0")&amp;" p.p.)","Atraso crítico - requiere intervención ("&amp;TEXT(H294,"0.0")&amp;" p.p.)"))))</f>
        <v>En tiempo, según lo planificado</v>
      </c>
      <c r="K294" s="7" t="s">
        <v>100</v>
      </c>
      <c r="L294" s="7"/>
      <c r="M294" s="7" t="s">
        <v>502</v>
      </c>
      <c r="N294" s="7" t="s">
        <v>30</v>
      </c>
      <c r="O294" s="13" t="n">
        <f aca="false">IF(AND(E294&lt;&gt;"",YEAR(E294)=YEAR(Parametros!$B$3),MONTH(E294)&gt;=10),1,0)</f>
        <v>1</v>
      </c>
      <c r="P294" s="13" t="n">
        <f aca="false">IF(AND(E294&lt;Parametros!$B$3,K294&lt;&gt;"Finalizado"),1,0)</f>
        <v>0</v>
      </c>
      <c r="Q294" s="13" t="n">
        <f aca="false">IF(AND(E294&gt;=Parametros!$B$3,E294&lt;=Parametros!$B$3+30,K294&lt;&gt;"Finalizado"),1,0)</f>
        <v>0</v>
      </c>
    </row>
    <row r="295" customFormat="false" ht="15" hidden="false" customHeight="false" outlineLevel="0" collapsed="false">
      <c r="A295" s="7" t="s">
        <v>499</v>
      </c>
      <c r="B295" s="7" t="s">
        <v>500</v>
      </c>
      <c r="C295" s="8" t="s">
        <v>504</v>
      </c>
      <c r="D295" s="9" t="n">
        <v>46023</v>
      </c>
      <c r="E295" s="9" t="n">
        <v>46227</v>
      </c>
      <c r="F295" s="10" t="n">
        <v>100</v>
      </c>
      <c r="G295" s="11" t="n">
        <f aca="false">IF(OR(D295="",E295="",E295&lt;=D295),"",MIN(100,MAX(0,(Parametros!$B$3-D295)/(E295-D295)*100)))</f>
        <v>100</v>
      </c>
      <c r="H295" s="12" t="n">
        <f aca="false">IF(G295="","",G295-F295)</f>
        <v>0</v>
      </c>
      <c r="I295" s="13" t="str">
        <f aca="false">IF(K295="Finalizado","Verde",IF(G295="","Amarillo",IF(H295&lt;=Parametros!$B$4,"Verde",IF(H295&lt;=Parametros!$B$5,"Amarillo","Rojo"))))</f>
        <v>Verde</v>
      </c>
      <c r="J295" s="14" t="str">
        <f aca="false">IF(K295="Finalizado","Completado",IF(G295="","Sin fecha válida - revisar plazos",IF(H295&lt;=Parametros!$B$4,"En tiempo, según lo planificado",IF(H295&lt;=Parametros!$B$5,"Atraso leve - seguimiento cercano ("&amp;TEXT(H295,"0.0")&amp;" p.p.)","Atraso crítico - requiere intervención ("&amp;TEXT(H295,"0.0")&amp;" p.p.)"))))</f>
        <v>Completado</v>
      </c>
      <c r="K295" s="7" t="s">
        <v>38</v>
      </c>
      <c r="L295" s="7" t="s">
        <v>505</v>
      </c>
      <c r="M295" s="7" t="s">
        <v>502</v>
      </c>
      <c r="N295" s="7" t="s">
        <v>30</v>
      </c>
      <c r="O295" s="13" t="n">
        <f aca="false">IF(AND(E295&lt;&gt;"",YEAR(E295)=YEAR(Parametros!$B$3),MONTH(E295)&gt;=10),1,0)</f>
        <v>0</v>
      </c>
      <c r="P295" s="13" t="n">
        <f aca="false">IF(AND(E295&lt;Parametros!$B$3,K295&lt;&gt;"Finalizado"),1,0)</f>
        <v>0</v>
      </c>
      <c r="Q295" s="13" t="n">
        <f aca="false">IF(AND(E295&gt;=Parametros!$B$3,E295&lt;=Parametros!$B$3+30,K295&lt;&gt;"Finalizado"),1,0)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5"/>
    <col collapsed="false" customWidth="true" hidden="false" outlineLevel="0" max="3" min="3" style="0" width="13"/>
    <col collapsed="false" customWidth="true" hidden="false" outlineLevel="0" max="4" min="4" style="0" width="17"/>
    <col collapsed="false" customWidth="true" hidden="false" outlineLevel="0" max="5" min="5" style="0" width="15"/>
    <col collapsed="false" customWidth="true" hidden="false" outlineLevel="0" max="6" min="6" style="0" width="17"/>
    <col collapsed="false" customWidth="true" hidden="false" outlineLevel="0" max="7" min="7" style="0" width="12"/>
    <col collapsed="false" customWidth="true" hidden="false" outlineLevel="0" max="9" min="8" style="0" width="14"/>
    <col collapsed="false" customWidth="true" hidden="false" outlineLevel="0" max="10" min="10" style="0" width="10"/>
    <col collapsed="false" customWidth="true" hidden="false" outlineLevel="0" max="11" min="11" style="0" width="22"/>
  </cols>
  <sheetData>
    <row r="1" customFormat="false" ht="30" hidden="false" customHeight="true" outlineLevel="0" collapsed="false">
      <c r="A1" s="6" t="s">
        <v>506</v>
      </c>
      <c r="B1" s="6" t="s">
        <v>507</v>
      </c>
      <c r="C1" s="6" t="s">
        <v>508</v>
      </c>
      <c r="D1" s="6" t="s">
        <v>509</v>
      </c>
      <c r="E1" s="6" t="s">
        <v>510</v>
      </c>
      <c r="F1" s="6" t="s">
        <v>511</v>
      </c>
      <c r="G1" s="6" t="s">
        <v>512</v>
      </c>
      <c r="H1" s="6" t="s">
        <v>513</v>
      </c>
      <c r="I1" s="6" t="s">
        <v>514</v>
      </c>
      <c r="J1" s="6" t="s">
        <v>515</v>
      </c>
      <c r="K1" s="6" t="s">
        <v>516</v>
      </c>
    </row>
    <row r="2" customFormat="false" ht="15" hidden="false" customHeight="false" outlineLevel="0" collapsed="false">
      <c r="A2" s="15" t="s">
        <v>29</v>
      </c>
      <c r="B2" s="7" t="n">
        <f aca="false">COUNTIF(Datos_POA!$M$2:$M$295,A2)</f>
        <v>13</v>
      </c>
      <c r="C2" s="7" t="n">
        <f aca="false">COUNTIFS(Datos_POA!$M$2:$M$295,A2,Datos_POA!$K$2:$K$295,"Finalizado")</f>
        <v>5</v>
      </c>
      <c r="D2" s="10" t="n">
        <f aca="false">IFERROR(C2/B2*100,0)</f>
        <v>38.4615384615385</v>
      </c>
      <c r="E2" s="10" t="n">
        <f aca="false">AVERAGEIFS(Datos_POA!$F$2:$F$295,Datos_POA!$M$2:$M$295,A2)</f>
        <v>78.4615384615385</v>
      </c>
      <c r="F2" s="10" t="n">
        <f aca="false">AVERAGEIFS(Datos_POA!$G$2:$G$295,Datos_POA!$M$2:$M$295,A2)</f>
        <v>83.1580045911815</v>
      </c>
      <c r="G2" s="16" t="n">
        <f aca="false">F2-E2</f>
        <v>4.696466129643</v>
      </c>
      <c r="H2" s="10" t="n">
        <f aca="false">IFERROR(SUMIFS(Datos_POA!$O$2:$O$295,Datos_POA!$M$2:$M$295,A2)/COUNTIFS(Datos_POA!$M$2:$M$295,A2)*100,0)</f>
        <v>23.0769230769231</v>
      </c>
      <c r="I2" s="7" t="n">
        <f aca="false">SUMIFS(Datos_POA!$O$2:$O$295,Datos_POA!$M$2:$M$295,A2,Datos_POA!$K$2:$K$295,"No iniciado")</f>
        <v>0</v>
      </c>
      <c r="J2" s="7" t="n">
        <f aca="false">SUMIFS(Datos_POA!$P$2:$P$295,Datos_POA!$M$2:$M$295,A2)</f>
        <v>2</v>
      </c>
      <c r="K2" s="7" t="str">
        <f aca="false">IF(AND(G2&lt;=3,H2&lt;=45),"Ejecución constante",IF(OR(H2&gt;Parametros!$B$6,G2&gt;Parametros!$B$7),"Carga concentrada al cierre","Ritmo moderado"))</f>
        <v>Ritmo moderado</v>
      </c>
    </row>
    <row r="3" customFormat="false" ht="15" hidden="false" customHeight="false" outlineLevel="0" collapsed="false">
      <c r="A3" s="15" t="s">
        <v>81</v>
      </c>
      <c r="B3" s="7" t="n">
        <f aca="false">COUNTIF(Datos_POA!$M$2:$M$295,A3)</f>
        <v>100</v>
      </c>
      <c r="C3" s="7" t="n">
        <f aca="false">COUNTIFS(Datos_POA!$M$2:$M$295,A3,Datos_POA!$K$2:$K$295,"Finalizado")</f>
        <v>49</v>
      </c>
      <c r="D3" s="10" t="n">
        <f aca="false">IFERROR(C3/B3*100,0)</f>
        <v>49</v>
      </c>
      <c r="E3" s="10" t="n">
        <f aca="false">AVERAGEIFS(Datos_POA!$F$2:$F$295,Datos_POA!$M$2:$M$295,A3)</f>
        <v>61.69</v>
      </c>
      <c r="F3" s="10" t="n">
        <f aca="false">AVERAGEIFS(Datos_POA!$G$2:$G$295,Datos_POA!$M$2:$M$295,A3)</f>
        <v>63.9892682029696</v>
      </c>
      <c r="G3" s="16" t="n">
        <f aca="false">F3-E3</f>
        <v>2.29926820296962</v>
      </c>
      <c r="H3" s="10" t="n">
        <f aca="false">IFERROR(SUMIFS(Datos_POA!$O$2:$O$295,Datos_POA!$M$2:$M$295,A3)/COUNTIFS(Datos_POA!$M$2:$M$295,A3)*100,0)</f>
        <v>29</v>
      </c>
      <c r="I3" s="7" t="n">
        <f aca="false">SUMIFS(Datos_POA!$O$2:$O$295,Datos_POA!$M$2:$M$295,A3,Datos_POA!$K$2:$K$295,"No iniciado")</f>
        <v>22</v>
      </c>
      <c r="J3" s="7" t="n">
        <f aca="false">SUMIFS(Datos_POA!$P$2:$P$295,Datos_POA!$M$2:$M$295,A3)</f>
        <v>4</v>
      </c>
      <c r="K3" s="7" t="str">
        <f aca="false">IF(AND(G3&lt;=3,H3&lt;=45),"Ejecución constante",IF(OR(H3&gt;Parametros!$B$6,G3&gt;Parametros!$B$7),"Carga concentrada al cierre","Ritmo moderado"))</f>
        <v>Ejecución constante</v>
      </c>
    </row>
    <row r="4" customFormat="false" ht="15" hidden="false" customHeight="false" outlineLevel="0" collapsed="false">
      <c r="A4" s="15" t="s">
        <v>221</v>
      </c>
      <c r="B4" s="7" t="n">
        <f aca="false">COUNTIF(Datos_POA!$M$2:$M$295,A4)</f>
        <v>55</v>
      </c>
      <c r="C4" s="7" t="n">
        <f aca="false">COUNTIFS(Datos_POA!$M$2:$M$295,A4,Datos_POA!$K$2:$K$295,"Finalizado")</f>
        <v>12</v>
      </c>
      <c r="D4" s="10" t="n">
        <f aca="false">IFERROR(C4/B4*100,0)</f>
        <v>21.8181818181818</v>
      </c>
      <c r="E4" s="10" t="n">
        <f aca="false">AVERAGEIFS(Datos_POA!$F$2:$F$295,Datos_POA!$M$2:$M$295,A4)</f>
        <v>47.3210909090909</v>
      </c>
      <c r="F4" s="10" t="n">
        <f aca="false">AVERAGEIFS(Datos_POA!$G$2:$G$295,Datos_POA!$M$2:$M$295,A4)</f>
        <v>54.9584545414569</v>
      </c>
      <c r="G4" s="16" t="n">
        <f aca="false">F4-E4</f>
        <v>7.63736363236597</v>
      </c>
      <c r="H4" s="10" t="n">
        <f aca="false">IFERROR(SUMIFS(Datos_POA!$O$2:$O$295,Datos_POA!$M$2:$M$295,A4)/COUNTIFS(Datos_POA!$M$2:$M$295,A4)*100,0)</f>
        <v>67.2727272727273</v>
      </c>
      <c r="I4" s="7" t="n">
        <f aca="false">SUMIFS(Datos_POA!$O$2:$O$295,Datos_POA!$M$2:$M$295,A4,Datos_POA!$K$2:$K$295,"No iniciado")</f>
        <v>11</v>
      </c>
      <c r="J4" s="7" t="n">
        <f aca="false">SUMIFS(Datos_POA!$P$2:$P$295,Datos_POA!$M$2:$M$295,A4)</f>
        <v>1</v>
      </c>
      <c r="K4" s="7" t="str">
        <f aca="false">IF(AND(G4&lt;=3,H4&lt;=45),"Ejecución constante",IF(OR(H4&gt;Parametros!$B$6,G4&gt;Parametros!$B$7),"Carga concentrada al cierre","Ritmo moderado"))</f>
        <v>Carga concentrada al cierre</v>
      </c>
    </row>
    <row r="5" customFormat="false" ht="15" hidden="false" customHeight="false" outlineLevel="0" collapsed="false">
      <c r="A5" s="15" t="s">
        <v>307</v>
      </c>
      <c r="B5" s="7" t="n">
        <f aca="false">COUNTIF(Datos_POA!$M$2:$M$295,A5)</f>
        <v>23</v>
      </c>
      <c r="C5" s="7" t="n">
        <f aca="false">COUNTIFS(Datos_POA!$M$2:$M$295,A5,Datos_POA!$K$2:$K$295,"Finalizado")</f>
        <v>12</v>
      </c>
      <c r="D5" s="10" t="n">
        <f aca="false">IFERROR(C5/B5*100,0)</f>
        <v>52.1739130434783</v>
      </c>
      <c r="E5" s="10" t="n">
        <f aca="false">AVERAGEIFS(Datos_POA!$F$2:$F$295,Datos_POA!$M$2:$M$295,A5)</f>
        <v>73.9130434782609</v>
      </c>
      <c r="F5" s="10" t="n">
        <f aca="false">AVERAGEIFS(Datos_POA!$G$2:$G$295,Datos_POA!$M$2:$M$295,A5)</f>
        <v>72.5899840208465</v>
      </c>
      <c r="G5" s="16" t="n">
        <f aca="false">F5-E5</f>
        <v>-1.32305945741442</v>
      </c>
      <c r="H5" s="10" t="n">
        <f aca="false">IFERROR(SUMIFS(Datos_POA!$O$2:$O$295,Datos_POA!$M$2:$M$295,A5)/COUNTIFS(Datos_POA!$M$2:$M$295,A5)*100,0)</f>
        <v>34.7826086956522</v>
      </c>
      <c r="I5" s="7" t="n">
        <f aca="false">SUMIFS(Datos_POA!$O$2:$O$295,Datos_POA!$M$2:$M$295,A5,Datos_POA!$K$2:$K$295,"No iniciado")</f>
        <v>3</v>
      </c>
      <c r="J5" s="7" t="n">
        <f aca="false">SUMIFS(Datos_POA!$P$2:$P$295,Datos_POA!$M$2:$M$295,A5)</f>
        <v>0</v>
      </c>
      <c r="K5" s="7" t="str">
        <f aca="false">IF(AND(G5&lt;=3,H5&lt;=45),"Ejecución constante",IF(OR(H5&gt;Parametros!$B$6,G5&gt;Parametros!$B$7),"Carga concentrada al cierre","Ritmo moderado"))</f>
        <v>Ejecución constante</v>
      </c>
    </row>
    <row r="6" customFormat="false" ht="15" hidden="false" customHeight="false" outlineLevel="0" collapsed="false">
      <c r="A6" s="15" t="s">
        <v>336</v>
      </c>
      <c r="B6" s="7" t="n">
        <f aca="false">COUNTIF(Datos_POA!$M$2:$M$295,A6)</f>
        <v>61</v>
      </c>
      <c r="C6" s="7" t="n">
        <f aca="false">COUNTIFS(Datos_POA!$M$2:$M$295,A6,Datos_POA!$K$2:$K$295,"Finalizado")</f>
        <v>28</v>
      </c>
      <c r="D6" s="10" t="n">
        <f aca="false">IFERROR(C6/B6*100,0)</f>
        <v>45.9016393442623</v>
      </c>
      <c r="E6" s="10" t="n">
        <f aca="false">AVERAGEIFS(Datos_POA!$F$2:$F$295,Datos_POA!$M$2:$M$295,A6)</f>
        <v>67.8688524590164</v>
      </c>
      <c r="F6" s="10" t="n">
        <f aca="false">AVERAGEIFS(Datos_POA!$G$2:$G$295,Datos_POA!$M$2:$M$295,A6)</f>
        <v>69.2565944368128</v>
      </c>
      <c r="G6" s="16" t="n">
        <f aca="false">F6-E6</f>
        <v>1.38774197779641</v>
      </c>
      <c r="H6" s="10" t="n">
        <f aca="false">IFERROR(SUMIFS(Datos_POA!$O$2:$O$295,Datos_POA!$M$2:$M$295,A6)/COUNTIFS(Datos_POA!$M$2:$M$295,A6)*100,0)</f>
        <v>47.5409836065574</v>
      </c>
      <c r="I6" s="7" t="n">
        <f aca="false">SUMIFS(Datos_POA!$O$2:$O$295,Datos_POA!$M$2:$M$295,A6,Datos_POA!$K$2:$K$295,"No iniciado")</f>
        <v>9</v>
      </c>
      <c r="J6" s="7" t="n">
        <f aca="false">SUMIFS(Datos_POA!$P$2:$P$295,Datos_POA!$M$2:$M$295,A6)</f>
        <v>1</v>
      </c>
      <c r="K6" s="7" t="str">
        <f aca="false">IF(AND(G6&lt;=3,H6&lt;=45),"Ejecución constante",IF(OR(H6&gt;Parametros!$B$6,G6&gt;Parametros!$B$7),"Carga concentrada al cierre","Ritmo moderado"))</f>
        <v>Ritmo moderado</v>
      </c>
    </row>
    <row r="7" customFormat="false" ht="15" hidden="false" customHeight="false" outlineLevel="0" collapsed="false">
      <c r="A7" s="15" t="s">
        <v>445</v>
      </c>
      <c r="B7" s="7" t="n">
        <f aca="false">COUNTIF(Datos_POA!$M$2:$M$295,A7)</f>
        <v>39</v>
      </c>
      <c r="C7" s="7" t="n">
        <f aca="false">COUNTIFS(Datos_POA!$M$2:$M$295,A7,Datos_POA!$K$2:$K$295,"Finalizado")</f>
        <v>9</v>
      </c>
      <c r="D7" s="10" t="n">
        <f aca="false">IFERROR(C7/B7*100,0)</f>
        <v>23.0769230769231</v>
      </c>
      <c r="E7" s="10" t="n">
        <f aca="false">AVERAGEIFS(Datos_POA!$F$2:$F$295,Datos_POA!$M$2:$M$295,A7)</f>
        <v>44.7897435897436</v>
      </c>
      <c r="F7" s="10" t="n">
        <f aca="false">AVERAGEIFS(Datos_POA!$G$2:$G$295,Datos_POA!$M$2:$M$295,A7)</f>
        <v>49.7656764845108</v>
      </c>
      <c r="G7" s="16" t="n">
        <f aca="false">F7-E7</f>
        <v>4.97593289476724</v>
      </c>
      <c r="H7" s="10" t="n">
        <f aca="false">IFERROR(SUMIFS(Datos_POA!$O$2:$O$295,Datos_POA!$M$2:$M$295,A7)/COUNTIFS(Datos_POA!$M$2:$M$295,A7)*100,0)</f>
        <v>43.5897435897436</v>
      </c>
      <c r="I7" s="7" t="n">
        <f aca="false">SUMIFS(Datos_POA!$O$2:$O$295,Datos_POA!$M$2:$M$295,A7,Datos_POA!$K$2:$K$295,"No iniciado")</f>
        <v>9</v>
      </c>
      <c r="J7" s="7" t="n">
        <f aca="false">SUMIFS(Datos_POA!$P$2:$P$295,Datos_POA!$M$2:$M$295,A7)</f>
        <v>1</v>
      </c>
      <c r="K7" s="7" t="str">
        <f aca="false">IF(AND(G7&lt;=3,H7&lt;=45),"Ejecución constante",IF(OR(H7&gt;Parametros!$B$6,G7&gt;Parametros!$B$7),"Carga concentrada al cierre","Ritmo moderado"))</f>
        <v>Ritmo moderado</v>
      </c>
    </row>
    <row r="8" customFormat="false" ht="15" hidden="false" customHeight="false" outlineLevel="0" collapsed="false">
      <c r="A8" s="15" t="s">
        <v>502</v>
      </c>
      <c r="B8" s="7" t="n">
        <f aca="false">COUNTIF(Datos_POA!$M$2:$M$295,A8)</f>
        <v>3</v>
      </c>
      <c r="C8" s="7" t="n">
        <f aca="false">COUNTIFS(Datos_POA!$M$2:$M$295,A8,Datos_POA!$K$2:$K$295,"Finalizado")</f>
        <v>1</v>
      </c>
      <c r="D8" s="10" t="n">
        <f aca="false">IFERROR(C8/B8*100,0)</f>
        <v>33.3333333333333</v>
      </c>
      <c r="E8" s="10" t="n">
        <f aca="false">AVERAGEIFS(Datos_POA!$F$2:$F$295,Datos_POA!$M$2:$M$295,A8)</f>
        <v>36.6666666666667</v>
      </c>
      <c r="F8" s="10" t="n">
        <f aca="false">AVERAGEIFS(Datos_POA!$G$2:$G$295,Datos_POA!$M$2:$M$295,A8)</f>
        <v>43.1693989071038</v>
      </c>
      <c r="G8" s="16" t="n">
        <f aca="false">F8-E8</f>
        <v>6.50273224043716</v>
      </c>
      <c r="H8" s="10" t="n">
        <f aca="false">IFERROR(SUMIFS(Datos_POA!$O$2:$O$295,Datos_POA!$M$2:$M$295,A8)/COUNTIFS(Datos_POA!$M$2:$M$295,A8)*100,0)</f>
        <v>66.6666666666667</v>
      </c>
      <c r="I8" s="7" t="n">
        <f aca="false">SUMIFS(Datos_POA!$O$2:$O$295,Datos_POA!$M$2:$M$295,A8,Datos_POA!$K$2:$K$295,"No iniciado")</f>
        <v>1</v>
      </c>
      <c r="J8" s="7" t="n">
        <f aca="false">SUMIFS(Datos_POA!$P$2:$P$295,Datos_POA!$M$2:$M$295,A8)</f>
        <v>0</v>
      </c>
      <c r="K8" s="7" t="str">
        <f aca="false">IF(AND(G8&lt;=3,H8&lt;=45),"Ejecución constante",IF(OR(H8&gt;Parametros!$B$6,G8&gt;Parametros!$B$7),"Carga concentrada al cierre","Ritmo moderado"))</f>
        <v>Carga concentrada al cierre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3" min="3" style="0" width="45"/>
  </cols>
  <sheetData>
    <row r="1" customFormat="false" ht="17.35" hidden="false" customHeight="false" outlineLevel="0" collapsed="false">
      <c r="A1" s="17" t="s">
        <v>517</v>
      </c>
      <c r="B1" s="17"/>
      <c r="C1" s="17"/>
    </row>
    <row r="3" customFormat="false" ht="15" hidden="false" customHeight="false" outlineLevel="0" collapsed="false">
      <c r="A3" s="18" t="s">
        <v>518</v>
      </c>
      <c r="B3" s="18" t="s">
        <v>519</v>
      </c>
      <c r="C3" s="18" t="s">
        <v>520</v>
      </c>
    </row>
    <row r="4" customFormat="false" ht="15" hidden="false" customHeight="true" outlineLevel="0" collapsed="false">
      <c r="A4" s="19" t="s">
        <v>521</v>
      </c>
      <c r="B4" s="20" t="s">
        <v>522</v>
      </c>
      <c r="C4" s="21" t="s">
        <v>523</v>
      </c>
    </row>
    <row r="5" customFormat="false" ht="15" hidden="false" customHeight="true" outlineLevel="0" collapsed="false">
      <c r="A5" s="19" t="s">
        <v>524</v>
      </c>
      <c r="B5" s="20" t="s">
        <v>525</v>
      </c>
      <c r="C5" s="21" t="s">
        <v>526</v>
      </c>
    </row>
    <row r="6" customFormat="false" ht="15" hidden="false" customHeight="true" outlineLevel="0" collapsed="false">
      <c r="A6" s="19" t="s">
        <v>527</v>
      </c>
      <c r="B6" s="20" t="s">
        <v>528</v>
      </c>
      <c r="C6" s="21" t="s">
        <v>529</v>
      </c>
    </row>
    <row r="7" customFormat="false" ht="15" hidden="false" customHeight="true" outlineLevel="0" collapsed="false">
      <c r="A7" s="19" t="s">
        <v>530</v>
      </c>
      <c r="B7" s="20" t="s">
        <v>531</v>
      </c>
      <c r="C7" s="21" t="s">
        <v>532</v>
      </c>
    </row>
    <row r="8" customFormat="false" ht="15" hidden="false" customHeight="true" outlineLevel="0" collapsed="false">
      <c r="A8" s="19" t="s">
        <v>533</v>
      </c>
      <c r="B8" s="20" t="s">
        <v>534</v>
      </c>
      <c r="C8" s="21" t="s">
        <v>535</v>
      </c>
    </row>
    <row r="9" customFormat="false" ht="15" hidden="false" customHeight="true" outlineLevel="0" collapsed="false">
      <c r="A9" s="19" t="s">
        <v>536</v>
      </c>
      <c r="B9" s="20" t="s">
        <v>537</v>
      </c>
      <c r="C9" s="21" t="s">
        <v>538</v>
      </c>
    </row>
    <row r="10" customFormat="false" ht="15" hidden="false" customHeight="true" outlineLevel="0" collapsed="false">
      <c r="A10" s="19" t="s">
        <v>539</v>
      </c>
      <c r="B10" s="20" t="s">
        <v>540</v>
      </c>
      <c r="C10" s="21" t="s">
        <v>541</v>
      </c>
    </row>
    <row r="11" customFormat="false" ht="15" hidden="false" customHeight="true" outlineLevel="0" collapsed="false">
      <c r="A11" s="19" t="s">
        <v>542</v>
      </c>
      <c r="B11" s="20" t="s">
        <v>543</v>
      </c>
      <c r="C11" s="21" t="s">
        <v>544</v>
      </c>
    </row>
    <row r="12" customFormat="false" ht="15" hidden="false" customHeight="true" outlineLevel="0" collapsed="false">
      <c r="A12" s="19" t="s">
        <v>545</v>
      </c>
      <c r="B12" s="20" t="s">
        <v>546</v>
      </c>
      <c r="C12" s="21" t="s">
        <v>547</v>
      </c>
    </row>
    <row r="13" customFormat="false" ht="15" hidden="false" customHeight="true" outlineLevel="0" collapsed="false">
      <c r="A13" s="19" t="s">
        <v>548</v>
      </c>
      <c r="B13" s="20" t="s">
        <v>549</v>
      </c>
      <c r="C13" s="21" t="s">
        <v>550</v>
      </c>
    </row>
    <row r="14" customFormat="false" ht="15" hidden="false" customHeight="true" outlineLevel="0" collapsed="false">
      <c r="A14" s="19" t="s">
        <v>551</v>
      </c>
      <c r="B14" s="20" t="s">
        <v>552</v>
      </c>
      <c r="C14" s="21" t="s">
        <v>553</v>
      </c>
    </row>
    <row r="15" customFormat="false" ht="15" hidden="false" customHeight="true" outlineLevel="0" collapsed="false">
      <c r="A15" s="19" t="s">
        <v>554</v>
      </c>
      <c r="B15" s="20" t="s">
        <v>555</v>
      </c>
      <c r="C15" s="21" t="s">
        <v>556</v>
      </c>
    </row>
    <row r="16" customFormat="false" ht="15" hidden="false" customHeight="true" outlineLevel="0" collapsed="false">
      <c r="A16" s="19" t="s">
        <v>557</v>
      </c>
      <c r="B16" s="20" t="s">
        <v>558</v>
      </c>
      <c r="C16" s="21" t="s">
        <v>559</v>
      </c>
    </row>
    <row r="17" customFormat="false" ht="15" hidden="false" customHeight="true" outlineLevel="0" collapsed="false">
      <c r="A17" s="19" t="s">
        <v>515</v>
      </c>
      <c r="B17" s="20" t="s">
        <v>560</v>
      </c>
      <c r="C17" s="21" t="s">
        <v>561</v>
      </c>
    </row>
    <row r="18" customFormat="false" ht="15" hidden="false" customHeight="true" outlineLevel="0" collapsed="false">
      <c r="A18" s="19" t="s">
        <v>562</v>
      </c>
      <c r="B18" s="20" t="s">
        <v>563</v>
      </c>
      <c r="C18" s="21" t="s">
        <v>564</v>
      </c>
    </row>
    <row r="19" customFormat="false" ht="15" hidden="false" customHeight="true" outlineLevel="0" collapsed="false">
      <c r="A19" s="19" t="s">
        <v>565</v>
      </c>
      <c r="B19" s="20" t="s">
        <v>566</v>
      </c>
      <c r="C19" s="21" t="s">
        <v>567</v>
      </c>
    </row>
    <row r="20" customFormat="false" ht="15" hidden="false" customHeight="true" outlineLevel="0" collapsed="false">
      <c r="A20" s="19" t="s">
        <v>568</v>
      </c>
      <c r="B20" s="20" t="s">
        <v>569</v>
      </c>
      <c r="C20" s="21" t="s">
        <v>570</v>
      </c>
    </row>
    <row r="21" customFormat="false" ht="15" hidden="false" customHeight="true" outlineLevel="0" collapsed="false">
      <c r="A21" s="19" t="s">
        <v>571</v>
      </c>
      <c r="B21" s="20" t="s">
        <v>572</v>
      </c>
      <c r="C21" s="21" t="s">
        <v>573</v>
      </c>
    </row>
    <row r="22" customFormat="false" ht="90.75" hidden="false" customHeight="true" outlineLevel="0" collapsed="false">
      <c r="A22" s="19" t="s">
        <v>574</v>
      </c>
      <c r="B22" s="20" t="s">
        <v>575</v>
      </c>
      <c r="C22" s="21" t="s">
        <v>576</v>
      </c>
    </row>
    <row r="23" customFormat="false" ht="15" hidden="false" customHeight="true" outlineLevel="0" collapsed="false">
      <c r="A23" s="19" t="s">
        <v>577</v>
      </c>
      <c r="B23" s="20" t="s">
        <v>578</v>
      </c>
      <c r="C23" s="21" t="s">
        <v>579</v>
      </c>
    </row>
    <row r="24" customFormat="false" ht="90.75" hidden="false" customHeight="true" outlineLevel="0" collapsed="false">
      <c r="A24" s="19" t="s">
        <v>580</v>
      </c>
      <c r="B24" s="20" t="s">
        <v>581</v>
      </c>
      <c r="C24" s="21" t="s">
        <v>582</v>
      </c>
    </row>
    <row r="25" customFormat="false" ht="90.75" hidden="false" customHeight="true" outlineLevel="0" collapsed="false">
      <c r="A25" s="19" t="s">
        <v>583</v>
      </c>
      <c r="B25" s="20" t="s">
        <v>584</v>
      </c>
      <c r="C25" s="21" t="s">
        <v>585</v>
      </c>
    </row>
    <row r="26" customFormat="false" ht="142.5" hidden="false" customHeight="true" outlineLevel="0" collapsed="false">
      <c r="A26" s="19" t="s">
        <v>586</v>
      </c>
      <c r="B26" s="20" t="s">
        <v>587</v>
      </c>
      <c r="C26" s="21" t="s">
        <v>588</v>
      </c>
    </row>
    <row r="27" customFormat="false" ht="103.5" hidden="false" customHeight="true" outlineLevel="0" collapsed="false">
      <c r="A27" s="19" t="s">
        <v>589</v>
      </c>
      <c r="B27" s="20" t="s">
        <v>590</v>
      </c>
      <c r="C27" s="21" t="s">
        <v>591</v>
      </c>
    </row>
    <row r="28" customFormat="false" ht="39" hidden="false" customHeight="true" outlineLevel="0" collapsed="false">
      <c r="A28" s="19" t="s">
        <v>592</v>
      </c>
      <c r="B28" s="20" t="s">
        <v>593</v>
      </c>
      <c r="C28" s="21" t="s">
        <v>594</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95"/>
  </cols>
  <sheetData>
    <row r="1" customFormat="false" ht="17.35" hidden="false" customHeight="false" outlineLevel="0" collapsed="false">
      <c r="A1" s="17" t="s">
        <v>595</v>
      </c>
      <c r="B1" s="17"/>
    </row>
    <row r="3" customFormat="false" ht="54.75" hidden="false" customHeight="true" outlineLevel="0" collapsed="false">
      <c r="A3" s="22" t="s">
        <v>596</v>
      </c>
      <c r="B3" s="23" t="s">
        <v>597</v>
      </c>
    </row>
    <row r="5" customFormat="false" ht="54.75" hidden="false" customHeight="true" outlineLevel="0" collapsed="false">
      <c r="A5" s="22" t="s">
        <v>598</v>
      </c>
      <c r="B5" s="23" t="s">
        <v>599</v>
      </c>
    </row>
    <row r="7" customFormat="false" ht="54.75" hidden="false" customHeight="true" outlineLevel="0" collapsed="false">
      <c r="A7" s="22" t="s">
        <v>600</v>
      </c>
      <c r="B7" s="23" t="s">
        <v>601</v>
      </c>
    </row>
    <row r="9" customFormat="false" ht="54.75" hidden="false" customHeight="true" outlineLevel="0" collapsed="false">
      <c r="A9" s="22" t="s">
        <v>602</v>
      </c>
      <c r="B9" s="23" t="s">
        <v>603</v>
      </c>
    </row>
    <row r="11" customFormat="false" ht="54.75" hidden="false" customHeight="true" outlineLevel="0" collapsed="false">
      <c r="A11" s="22" t="s">
        <v>604</v>
      </c>
      <c r="B11" s="23" t="s">
        <v>605</v>
      </c>
    </row>
    <row r="13" customFormat="false" ht="54.75" hidden="false" customHeight="true" outlineLevel="0" collapsed="false">
      <c r="A13" s="22" t="s">
        <v>606</v>
      </c>
      <c r="B13" s="23" t="s">
        <v>607</v>
      </c>
    </row>
    <row r="15" customFormat="false" ht="54.75" hidden="false" customHeight="true" outlineLevel="0" collapsed="false">
      <c r="A15" s="22" t="s">
        <v>608</v>
      </c>
      <c r="B15" s="23" t="s">
        <v>609</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2026-08-25T17:47:13Z</dcterms:created>
  <dc:creator>openpyxl</dc:creator>
  <dc:description/>
  <dc:language>en-US</dc:language>
  <cp:lastModifiedBy/>
  <dcterms:modified xsi:type="dcterms:W3CDTF">2026-08-25T17:47:14Z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