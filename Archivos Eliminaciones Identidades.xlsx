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pichincha.sharepoint.com/sites/admin_identidades/Documentos compartidos/DEPURACIÓN DE USUARIOS/"/>
    </mc:Choice>
  </mc:AlternateContent>
  <xr:revisionPtr revIDLastSave="0" documentId="8_{96A44720-2984-4602-B920-599647C20B33}" xr6:coauthVersionLast="47" xr6:coauthVersionMax="47" xr10:uidLastSave="{00000000-0000-0000-0000-000000000000}"/>
  <bookViews>
    <workbookView xWindow="28690" yWindow="-110" windowWidth="29020" windowHeight="15700" firstSheet="1" activeTab="1" xr2:uid="{9C7673C2-C698-4185-90AB-64C74D43985E}"/>
  </bookViews>
  <sheets>
    <sheet name="Usuarios" sheetId="1" r:id="rId1"/>
    <sheet name="Hoja1" sheetId="2" r:id="rId2"/>
  </sheets>
  <definedNames>
    <definedName name="_xlnm._FilterDatabase" localSheetId="1" hidden="1">Hoja1!$A$1:$I$80</definedName>
    <definedName name="_xlnm._FilterDatabase" localSheetId="0" hidden="1">Usuarios!$A$1:$G$20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2" i="1" l="1"/>
  <c r="E18" i="1"/>
  <c r="E43" i="1"/>
</calcChain>
</file>

<file path=xl/sharedStrings.xml><?xml version="1.0" encoding="utf-8"?>
<sst xmlns="http://schemas.openxmlformats.org/spreadsheetml/2006/main" count="844" uniqueCount="147">
  <si>
    <t>Mes</t>
  </si>
  <si>
    <t>Año</t>
  </si>
  <si>
    <t>Tipo Usuario</t>
  </si>
  <si>
    <t>Categoria</t>
  </si>
  <si>
    <t>Usuario Renombrados/Eliminados</t>
  </si>
  <si>
    <t>Total Usuarios</t>
  </si>
  <si>
    <t>Ticket ServiceNow</t>
  </si>
  <si>
    <t>Enero</t>
  </si>
  <si>
    <t>Generico</t>
  </si>
  <si>
    <t>Genéricos Eliminados</t>
  </si>
  <si>
    <t>N/A</t>
  </si>
  <si>
    <t>Genéricos Renombrados/Deshabilitados</t>
  </si>
  <si>
    <t xml:space="preserve">Deshabiltiar buzon Exchange </t>
  </si>
  <si>
    <t>Grupo AD</t>
  </si>
  <si>
    <t>Grupos AD Eliminados</t>
  </si>
  <si>
    <t>Personalizado</t>
  </si>
  <si>
    <t>Colaboradores Externos Eliminados</t>
  </si>
  <si>
    <t>Colaboradores Internos Inactivos</t>
  </si>
  <si>
    <t>Colaboradores Externos Deshabilitados</t>
  </si>
  <si>
    <t>Actualizacion Contrapartes Externos</t>
  </si>
  <si>
    <t>Febrero</t>
  </si>
  <si>
    <t>Grupos AD en BD</t>
  </si>
  <si>
    <t>Marzo</t>
  </si>
  <si>
    <t>CHG0528966</t>
  </si>
  <si>
    <t>Genéricos duplicados / creados en AD</t>
  </si>
  <si>
    <t xml:space="preserve">RITM0841500 </t>
  </si>
  <si>
    <t xml:space="preserve"> </t>
  </si>
  <si>
    <t>Abril</t>
  </si>
  <si>
    <t>Genéricos Renombrados</t>
  </si>
  <si>
    <t>Colaboradores Internos Eliminados</t>
  </si>
  <si>
    <t>Accesos</t>
  </si>
  <si>
    <t>Accesos en roles regularizados</t>
  </si>
  <si>
    <t>Eliminacion de permisos en AD</t>
  </si>
  <si>
    <t>Eliminacion de permisos Domain Admin</t>
  </si>
  <si>
    <t>Mayo</t>
  </si>
  <si>
    <t>CHG0620337</t>
  </si>
  <si>
    <t>Eliminación Buzon Exchange + licenciamiento</t>
  </si>
  <si>
    <t>RITM0841511 </t>
  </si>
  <si>
    <t xml:space="preserve">CHG0675988 </t>
  </si>
  <si>
    <t>RITM0901063</t>
  </si>
  <si>
    <t>Eliminacion buzones WebMail</t>
  </si>
  <si>
    <t>Junio</t>
  </si>
  <si>
    <t>CHG0708610 </t>
  </si>
  <si>
    <t>CHG0679019 / CHG0679030</t>
  </si>
  <si>
    <t>Eliminacion de carpetas FTP ENP</t>
  </si>
  <si>
    <t>CHG0670719</t>
  </si>
  <si>
    <t>Eliminacion de carpetas FTP PROD</t>
  </si>
  <si>
    <t>CHG0676798</t>
  </si>
  <si>
    <t>Migracion Buzones O365</t>
  </si>
  <si>
    <t>CATEGORIA DEPURACIÓN</t>
  </si>
  <si>
    <t>ENTORNO</t>
  </si>
  <si>
    <t>PLANIFICACION</t>
  </si>
  <si>
    <t>APLICACION</t>
  </si>
  <si>
    <t>TIPO DE USUARIO</t>
  </si>
  <si>
    <t>RESPONSABLE</t>
  </si>
  <si>
    <t>ACCION EJECUTADA</t>
  </si>
  <si>
    <t>FECHA DE DESPURACION</t>
  </si>
  <si>
    <t>TICKET</t>
  </si>
  <si>
    <t>Observacion</t>
  </si>
  <si>
    <t>ACTIVE DIRECTORY</t>
  </si>
  <si>
    <t>PROD</t>
  </si>
  <si>
    <t>GENERICO</t>
  </si>
  <si>
    <t>BUYANA</t>
  </si>
  <si>
    <t>ELIMINAR</t>
  </si>
  <si>
    <t>CHG0461106</t>
  </si>
  <si>
    <t>Control Mensual</t>
  </si>
  <si>
    <t>DESHABILITAR</t>
  </si>
  <si>
    <t>BASE DE DATOS</t>
  </si>
  <si>
    <t>SQL</t>
  </si>
  <si>
    <t>GRUPO</t>
  </si>
  <si>
    <t>CHG0463292</t>
  </si>
  <si>
    <t>ORACLE</t>
  </si>
  <si>
    <t>CHG0463589</t>
  </si>
  <si>
    <t>PERSONALIZADO EXTERNO</t>
  </si>
  <si>
    <t>AMVERGAR</t>
  </si>
  <si>
    <t xml:space="preserve">RITM0773547 </t>
  </si>
  <si>
    <t>Certificacion de externos</t>
  </si>
  <si>
    <t>PERSONALIZADO INTERNO</t>
  </si>
  <si>
    <t>ACTUALIZACION CONTRAPARTE</t>
  </si>
  <si>
    <t>Actualizacion de contrapartes de externos</t>
  </si>
  <si>
    <t>CHG0491895</t>
  </si>
  <si>
    <t>CHG0499930</t>
  </si>
  <si>
    <t>CHG0499546</t>
  </si>
  <si>
    <t>GENERICO DUPLICADOS</t>
  </si>
  <si>
    <t>DMLESCAN</t>
  </si>
  <si>
    <t>CHG0529448</t>
  </si>
  <si>
    <t>Eliminacion usuarios P012BAND</t>
  </si>
  <si>
    <t>CHG0597431</t>
  </si>
  <si>
    <t>ACCESOS</t>
  </si>
  <si>
    <t>SAILPOINT</t>
  </si>
  <si>
    <t>PERSONALIZADOS</t>
  </si>
  <si>
    <t>RREQUELM
BUYANA</t>
  </si>
  <si>
    <t xml:space="preserve">Se eliminaron accesos de usuarios que no debieron tenener </t>
  </si>
  <si>
    <t>HSAMANIE 
BUYANA</t>
  </si>
  <si>
    <t>Se retiraron usuarios no autorizados al grupo GF_Reseteo</t>
  </si>
  <si>
    <t>Se retiraron usaurios genericos del grupo Domain Admin</t>
  </si>
  <si>
    <t>Grupos Vacios</t>
  </si>
  <si>
    <t>ATM</t>
  </si>
  <si>
    <t>SIGLO
BANCS</t>
  </si>
  <si>
    <t>YLEON</t>
  </si>
  <si>
    <t>Eliminacion cuentas ATM sin uso</t>
  </si>
  <si>
    <t>BUZON DE CORREO</t>
  </si>
  <si>
    <t>EXCHANGE ONPREM</t>
  </si>
  <si>
    <t>PERSONALIZADO
GENERICO</t>
  </si>
  <si>
    <t>Depuracion buzones sin uso</t>
  </si>
  <si>
    <t>FTP/SFTP</t>
  </si>
  <si>
    <t>TEST</t>
  </si>
  <si>
    <t>GOANYWHERE</t>
  </si>
  <si>
    <t>CARPETAS</t>
  </si>
  <si>
    <t xml:space="preserve">CHG0679019 </t>
  </si>
  <si>
    <t>MIGRAR</t>
  </si>
  <si>
    <t>Migracion total de buzones de onprem a cloud</t>
  </si>
  <si>
    <t>HABILITAR EXPIRACION CONTRASEÑA</t>
  </si>
  <si>
    <t>Usuarios a los que se les ha activado la expiración de contraseña</t>
  </si>
  <si>
    <t>Usuarios identificados para eliminación en AD</t>
  </si>
  <si>
    <t>Usuarios a los que se retirará la configuración de contraseña sin caducidad</t>
  </si>
  <si>
    <t xml:space="preserve">CHG0676798 </t>
  </si>
  <si>
    <t>GENERICO
PERSONALIZADO</t>
  </si>
  <si>
    <t>Retiro del campo fax, evitar sincronizacion con GoAnywhere</t>
  </si>
  <si>
    <t>ROTATIVOS</t>
  </si>
  <si>
    <t>ELIMINACION ROTATIVOS</t>
  </si>
  <si>
    <t>COSSBOARDING</t>
  </si>
  <si>
    <t>DLP</t>
  </si>
  <si>
    <t>PERSONALIZADO</t>
  </si>
  <si>
    <t>RREQUELM</t>
  </si>
  <si>
    <t>Flujo de retiro Crossboarding</t>
  </si>
  <si>
    <t>BASES DATOS</t>
  </si>
  <si>
    <t>SFTP/FTP</t>
  </si>
  <si>
    <t>Usuario sin USO</t>
  </si>
  <si>
    <t xml:space="preserve">CHG0796880 </t>
  </si>
  <si>
    <t>Depuracion auditoria Q93</t>
  </si>
  <si>
    <t>SISTEMA</t>
  </si>
  <si>
    <t>ESTACION DIGITAL</t>
  </si>
  <si>
    <t>Revision estaciones digitales</t>
  </si>
  <si>
    <t>Revision estaciones digitales, afectacion de 94 usarios</t>
  </si>
  <si>
    <t>DOMINIOS</t>
  </si>
  <si>
    <t>ENTRA ID</t>
  </si>
  <si>
    <t>DATERAN</t>
  </si>
  <si>
    <t>Revision Dominios de Confianza</t>
  </si>
  <si>
    <t>SHAREPOINT / ONEDRIVE</t>
  </si>
  <si>
    <t>TEAMS</t>
  </si>
  <si>
    <t>DOMINIOS GUEST</t>
  </si>
  <si>
    <t>USUARIOS GUEST</t>
  </si>
  <si>
    <t>SEGMENTACION</t>
  </si>
  <si>
    <t>BANCS</t>
  </si>
  <si>
    <t>AMFIERRO</t>
  </si>
  <si>
    <t>Eliminacion opciones 1 y 21 pantalla 677050 ( 19 Menus)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</si>
</sst>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6" borderId="0" xfId="0" applyFont="1" applyFill="1"/>
    <xf numFmtId="3" fontId="0" fillId="2" borderId="0" xfId="0" applyNumberFormat="1" applyFill="1"/>
    <xf numFmtId="0" fontId="2" fillId="2" borderId="0" xfId="0" applyFont="1" applyFill="1"/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right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14" fontId="0" fillId="5" borderId="1" xfId="0" applyNumberFormat="1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14" fontId="0" fillId="4" borderId="1" xfId="0" applyNumberFormat="1" applyFill="1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8CE15F-F9E1-4FE6-A5D2-E37E7FC2B298}" name="Tabla2" displayName="Tabla2" ref="A1:G52" totalsRowShown="0" headerRowDxfId="0">
  <autoFilter ref="A1:G52" xr:uid="{C68CE15F-F9E1-4FE6-A5D2-E37E7FC2B298}"/>
  <sortState xmlns:xlrd2="http://schemas.microsoft.com/office/spreadsheetml/2017/richdata2" ref="A2:G42">
    <sortCondition ref="A2:A42" customList="enero,febrero,marzo,abril,mayo,junio,julio,agosto,septiembre,octubre,noviembre,diciembre"/>
  </sortState>
  <tableColumns count="7">
    <tableColumn id="1" xr3:uid="{E8D7AA7E-3EE7-4CF2-B0A6-48FF78438442}" name="Mes"/>
    <tableColumn id="2" xr3:uid="{D901030F-A7EE-434B-8AC6-07402718DF62}" name="Año"/>
    <tableColumn id="3" xr3:uid="{5BAA3DD3-D9D9-4FAB-8F3E-496C806C8565}" name="Tipo Usuario"/>
    <tableColumn id="4" xr3:uid="{78CE4F2F-4060-4D44-99D8-276AC220E625}" name="Categoria"/>
    <tableColumn id="5" xr3:uid="{B8886A7A-5CE4-433F-AF8A-9266625619CD}" name="Usuario Renombrados/Eliminados"/>
    <tableColumn id="6" xr3:uid="{3C895A96-C363-40A6-B4D1-82460FBB961E}" name="Total Usuarios"/>
    <tableColumn id="7" xr3:uid="{6E83A13D-CCC8-45AD-8AD9-3F69D82FC631}" name="Ticket ServiceNow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0553-F3F8-4304-BD63-6972B6F64087}">
  <dimension ref="A1:J52"/>
  <sheetViews>
    <sheetView topLeftCell="A33" zoomScaleNormal="100" workbookViewId="0">
      <selection activeCell="E2" sqref="E2:E3"/>
    </sheetView>
  </sheetViews>
  <sheetFormatPr defaultColWidth="11" defaultRowHeight="15" customHeight="1"/>
  <cols>
    <col min="1" max="1" width="7.140625" customWidth="1"/>
    <col min="2" max="2" width="6" customWidth="1"/>
    <col min="3" max="3" width="13.140625" customWidth="1"/>
    <col min="4" max="4" width="37.7109375" bestFit="1" customWidth="1"/>
    <col min="5" max="5" width="31.42578125" customWidth="1"/>
    <col min="6" max="6" width="28.42578125" customWidth="1"/>
    <col min="7" max="7" width="25.42578125" customWidth="1"/>
  </cols>
  <sheetData>
    <row r="1" spans="1:10" ht="14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ht="14.45">
      <c r="A2" s="2" t="s">
        <v>7</v>
      </c>
      <c r="B2" s="2">
        <v>2026</v>
      </c>
      <c r="C2" s="2" t="s">
        <v>8</v>
      </c>
      <c r="D2" s="2" t="s">
        <v>9</v>
      </c>
      <c r="E2" s="2">
        <v>382</v>
      </c>
      <c r="F2" s="2">
        <v>2460</v>
      </c>
      <c r="G2" s="2" t="s">
        <v>10</v>
      </c>
      <c r="J2">
        <v>2460</v>
      </c>
    </row>
    <row r="3" spans="1:10" ht="14.45">
      <c r="A3" s="2" t="s">
        <v>7</v>
      </c>
      <c r="B3" s="2">
        <v>2026</v>
      </c>
      <c r="C3" s="2" t="s">
        <v>8</v>
      </c>
      <c r="D3" s="2" t="s">
        <v>11</v>
      </c>
      <c r="E3" s="2">
        <v>146</v>
      </c>
      <c r="F3" s="2">
        <v>2460</v>
      </c>
      <c r="G3" s="2" t="s">
        <v>10</v>
      </c>
    </row>
    <row r="4" spans="1:10" ht="14.45">
      <c r="A4" s="2" t="s">
        <v>7</v>
      </c>
      <c r="B4" s="2">
        <v>2026</v>
      </c>
      <c r="C4" s="2" t="s">
        <v>8</v>
      </c>
      <c r="D4" s="2" t="s">
        <v>12</v>
      </c>
      <c r="E4" s="2">
        <v>167</v>
      </c>
      <c r="F4" s="2">
        <v>9449</v>
      </c>
      <c r="G4" s="2" t="s">
        <v>10</v>
      </c>
    </row>
    <row r="5" spans="1:10" ht="14.45">
      <c r="A5" s="2" t="s">
        <v>7</v>
      </c>
      <c r="B5" s="2">
        <v>2026</v>
      </c>
      <c r="C5" s="2" t="s">
        <v>13</v>
      </c>
      <c r="D5" s="2" t="s">
        <v>14</v>
      </c>
      <c r="E5" s="2">
        <v>169</v>
      </c>
      <c r="F5" s="2">
        <v>5116</v>
      </c>
      <c r="G5" s="2" t="s">
        <v>10</v>
      </c>
    </row>
    <row r="6" spans="1:10" ht="14.45">
      <c r="A6" s="2" t="s">
        <v>7</v>
      </c>
      <c r="B6" s="2">
        <v>2026</v>
      </c>
      <c r="C6" s="2" t="s">
        <v>15</v>
      </c>
      <c r="D6" s="2" t="s">
        <v>16</v>
      </c>
      <c r="E6" s="2">
        <v>33</v>
      </c>
      <c r="F6" s="2">
        <v>2804</v>
      </c>
      <c r="G6" s="2" t="s">
        <v>10</v>
      </c>
    </row>
    <row r="7" spans="1:10" ht="14.45">
      <c r="A7" s="2" t="s">
        <v>7</v>
      </c>
      <c r="B7" s="2">
        <v>2026</v>
      </c>
      <c r="C7" s="2" t="s">
        <v>15</v>
      </c>
      <c r="D7" s="2" t="s">
        <v>17</v>
      </c>
      <c r="E7" s="2">
        <v>50</v>
      </c>
      <c r="F7" s="2">
        <v>7492</v>
      </c>
      <c r="G7" s="2" t="s">
        <v>10</v>
      </c>
    </row>
    <row r="8" spans="1:10" ht="14.45">
      <c r="A8" s="2" t="s">
        <v>7</v>
      </c>
      <c r="B8" s="2">
        <v>2026</v>
      </c>
      <c r="C8" s="2" t="s">
        <v>15</v>
      </c>
      <c r="D8" s="2" t="s">
        <v>18</v>
      </c>
      <c r="E8" s="2">
        <v>51</v>
      </c>
      <c r="F8" s="2">
        <v>2804</v>
      </c>
      <c r="G8" s="2" t="s">
        <v>10</v>
      </c>
    </row>
    <row r="9" spans="1:10" ht="14.45">
      <c r="A9" s="2" t="s">
        <v>7</v>
      </c>
      <c r="B9" s="2">
        <v>2026</v>
      </c>
      <c r="C9" s="2" t="s">
        <v>15</v>
      </c>
      <c r="D9" s="2" t="s">
        <v>19</v>
      </c>
      <c r="E9" s="2">
        <v>99</v>
      </c>
      <c r="F9" s="2">
        <v>2804</v>
      </c>
      <c r="G9" s="2" t="s">
        <v>10</v>
      </c>
    </row>
    <row r="10" spans="1:10" ht="14.45">
      <c r="A10" s="3" t="s">
        <v>20</v>
      </c>
      <c r="B10" s="3">
        <v>2026</v>
      </c>
      <c r="C10" s="3" t="s">
        <v>8</v>
      </c>
      <c r="D10" s="3" t="s">
        <v>9</v>
      </c>
      <c r="E10" s="3">
        <v>180</v>
      </c>
      <c r="F10" s="3">
        <v>2527</v>
      </c>
      <c r="G10" s="3" t="s">
        <v>10</v>
      </c>
    </row>
    <row r="11" spans="1:10" ht="14.45">
      <c r="A11" s="3" t="s">
        <v>20</v>
      </c>
      <c r="B11" s="3">
        <v>2026</v>
      </c>
      <c r="C11" s="3" t="s">
        <v>8</v>
      </c>
      <c r="D11" s="3" t="s">
        <v>11</v>
      </c>
      <c r="E11" s="3">
        <v>25</v>
      </c>
      <c r="F11" s="3">
        <v>2527</v>
      </c>
      <c r="G11" s="3" t="s">
        <v>10</v>
      </c>
    </row>
    <row r="12" spans="1:10" ht="14.45">
      <c r="A12" s="3" t="s">
        <v>20</v>
      </c>
      <c r="B12" s="3">
        <v>2026</v>
      </c>
      <c r="C12" s="3" t="s">
        <v>13</v>
      </c>
      <c r="D12" s="3" t="s">
        <v>21</v>
      </c>
      <c r="E12" s="3">
        <v>157</v>
      </c>
      <c r="F12" s="3">
        <v>5526</v>
      </c>
      <c r="G12" s="3" t="s">
        <v>10</v>
      </c>
    </row>
    <row r="13" spans="1:10" ht="14.45">
      <c r="A13" s="3" t="s">
        <v>20</v>
      </c>
      <c r="B13" s="3">
        <v>2026</v>
      </c>
      <c r="C13" s="3" t="s">
        <v>15</v>
      </c>
      <c r="D13" s="3" t="s">
        <v>16</v>
      </c>
      <c r="E13" s="3">
        <v>51</v>
      </c>
      <c r="F13" s="3">
        <v>2829</v>
      </c>
      <c r="G13" s="3" t="s">
        <v>10</v>
      </c>
    </row>
    <row r="14" spans="1:10" ht="14.45">
      <c r="A14" s="3" t="s">
        <v>20</v>
      </c>
      <c r="B14" s="3">
        <v>2026</v>
      </c>
      <c r="C14" s="3" t="s">
        <v>15</v>
      </c>
      <c r="D14" s="3" t="s">
        <v>17</v>
      </c>
      <c r="E14" s="3">
        <v>28</v>
      </c>
      <c r="F14" s="3">
        <v>7438</v>
      </c>
      <c r="G14" s="3" t="s">
        <v>10</v>
      </c>
    </row>
    <row r="15" spans="1:10" ht="14.45">
      <c r="A15" s="3" t="s">
        <v>20</v>
      </c>
      <c r="B15" s="3">
        <v>2026</v>
      </c>
      <c r="C15" s="3" t="s">
        <v>15</v>
      </c>
      <c r="D15" s="3" t="s">
        <v>18</v>
      </c>
      <c r="E15" s="3">
        <v>91</v>
      </c>
      <c r="F15" s="3">
        <v>2829</v>
      </c>
      <c r="G15" s="3" t="s">
        <v>10</v>
      </c>
    </row>
    <row r="16" spans="1:10" ht="14.45">
      <c r="A16" s="4" t="s">
        <v>22</v>
      </c>
      <c r="B16" s="4">
        <v>2026</v>
      </c>
      <c r="C16" s="4" t="s">
        <v>8</v>
      </c>
      <c r="D16" s="4" t="s">
        <v>9</v>
      </c>
      <c r="E16" s="4">
        <v>31</v>
      </c>
      <c r="F16" s="4">
        <v>3605</v>
      </c>
      <c r="G16" s="4" t="s">
        <v>23</v>
      </c>
    </row>
    <row r="17" spans="1:7" ht="15" customHeight="1">
      <c r="A17" s="4" t="s">
        <v>22</v>
      </c>
      <c r="B17" s="4">
        <v>2026</v>
      </c>
      <c r="C17" s="4" t="s">
        <v>8</v>
      </c>
      <c r="D17" s="4" t="s">
        <v>11</v>
      </c>
      <c r="E17" s="4">
        <v>257</v>
      </c>
      <c r="F17" s="4">
        <v>3605</v>
      </c>
      <c r="G17" s="4" t="s">
        <v>23</v>
      </c>
    </row>
    <row r="18" spans="1:7" ht="15" customHeight="1">
      <c r="A18" s="4" t="s">
        <v>22</v>
      </c>
      <c r="B18" s="4">
        <v>2026</v>
      </c>
      <c r="C18" s="4" t="s">
        <v>8</v>
      </c>
      <c r="D18" s="4" t="s">
        <v>24</v>
      </c>
      <c r="E18" s="4">
        <f>883+270</f>
        <v>1153</v>
      </c>
      <c r="F18" s="4">
        <v>3605</v>
      </c>
      <c r="G18" s="4" t="s">
        <v>10</v>
      </c>
    </row>
    <row r="19" spans="1:7" ht="14.45">
      <c r="A19" s="4" t="s">
        <v>22</v>
      </c>
      <c r="B19" s="4">
        <v>2026</v>
      </c>
      <c r="C19" s="4" t="s">
        <v>13</v>
      </c>
      <c r="D19" s="4" t="s">
        <v>21</v>
      </c>
      <c r="E19" s="4">
        <v>239</v>
      </c>
      <c r="F19" s="4">
        <v>5773</v>
      </c>
      <c r="G19" s="4" t="s">
        <v>25</v>
      </c>
    </row>
    <row r="20" spans="1:7" ht="14.45">
      <c r="A20" s="4" t="s">
        <v>22</v>
      </c>
      <c r="B20" s="4">
        <v>2026</v>
      </c>
      <c r="C20" s="4" t="s">
        <v>15</v>
      </c>
      <c r="D20" s="4" t="s">
        <v>16</v>
      </c>
      <c r="E20" s="4">
        <v>53</v>
      </c>
      <c r="F20" s="4">
        <v>2931</v>
      </c>
      <c r="G20" s="4" t="s">
        <v>10</v>
      </c>
    </row>
    <row r="21" spans="1:7" ht="15" customHeight="1">
      <c r="A21" s="4" t="s">
        <v>22</v>
      </c>
      <c r="B21" s="4">
        <v>2026</v>
      </c>
      <c r="C21" s="4" t="s">
        <v>15</v>
      </c>
      <c r="D21" s="4" t="s">
        <v>17</v>
      </c>
      <c r="E21" s="4">
        <v>16</v>
      </c>
      <c r="F21" s="4">
        <v>7505</v>
      </c>
      <c r="G21" s="4" t="s">
        <v>10</v>
      </c>
    </row>
    <row r="22" spans="1:7" ht="15" customHeight="1">
      <c r="A22" s="5" t="s">
        <v>22</v>
      </c>
      <c r="B22" s="5">
        <v>2026</v>
      </c>
      <c r="C22" s="5" t="s">
        <v>15</v>
      </c>
      <c r="D22" s="5" t="s">
        <v>18</v>
      </c>
      <c r="E22" s="5">
        <v>104</v>
      </c>
      <c r="F22" s="5">
        <v>2931</v>
      </c>
      <c r="G22" s="5" t="s">
        <v>26</v>
      </c>
    </row>
    <row r="23" spans="1:7" ht="15" customHeight="1">
      <c r="A23" s="7" t="s">
        <v>27</v>
      </c>
      <c r="B23" s="7">
        <v>2026</v>
      </c>
      <c r="C23" s="7" t="s">
        <v>8</v>
      </c>
      <c r="D23" s="7" t="s">
        <v>9</v>
      </c>
      <c r="E23" s="7">
        <v>34</v>
      </c>
      <c r="F23" s="7">
        <v>2992</v>
      </c>
      <c r="G23" s="7" t="s">
        <v>10</v>
      </c>
    </row>
    <row r="24" spans="1:7" ht="15" customHeight="1">
      <c r="A24" s="7" t="s">
        <v>27</v>
      </c>
      <c r="B24" s="7">
        <v>2026</v>
      </c>
      <c r="C24" s="7" t="s">
        <v>8</v>
      </c>
      <c r="D24" s="7" t="s">
        <v>28</v>
      </c>
      <c r="E24" s="7">
        <v>257</v>
      </c>
      <c r="F24" s="7">
        <v>2992</v>
      </c>
      <c r="G24" s="7" t="s">
        <v>10</v>
      </c>
    </row>
    <row r="25" spans="1:7" ht="15" customHeight="1">
      <c r="A25" s="7" t="s">
        <v>27</v>
      </c>
      <c r="B25" s="7">
        <v>2026</v>
      </c>
      <c r="C25" s="7" t="s">
        <v>13</v>
      </c>
      <c r="D25" s="7" t="s">
        <v>14</v>
      </c>
      <c r="E25" s="7">
        <v>86</v>
      </c>
      <c r="F25" s="7">
        <v>6348</v>
      </c>
      <c r="G25" s="7" t="s">
        <v>10</v>
      </c>
    </row>
    <row r="26" spans="1:7" ht="15" customHeight="1">
      <c r="A26" s="7" t="s">
        <v>27</v>
      </c>
      <c r="B26" s="7">
        <v>2026</v>
      </c>
      <c r="C26" s="7" t="s">
        <v>13</v>
      </c>
      <c r="D26" s="7" t="s">
        <v>21</v>
      </c>
      <c r="E26" s="7">
        <v>211</v>
      </c>
      <c r="F26" s="7">
        <v>6348</v>
      </c>
      <c r="G26" s="7" t="s">
        <v>10</v>
      </c>
    </row>
    <row r="27" spans="1:7" ht="15" customHeight="1">
      <c r="A27" s="7" t="s">
        <v>27</v>
      </c>
      <c r="B27" s="7">
        <v>2026</v>
      </c>
      <c r="C27" s="7" t="s">
        <v>15</v>
      </c>
      <c r="D27" s="7" t="s">
        <v>16</v>
      </c>
      <c r="E27" s="7">
        <v>49</v>
      </c>
      <c r="F27" s="7">
        <v>2929</v>
      </c>
      <c r="G27" s="7" t="s">
        <v>10</v>
      </c>
    </row>
    <row r="28" spans="1:7" ht="15" customHeight="1">
      <c r="A28" s="7" t="s">
        <v>27</v>
      </c>
      <c r="B28" s="7">
        <v>2026</v>
      </c>
      <c r="C28" s="7" t="s">
        <v>15</v>
      </c>
      <c r="D28" s="7" t="s">
        <v>29</v>
      </c>
      <c r="E28" s="7">
        <v>22</v>
      </c>
      <c r="F28" s="7">
        <v>7584</v>
      </c>
      <c r="G28" s="7" t="s">
        <v>10</v>
      </c>
    </row>
    <row r="29" spans="1:7" ht="15" customHeight="1">
      <c r="A29" s="7" t="s">
        <v>27</v>
      </c>
      <c r="B29" s="7">
        <v>2026</v>
      </c>
      <c r="C29" s="7" t="s">
        <v>15</v>
      </c>
      <c r="D29" s="7" t="s">
        <v>17</v>
      </c>
      <c r="E29" s="7">
        <v>495</v>
      </c>
      <c r="F29" s="7">
        <v>7584</v>
      </c>
      <c r="G29" s="7" t="s">
        <v>10</v>
      </c>
    </row>
    <row r="30" spans="1:7" ht="15" customHeight="1">
      <c r="A30" s="7" t="s">
        <v>27</v>
      </c>
      <c r="B30" s="7">
        <v>2026</v>
      </c>
      <c r="C30" s="7" t="s">
        <v>15</v>
      </c>
      <c r="D30" s="7" t="s">
        <v>18</v>
      </c>
      <c r="E30" s="7">
        <v>54</v>
      </c>
      <c r="F30" s="7">
        <v>2929</v>
      </c>
      <c r="G30" s="7" t="s">
        <v>10</v>
      </c>
    </row>
    <row r="31" spans="1:7" ht="15" customHeight="1">
      <c r="A31" s="7" t="s">
        <v>27</v>
      </c>
      <c r="B31" s="7">
        <v>2026</v>
      </c>
      <c r="C31" s="7" t="s">
        <v>30</v>
      </c>
      <c r="D31" s="7" t="s">
        <v>31</v>
      </c>
      <c r="E31" s="7">
        <v>23594</v>
      </c>
      <c r="F31" s="7">
        <v>56000</v>
      </c>
      <c r="G31" s="7" t="s">
        <v>10</v>
      </c>
    </row>
    <row r="32" spans="1:7" ht="15" customHeight="1">
      <c r="A32" s="7" t="s">
        <v>27</v>
      </c>
      <c r="B32" s="7">
        <v>2026</v>
      </c>
      <c r="C32" s="7" t="s">
        <v>15</v>
      </c>
      <c r="D32" s="7" t="s">
        <v>19</v>
      </c>
      <c r="E32" s="7">
        <v>10</v>
      </c>
      <c r="F32" s="7">
        <v>2929</v>
      </c>
      <c r="G32" s="7" t="s">
        <v>10</v>
      </c>
    </row>
    <row r="33" spans="1:7" ht="15" customHeight="1">
      <c r="A33" s="7" t="s">
        <v>27</v>
      </c>
      <c r="B33" s="7">
        <v>2026</v>
      </c>
      <c r="C33" s="7" t="s">
        <v>30</v>
      </c>
      <c r="D33" s="7" t="s">
        <v>32</v>
      </c>
      <c r="E33" s="7">
        <v>7</v>
      </c>
      <c r="F33" s="7">
        <v>38</v>
      </c>
      <c r="G33" s="7" t="s">
        <v>10</v>
      </c>
    </row>
    <row r="34" spans="1:7" ht="15" customHeight="1">
      <c r="A34" s="7" t="s">
        <v>27</v>
      </c>
      <c r="B34" s="7">
        <v>2026</v>
      </c>
      <c r="C34" s="7" t="s">
        <v>8</v>
      </c>
      <c r="D34" s="7" t="s">
        <v>33</v>
      </c>
      <c r="E34" s="7">
        <v>5</v>
      </c>
      <c r="F34" s="7">
        <v>2992</v>
      </c>
      <c r="G34" s="7" t="s">
        <v>10</v>
      </c>
    </row>
    <row r="35" spans="1:7" ht="15" customHeight="1">
      <c r="A35" s="6" t="s">
        <v>34</v>
      </c>
      <c r="B35" s="6">
        <v>2026</v>
      </c>
      <c r="C35" s="6" t="s">
        <v>8</v>
      </c>
      <c r="D35" s="6" t="s">
        <v>9</v>
      </c>
      <c r="E35" s="6">
        <v>254</v>
      </c>
      <c r="F35" s="6">
        <v>2517</v>
      </c>
      <c r="G35" s="6" t="s">
        <v>35</v>
      </c>
    </row>
    <row r="36" spans="1:7" ht="15" customHeight="1">
      <c r="A36" s="6" t="s">
        <v>34</v>
      </c>
      <c r="B36" s="6">
        <v>2026</v>
      </c>
      <c r="C36" s="6" t="s">
        <v>8</v>
      </c>
      <c r="D36" s="6" t="s">
        <v>36</v>
      </c>
      <c r="E36" s="6">
        <v>624</v>
      </c>
      <c r="F36" s="6">
        <v>2517</v>
      </c>
      <c r="G36" s="6" t="s">
        <v>10</v>
      </c>
    </row>
    <row r="37" spans="1:7" ht="15" customHeight="1">
      <c r="A37" s="6" t="s">
        <v>34</v>
      </c>
      <c r="B37" s="6">
        <v>2026</v>
      </c>
      <c r="C37" s="6" t="s">
        <v>13</v>
      </c>
      <c r="D37" s="6" t="s">
        <v>14</v>
      </c>
      <c r="E37" s="6">
        <v>40</v>
      </c>
      <c r="F37" s="6">
        <v>6348</v>
      </c>
      <c r="G37" s="6" t="s">
        <v>37</v>
      </c>
    </row>
    <row r="38" spans="1:7" ht="15" customHeight="1">
      <c r="A38" s="6" t="s">
        <v>34</v>
      </c>
      <c r="B38" s="6">
        <v>2026</v>
      </c>
      <c r="C38" s="6" t="s">
        <v>13</v>
      </c>
      <c r="D38" s="6" t="s">
        <v>21</v>
      </c>
      <c r="E38" s="6">
        <v>275</v>
      </c>
      <c r="F38" s="6">
        <v>6348</v>
      </c>
      <c r="G38" s="6" t="s">
        <v>38</v>
      </c>
    </row>
    <row r="39" spans="1:7" ht="15" customHeight="1">
      <c r="A39" s="6" t="s">
        <v>34</v>
      </c>
      <c r="B39" s="6">
        <v>2026</v>
      </c>
      <c r="C39" s="6" t="s">
        <v>15</v>
      </c>
      <c r="D39" s="6" t="s">
        <v>16</v>
      </c>
      <c r="E39" s="6">
        <v>60</v>
      </c>
      <c r="F39" s="6">
        <v>2915</v>
      </c>
      <c r="G39" s="6" t="s">
        <v>10</v>
      </c>
    </row>
    <row r="40" spans="1:7" ht="15" customHeight="1">
      <c r="A40" s="6" t="s">
        <v>34</v>
      </c>
      <c r="B40" s="6">
        <v>2026</v>
      </c>
      <c r="C40" s="6" t="s">
        <v>15</v>
      </c>
      <c r="D40" s="6" t="s">
        <v>17</v>
      </c>
      <c r="E40" s="6">
        <v>14</v>
      </c>
      <c r="F40" s="6">
        <v>7473</v>
      </c>
      <c r="G40" s="6" t="s">
        <v>10</v>
      </c>
    </row>
    <row r="41" spans="1:7" ht="15" customHeight="1">
      <c r="A41" s="6" t="s">
        <v>34</v>
      </c>
      <c r="B41" s="6">
        <v>2026</v>
      </c>
      <c r="C41" s="6" t="s">
        <v>15</v>
      </c>
      <c r="D41" s="6" t="s">
        <v>18</v>
      </c>
      <c r="E41" s="6">
        <v>14</v>
      </c>
      <c r="F41" s="6">
        <v>2915</v>
      </c>
      <c r="G41" s="6" t="s">
        <v>39</v>
      </c>
    </row>
    <row r="42" spans="1:7" ht="15" customHeight="1">
      <c r="A42" s="6" t="s">
        <v>34</v>
      </c>
      <c r="B42" s="6">
        <v>2026</v>
      </c>
      <c r="C42" s="6" t="s">
        <v>15</v>
      </c>
      <c r="D42" s="6" t="s">
        <v>19</v>
      </c>
      <c r="E42" s="6">
        <v>350</v>
      </c>
      <c r="F42" s="6">
        <v>2915</v>
      </c>
      <c r="G42" s="6" t="s">
        <v>10</v>
      </c>
    </row>
    <row r="43" spans="1:7" ht="15" customHeight="1">
      <c r="A43" s="6" t="s">
        <v>34</v>
      </c>
      <c r="B43" s="6">
        <v>2026</v>
      </c>
      <c r="C43" s="6" t="s">
        <v>30</v>
      </c>
      <c r="D43" s="8" t="s">
        <v>40</v>
      </c>
      <c r="E43" s="8">
        <f xml:space="preserve"> 486 + 88</f>
        <v>574</v>
      </c>
      <c r="F43" s="8">
        <v>753</v>
      </c>
      <c r="G43" s="6" t="s">
        <v>10</v>
      </c>
    </row>
    <row r="44" spans="1:7" ht="15" customHeight="1">
      <c r="A44" s="2" t="s">
        <v>41</v>
      </c>
      <c r="B44" s="2">
        <v>2026</v>
      </c>
      <c r="C44" s="2" t="s">
        <v>8</v>
      </c>
      <c r="D44" s="2" t="s">
        <v>28</v>
      </c>
      <c r="E44" s="2">
        <v>107</v>
      </c>
      <c r="F44" s="2">
        <v>1949</v>
      </c>
      <c r="G44" s="2" t="s">
        <v>42</v>
      </c>
    </row>
    <row r="45" spans="1:7" ht="15" customHeight="1">
      <c r="A45" s="2" t="s">
        <v>41</v>
      </c>
      <c r="B45" s="2">
        <v>2026</v>
      </c>
      <c r="C45" s="2" t="s">
        <v>13</v>
      </c>
      <c r="D45" s="2" t="s">
        <v>14</v>
      </c>
      <c r="E45" s="2">
        <v>25</v>
      </c>
      <c r="F45" s="2">
        <v>6412</v>
      </c>
      <c r="G45" s="2" t="s">
        <v>10</v>
      </c>
    </row>
    <row r="46" spans="1:7" ht="15" customHeight="1">
      <c r="A46" s="2" t="s">
        <v>41</v>
      </c>
      <c r="B46" s="2">
        <v>2026</v>
      </c>
      <c r="C46" s="2" t="s">
        <v>13</v>
      </c>
      <c r="D46" s="2" t="s">
        <v>21</v>
      </c>
      <c r="E46" s="2">
        <v>200</v>
      </c>
      <c r="F46" s="2">
        <v>6412</v>
      </c>
      <c r="G46" s="2" t="s">
        <v>43</v>
      </c>
    </row>
    <row r="47" spans="1:7" ht="15" customHeight="1">
      <c r="A47" s="2" t="s">
        <v>41</v>
      </c>
      <c r="B47" s="2">
        <v>2026</v>
      </c>
      <c r="C47" s="2" t="s">
        <v>15</v>
      </c>
      <c r="D47" s="2" t="s">
        <v>16</v>
      </c>
      <c r="E47" s="2">
        <v>69</v>
      </c>
      <c r="F47" s="2">
        <v>2955</v>
      </c>
      <c r="G47" s="2" t="s">
        <v>10</v>
      </c>
    </row>
    <row r="48" spans="1:7" ht="15" customHeight="1">
      <c r="A48" s="2" t="s">
        <v>41</v>
      </c>
      <c r="B48" s="2">
        <v>2026</v>
      </c>
      <c r="C48" s="2" t="s">
        <v>15</v>
      </c>
      <c r="D48" s="2" t="s">
        <v>17</v>
      </c>
      <c r="E48" s="2">
        <v>8</v>
      </c>
      <c r="F48" s="2">
        <v>7491</v>
      </c>
      <c r="G48" s="2" t="s">
        <v>10</v>
      </c>
    </row>
    <row r="49" spans="1:7" ht="15" customHeight="1">
      <c r="A49" s="2" t="s">
        <v>41</v>
      </c>
      <c r="B49" s="2">
        <v>2026</v>
      </c>
      <c r="C49" s="2" t="s">
        <v>15</v>
      </c>
      <c r="D49" s="2" t="s">
        <v>18</v>
      </c>
      <c r="E49" s="2">
        <v>177</v>
      </c>
      <c r="F49" s="2">
        <v>2955</v>
      </c>
      <c r="G49" s="2" t="s">
        <v>39</v>
      </c>
    </row>
    <row r="50" spans="1:7" ht="15" customHeight="1">
      <c r="A50" s="2" t="s">
        <v>41</v>
      </c>
      <c r="B50" s="2">
        <v>2026</v>
      </c>
      <c r="C50" s="2" t="s">
        <v>30</v>
      </c>
      <c r="D50" s="2" t="s">
        <v>44</v>
      </c>
      <c r="E50" s="9">
        <v>432798</v>
      </c>
      <c r="F50" s="9">
        <v>455010</v>
      </c>
      <c r="G50" s="2" t="s">
        <v>45</v>
      </c>
    </row>
    <row r="51" spans="1:7" ht="15" customHeight="1">
      <c r="A51" s="2" t="s">
        <v>41</v>
      </c>
      <c r="B51" s="2">
        <v>2026</v>
      </c>
      <c r="C51" s="2" t="s">
        <v>30</v>
      </c>
      <c r="D51" s="2" t="s">
        <v>46</v>
      </c>
      <c r="E51" s="9">
        <v>4834</v>
      </c>
      <c r="F51" s="9">
        <v>1117604</v>
      </c>
      <c r="G51" s="2" t="s">
        <v>47</v>
      </c>
    </row>
    <row r="52" spans="1:7" ht="15" customHeight="1">
      <c r="A52" s="2" t="s">
        <v>41</v>
      </c>
      <c r="B52" s="2">
        <v>2026</v>
      </c>
      <c r="C52" s="2" t="s">
        <v>8</v>
      </c>
      <c r="D52" s="10" t="s">
        <v>48</v>
      </c>
      <c r="E52" s="2">
        <v>166</v>
      </c>
      <c r="F52" s="10">
        <f>106+61</f>
        <v>167</v>
      </c>
      <c r="G52" s="2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1FB0-D366-4763-BCC9-654BE1CC98B1}">
  <dimension ref="A1:J86"/>
  <sheetViews>
    <sheetView tabSelected="1" zoomScale="85" zoomScaleNormal="85" workbookViewId="0">
      <selection activeCell="E1" sqref="E1"/>
    </sheetView>
  </sheetViews>
  <sheetFormatPr defaultColWidth="24.5703125" defaultRowHeight="14.45"/>
  <cols>
    <col min="2" max="2" width="10.85546875" customWidth="1"/>
    <col min="3" max="3" width="15.85546875" customWidth="1"/>
    <col min="4" max="4" width="24.42578125" customWidth="1"/>
    <col min="5" max="5" width="33" customWidth="1"/>
    <col min="6" max="6" width="14.85546875" customWidth="1"/>
    <col min="7" max="7" width="34.7109375" customWidth="1"/>
    <col min="10" max="10" width="61.7109375" customWidth="1"/>
  </cols>
  <sheetData>
    <row r="1" spans="1:10">
      <c r="A1" s="11" t="s">
        <v>49</v>
      </c>
      <c r="B1" s="11" t="s">
        <v>50</v>
      </c>
      <c r="C1" s="11" t="s">
        <v>51</v>
      </c>
      <c r="D1" s="11" t="s">
        <v>52</v>
      </c>
      <c r="E1" s="11" t="s">
        <v>53</v>
      </c>
      <c r="F1" s="11" t="s">
        <v>54</v>
      </c>
      <c r="G1" s="11" t="s">
        <v>55</v>
      </c>
      <c r="H1" s="11" t="s">
        <v>56</v>
      </c>
      <c r="I1" s="11" t="s">
        <v>57</v>
      </c>
      <c r="J1" s="11" t="s">
        <v>58</v>
      </c>
    </row>
    <row r="2" spans="1:10">
      <c r="A2" s="11" t="s">
        <v>59</v>
      </c>
      <c r="B2" s="11" t="s">
        <v>60</v>
      </c>
      <c r="C2" s="11">
        <v>382</v>
      </c>
      <c r="D2" s="11" t="s">
        <v>59</v>
      </c>
      <c r="E2" s="11" t="s">
        <v>61</v>
      </c>
      <c r="F2" s="11" t="s">
        <v>62</v>
      </c>
      <c r="G2" s="11" t="s">
        <v>63</v>
      </c>
      <c r="H2" s="12">
        <v>46031</v>
      </c>
      <c r="I2" s="11" t="s">
        <v>64</v>
      </c>
      <c r="J2" s="11" t="s">
        <v>65</v>
      </c>
    </row>
    <row r="3" spans="1:10">
      <c r="A3" s="11" t="s">
        <v>59</v>
      </c>
      <c r="B3" s="11" t="s">
        <v>60</v>
      </c>
      <c r="C3" s="11">
        <v>146</v>
      </c>
      <c r="D3" s="11" t="s">
        <v>59</v>
      </c>
      <c r="E3" s="11" t="s">
        <v>61</v>
      </c>
      <c r="F3" s="11" t="s">
        <v>62</v>
      </c>
      <c r="G3" s="11" t="s">
        <v>66</v>
      </c>
      <c r="H3" s="12">
        <v>46031</v>
      </c>
      <c r="I3" s="11" t="s">
        <v>64</v>
      </c>
      <c r="J3" s="11" t="s">
        <v>65</v>
      </c>
    </row>
    <row r="4" spans="1:10">
      <c r="A4" s="11" t="s">
        <v>67</v>
      </c>
      <c r="B4" s="11" t="s">
        <v>60</v>
      </c>
      <c r="C4" s="11">
        <v>169</v>
      </c>
      <c r="D4" s="11" t="s">
        <v>68</v>
      </c>
      <c r="E4" s="11" t="s">
        <v>69</v>
      </c>
      <c r="F4" s="11" t="s">
        <v>62</v>
      </c>
      <c r="G4" s="11" t="s">
        <v>63</v>
      </c>
      <c r="H4" s="12">
        <v>46035</v>
      </c>
      <c r="I4" s="11" t="s">
        <v>70</v>
      </c>
      <c r="J4" s="11" t="s">
        <v>65</v>
      </c>
    </row>
    <row r="5" spans="1:10">
      <c r="A5" s="11" t="s">
        <v>67</v>
      </c>
      <c r="B5" s="11" t="s">
        <v>60</v>
      </c>
      <c r="C5" s="11">
        <v>92</v>
      </c>
      <c r="D5" s="11" t="s">
        <v>68</v>
      </c>
      <c r="E5" s="11" t="s">
        <v>61</v>
      </c>
      <c r="F5" s="11" t="s">
        <v>62</v>
      </c>
      <c r="G5" s="11" t="s">
        <v>63</v>
      </c>
      <c r="H5" s="12">
        <v>46035</v>
      </c>
      <c r="I5" s="11" t="s">
        <v>70</v>
      </c>
      <c r="J5" s="11" t="s">
        <v>65</v>
      </c>
    </row>
    <row r="6" spans="1:10">
      <c r="A6" s="11" t="s">
        <v>67</v>
      </c>
      <c r="B6" s="11" t="s">
        <v>60</v>
      </c>
      <c r="C6" s="11">
        <v>15</v>
      </c>
      <c r="D6" s="11" t="s">
        <v>71</v>
      </c>
      <c r="E6" s="11" t="s">
        <v>61</v>
      </c>
      <c r="F6" s="11" t="s">
        <v>62</v>
      </c>
      <c r="G6" s="11" t="s">
        <v>63</v>
      </c>
      <c r="H6" s="12">
        <v>46035</v>
      </c>
      <c r="I6" s="11" t="s">
        <v>72</v>
      </c>
      <c r="J6" s="11" t="s">
        <v>65</v>
      </c>
    </row>
    <row r="7" spans="1:10">
      <c r="A7" s="11" t="s">
        <v>59</v>
      </c>
      <c r="B7" s="11" t="s">
        <v>60</v>
      </c>
      <c r="C7" s="11">
        <v>33</v>
      </c>
      <c r="D7" s="11" t="s">
        <v>59</v>
      </c>
      <c r="E7" s="11" t="s">
        <v>73</v>
      </c>
      <c r="F7" s="11" t="s">
        <v>62</v>
      </c>
      <c r="G7" s="11" t="s">
        <v>63</v>
      </c>
      <c r="H7" s="12">
        <v>46031</v>
      </c>
      <c r="I7" s="11" t="s">
        <v>64</v>
      </c>
      <c r="J7" s="11" t="s">
        <v>65</v>
      </c>
    </row>
    <row r="8" spans="1:10" ht="15.95">
      <c r="A8" s="11" t="s">
        <v>59</v>
      </c>
      <c r="B8" s="11" t="s">
        <v>60</v>
      </c>
      <c r="C8" s="11">
        <v>25</v>
      </c>
      <c r="D8" s="11" t="s">
        <v>59</v>
      </c>
      <c r="E8" s="11" t="s">
        <v>73</v>
      </c>
      <c r="F8" s="11" t="s">
        <v>74</v>
      </c>
      <c r="G8" s="11" t="s">
        <v>63</v>
      </c>
      <c r="H8" s="12">
        <v>46044</v>
      </c>
      <c r="I8" s="13" t="s">
        <v>75</v>
      </c>
      <c r="J8" s="11" t="s">
        <v>76</v>
      </c>
    </row>
    <row r="9" spans="1:10">
      <c r="A9" s="11" t="s">
        <v>59</v>
      </c>
      <c r="B9" s="11" t="s">
        <v>60</v>
      </c>
      <c r="C9" s="11">
        <v>51</v>
      </c>
      <c r="D9" s="11" t="s">
        <v>59</v>
      </c>
      <c r="E9" s="11" t="s">
        <v>73</v>
      </c>
      <c r="F9" s="11" t="s">
        <v>62</v>
      </c>
      <c r="G9" s="11" t="s">
        <v>66</v>
      </c>
      <c r="H9" s="12">
        <v>46034</v>
      </c>
      <c r="I9" s="11"/>
      <c r="J9" s="11" t="s">
        <v>65</v>
      </c>
    </row>
    <row r="10" spans="1:10">
      <c r="A10" s="11" t="s">
        <v>59</v>
      </c>
      <c r="B10" s="11" t="s">
        <v>60</v>
      </c>
      <c r="C10" s="11">
        <v>50</v>
      </c>
      <c r="D10" s="11" t="s">
        <v>59</v>
      </c>
      <c r="E10" s="11" t="s">
        <v>77</v>
      </c>
      <c r="F10" s="11" t="s">
        <v>62</v>
      </c>
      <c r="G10" s="11" t="s">
        <v>66</v>
      </c>
      <c r="H10" s="12">
        <v>46034</v>
      </c>
      <c r="I10" s="11"/>
      <c r="J10" s="11" t="s">
        <v>65</v>
      </c>
    </row>
    <row r="11" spans="1:10">
      <c r="A11" s="11" t="s">
        <v>59</v>
      </c>
      <c r="B11" s="11" t="s">
        <v>60</v>
      </c>
      <c r="C11" s="11">
        <v>99</v>
      </c>
      <c r="D11" s="11" t="s">
        <v>59</v>
      </c>
      <c r="E11" s="11" t="s">
        <v>73</v>
      </c>
      <c r="F11" s="11" t="s">
        <v>62</v>
      </c>
      <c r="G11" s="11" t="s">
        <v>78</v>
      </c>
      <c r="H11" s="12">
        <v>46027</v>
      </c>
      <c r="I11" s="11"/>
      <c r="J11" s="11" t="s">
        <v>79</v>
      </c>
    </row>
    <row r="12" spans="1:10">
      <c r="A12" s="11" t="s">
        <v>59</v>
      </c>
      <c r="B12" s="11" t="s">
        <v>60</v>
      </c>
      <c r="C12" s="11">
        <v>180</v>
      </c>
      <c r="D12" s="11" t="s">
        <v>59</v>
      </c>
      <c r="E12" s="11" t="s">
        <v>61</v>
      </c>
      <c r="F12" s="11" t="s">
        <v>62</v>
      </c>
      <c r="G12" s="11" t="s">
        <v>63</v>
      </c>
      <c r="H12" s="12">
        <v>46065</v>
      </c>
      <c r="I12" s="11" t="s">
        <v>80</v>
      </c>
      <c r="J12" s="11" t="s">
        <v>65</v>
      </c>
    </row>
    <row r="13" spans="1:10">
      <c r="A13" s="11" t="s">
        <v>59</v>
      </c>
      <c r="B13" s="11" t="s">
        <v>60</v>
      </c>
      <c r="C13" s="11">
        <v>25</v>
      </c>
      <c r="D13" s="11" t="s">
        <v>59</v>
      </c>
      <c r="E13" s="11" t="s">
        <v>61</v>
      </c>
      <c r="F13" s="11" t="s">
        <v>62</v>
      </c>
      <c r="G13" s="11" t="s">
        <v>66</v>
      </c>
      <c r="H13" s="12">
        <v>46065</v>
      </c>
      <c r="I13" s="11" t="s">
        <v>64</v>
      </c>
      <c r="J13" s="11" t="s">
        <v>65</v>
      </c>
    </row>
    <row r="14" spans="1:10">
      <c r="A14" s="11" t="s">
        <v>67</v>
      </c>
      <c r="B14" s="11" t="s">
        <v>60</v>
      </c>
      <c r="C14" s="11">
        <v>157</v>
      </c>
      <c r="D14" s="11" t="s">
        <v>68</v>
      </c>
      <c r="E14" s="11" t="s">
        <v>69</v>
      </c>
      <c r="F14" s="11" t="s">
        <v>62</v>
      </c>
      <c r="G14" s="11" t="s">
        <v>63</v>
      </c>
      <c r="H14" s="12">
        <v>46065</v>
      </c>
      <c r="I14" s="11" t="s">
        <v>81</v>
      </c>
      <c r="J14" s="11" t="s">
        <v>65</v>
      </c>
    </row>
    <row r="15" spans="1:10">
      <c r="A15" s="11" t="s">
        <v>67</v>
      </c>
      <c r="B15" s="11" t="s">
        <v>60</v>
      </c>
      <c r="C15" s="11">
        <v>76</v>
      </c>
      <c r="D15" s="11" t="s">
        <v>68</v>
      </c>
      <c r="E15" s="11" t="s">
        <v>61</v>
      </c>
      <c r="F15" s="11" t="s">
        <v>62</v>
      </c>
      <c r="G15" s="11" t="s">
        <v>66</v>
      </c>
      <c r="H15" s="12">
        <v>46065</v>
      </c>
      <c r="I15" s="11" t="s">
        <v>81</v>
      </c>
      <c r="J15" s="11" t="s">
        <v>65</v>
      </c>
    </row>
    <row r="16" spans="1:10">
      <c r="A16" s="11" t="s">
        <v>67</v>
      </c>
      <c r="B16" s="11" t="s">
        <v>60</v>
      </c>
      <c r="C16" s="11">
        <v>11</v>
      </c>
      <c r="D16" s="11" t="s">
        <v>71</v>
      </c>
      <c r="E16" s="11" t="s">
        <v>61</v>
      </c>
      <c r="F16" s="11" t="s">
        <v>62</v>
      </c>
      <c r="G16" s="11" t="s">
        <v>63</v>
      </c>
      <c r="H16" s="12">
        <v>46065</v>
      </c>
      <c r="I16" s="11" t="s">
        <v>82</v>
      </c>
      <c r="J16" s="11" t="s">
        <v>65</v>
      </c>
    </row>
    <row r="17" spans="1:10">
      <c r="A17" s="11" t="s">
        <v>59</v>
      </c>
      <c r="B17" s="11" t="s">
        <v>60</v>
      </c>
      <c r="C17" s="11">
        <v>51</v>
      </c>
      <c r="D17" s="11" t="s">
        <v>59</v>
      </c>
      <c r="E17" s="11" t="s">
        <v>73</v>
      </c>
      <c r="F17" s="11" t="s">
        <v>62</v>
      </c>
      <c r="G17" s="11" t="s">
        <v>63</v>
      </c>
      <c r="H17" s="12">
        <v>46062</v>
      </c>
      <c r="I17" s="11" t="s">
        <v>26</v>
      </c>
      <c r="J17" s="11" t="s">
        <v>65</v>
      </c>
    </row>
    <row r="18" spans="1:10">
      <c r="A18" s="11" t="s">
        <v>59</v>
      </c>
      <c r="B18" s="11" t="s">
        <v>60</v>
      </c>
      <c r="C18" s="11">
        <v>91</v>
      </c>
      <c r="D18" s="11" t="s">
        <v>59</v>
      </c>
      <c r="E18" s="11" t="s">
        <v>73</v>
      </c>
      <c r="F18" s="11" t="s">
        <v>62</v>
      </c>
      <c r="G18" s="11" t="s">
        <v>66</v>
      </c>
      <c r="H18" s="12">
        <v>46062</v>
      </c>
      <c r="I18" s="11"/>
      <c r="J18" s="11" t="s">
        <v>65</v>
      </c>
    </row>
    <row r="19" spans="1:10">
      <c r="A19" s="11" t="s">
        <v>59</v>
      </c>
      <c r="B19" s="11" t="s">
        <v>60</v>
      </c>
      <c r="C19" s="11">
        <v>28</v>
      </c>
      <c r="D19" s="11" t="s">
        <v>59</v>
      </c>
      <c r="E19" s="11" t="s">
        <v>77</v>
      </c>
      <c r="F19" s="11" t="s">
        <v>62</v>
      </c>
      <c r="G19" s="11" t="s">
        <v>66</v>
      </c>
      <c r="H19" s="12">
        <v>46062</v>
      </c>
      <c r="I19" s="11"/>
      <c r="J19" s="11" t="s">
        <v>65</v>
      </c>
    </row>
    <row r="20" spans="1:10">
      <c r="A20" s="11" t="s">
        <v>59</v>
      </c>
      <c r="B20" s="11" t="s">
        <v>60</v>
      </c>
      <c r="C20" s="11">
        <v>31</v>
      </c>
      <c r="D20" s="11" t="s">
        <v>59</v>
      </c>
      <c r="E20" s="11" t="s">
        <v>61</v>
      </c>
      <c r="F20" s="11" t="s">
        <v>62</v>
      </c>
      <c r="G20" s="11" t="s">
        <v>63</v>
      </c>
      <c r="H20" s="12">
        <v>46087</v>
      </c>
      <c r="I20" s="11" t="s">
        <v>23</v>
      </c>
      <c r="J20" s="11" t="s">
        <v>65</v>
      </c>
    </row>
    <row r="21" spans="1:10">
      <c r="A21" s="11" t="s">
        <v>59</v>
      </c>
      <c r="B21" s="11" t="s">
        <v>60</v>
      </c>
      <c r="C21" s="11">
        <v>257</v>
      </c>
      <c r="D21" s="11" t="s">
        <v>59</v>
      </c>
      <c r="E21" s="11" t="s">
        <v>61</v>
      </c>
      <c r="F21" s="11" t="s">
        <v>62</v>
      </c>
      <c r="G21" s="11" t="s">
        <v>66</v>
      </c>
      <c r="H21" s="12">
        <v>46087</v>
      </c>
      <c r="I21" s="11" t="s">
        <v>23</v>
      </c>
      <c r="J21" s="11" t="s">
        <v>65</v>
      </c>
    </row>
    <row r="22" spans="1:10">
      <c r="A22" s="11" t="s">
        <v>59</v>
      </c>
      <c r="B22" s="11" t="s">
        <v>60</v>
      </c>
      <c r="C22" s="11">
        <v>1153</v>
      </c>
      <c r="D22" s="11" t="s">
        <v>59</v>
      </c>
      <c r="E22" s="11" t="s">
        <v>83</v>
      </c>
      <c r="F22" s="11" t="s">
        <v>62</v>
      </c>
      <c r="G22" s="11" t="s">
        <v>66</v>
      </c>
      <c r="H22" s="12">
        <v>46094</v>
      </c>
      <c r="I22" s="11"/>
      <c r="J22" s="11" t="s">
        <v>65</v>
      </c>
    </row>
    <row r="23" spans="1:10">
      <c r="A23" s="11" t="s">
        <v>67</v>
      </c>
      <c r="B23" s="11" t="s">
        <v>60</v>
      </c>
      <c r="C23" s="11">
        <v>239</v>
      </c>
      <c r="D23" s="11" t="s">
        <v>68</v>
      </c>
      <c r="E23" s="11" t="s">
        <v>69</v>
      </c>
      <c r="F23" s="11" t="s">
        <v>62</v>
      </c>
      <c r="G23" s="11" t="s">
        <v>63</v>
      </c>
      <c r="H23" s="12">
        <v>46104</v>
      </c>
      <c r="I23" s="11" t="s">
        <v>25</v>
      </c>
      <c r="J23" s="11" t="s">
        <v>65</v>
      </c>
    </row>
    <row r="24" spans="1:10">
      <c r="A24" s="11" t="s">
        <v>67</v>
      </c>
      <c r="B24" s="11" t="s">
        <v>60</v>
      </c>
      <c r="C24" s="11">
        <v>34</v>
      </c>
      <c r="D24" s="11" t="s">
        <v>71</v>
      </c>
      <c r="E24" s="11" t="s">
        <v>61</v>
      </c>
      <c r="F24" s="11" t="s">
        <v>84</v>
      </c>
      <c r="G24" s="11" t="s">
        <v>63</v>
      </c>
      <c r="H24" s="12">
        <v>46139</v>
      </c>
      <c r="I24" s="11" t="s">
        <v>85</v>
      </c>
      <c r="J24" s="11" t="s">
        <v>86</v>
      </c>
    </row>
    <row r="25" spans="1:10">
      <c r="A25" s="11" t="s">
        <v>59</v>
      </c>
      <c r="B25" s="11" t="s">
        <v>60</v>
      </c>
      <c r="C25" s="11">
        <v>53</v>
      </c>
      <c r="D25" s="11" t="s">
        <v>59</v>
      </c>
      <c r="E25" s="11" t="s">
        <v>73</v>
      </c>
      <c r="F25" s="11" t="s">
        <v>62</v>
      </c>
      <c r="G25" s="11" t="s">
        <v>63</v>
      </c>
      <c r="H25" s="12">
        <v>46108</v>
      </c>
      <c r="I25" s="11" t="s">
        <v>26</v>
      </c>
      <c r="J25" s="11" t="s">
        <v>65</v>
      </c>
    </row>
    <row r="26" spans="1:10">
      <c r="A26" s="11" t="s">
        <v>59</v>
      </c>
      <c r="B26" s="11" t="s">
        <v>60</v>
      </c>
      <c r="C26" s="11">
        <v>104</v>
      </c>
      <c r="D26" s="11" t="s">
        <v>59</v>
      </c>
      <c r="E26" s="11" t="s">
        <v>73</v>
      </c>
      <c r="F26" s="11" t="s">
        <v>62</v>
      </c>
      <c r="G26" s="11" t="s">
        <v>66</v>
      </c>
      <c r="H26" s="12">
        <v>46108</v>
      </c>
      <c r="I26" s="11"/>
      <c r="J26" s="11" t="s">
        <v>65</v>
      </c>
    </row>
    <row r="27" spans="1:10">
      <c r="A27" s="11" t="s">
        <v>59</v>
      </c>
      <c r="B27" s="11" t="s">
        <v>60</v>
      </c>
      <c r="C27" s="11">
        <v>16</v>
      </c>
      <c r="D27" s="11" t="s">
        <v>59</v>
      </c>
      <c r="E27" s="11" t="s">
        <v>77</v>
      </c>
      <c r="F27" s="11" t="s">
        <v>62</v>
      </c>
      <c r="G27" s="11" t="s">
        <v>66</v>
      </c>
      <c r="H27" s="12">
        <v>46108</v>
      </c>
      <c r="I27" s="11"/>
      <c r="J27" s="11" t="s">
        <v>65</v>
      </c>
    </row>
    <row r="28" spans="1:10">
      <c r="A28" s="11" t="s">
        <v>59</v>
      </c>
      <c r="B28" s="11" t="s">
        <v>60</v>
      </c>
      <c r="C28" s="11">
        <v>34</v>
      </c>
      <c r="D28" s="11" t="s">
        <v>59</v>
      </c>
      <c r="E28" s="11" t="s">
        <v>61</v>
      </c>
      <c r="F28" s="11" t="s">
        <v>62</v>
      </c>
      <c r="G28" s="11" t="s">
        <v>63</v>
      </c>
      <c r="H28" s="12">
        <v>46139</v>
      </c>
      <c r="I28" s="11"/>
      <c r="J28" s="11" t="s">
        <v>65</v>
      </c>
    </row>
    <row r="29" spans="1:10">
      <c r="A29" s="11" t="s">
        <v>59</v>
      </c>
      <c r="B29" s="11" t="s">
        <v>60</v>
      </c>
      <c r="C29" s="11">
        <v>257</v>
      </c>
      <c r="D29" s="11" t="s">
        <v>59</v>
      </c>
      <c r="E29" s="11" t="s">
        <v>61</v>
      </c>
      <c r="F29" s="11" t="s">
        <v>62</v>
      </c>
      <c r="G29" s="11" t="s">
        <v>66</v>
      </c>
      <c r="H29" s="12">
        <v>46139</v>
      </c>
      <c r="I29" s="11"/>
      <c r="J29" s="11" t="s">
        <v>65</v>
      </c>
    </row>
    <row r="30" spans="1:10">
      <c r="A30" s="11" t="s">
        <v>59</v>
      </c>
      <c r="B30" s="11" t="s">
        <v>60</v>
      </c>
      <c r="C30" s="11">
        <v>86</v>
      </c>
      <c r="D30" s="11" t="s">
        <v>59</v>
      </c>
      <c r="E30" s="11" t="s">
        <v>69</v>
      </c>
      <c r="F30" s="11" t="s">
        <v>62</v>
      </c>
      <c r="G30" s="11" t="s">
        <v>63</v>
      </c>
      <c r="H30" s="12">
        <v>46139</v>
      </c>
      <c r="I30" s="11"/>
      <c r="J30" s="11" t="s">
        <v>65</v>
      </c>
    </row>
    <row r="31" spans="1:10">
      <c r="A31" s="11" t="s">
        <v>67</v>
      </c>
      <c r="B31" s="11" t="s">
        <v>60</v>
      </c>
      <c r="C31" s="11">
        <v>211</v>
      </c>
      <c r="D31" s="11" t="s">
        <v>68</v>
      </c>
      <c r="E31" s="11" t="s">
        <v>69</v>
      </c>
      <c r="F31" s="11" t="s">
        <v>62</v>
      </c>
      <c r="G31" s="11" t="s">
        <v>63</v>
      </c>
      <c r="H31" s="12">
        <v>46139</v>
      </c>
      <c r="I31" s="11"/>
      <c r="J31" s="11" t="s">
        <v>65</v>
      </c>
    </row>
    <row r="32" spans="1:10">
      <c r="A32" s="11" t="s">
        <v>67</v>
      </c>
      <c r="B32" s="11" t="s">
        <v>60</v>
      </c>
      <c r="C32" s="11">
        <v>33</v>
      </c>
      <c r="D32" s="11" t="s">
        <v>71</v>
      </c>
      <c r="E32" s="11" t="s">
        <v>61</v>
      </c>
      <c r="F32" s="11" t="s">
        <v>84</v>
      </c>
      <c r="G32" s="11" t="s">
        <v>63</v>
      </c>
      <c r="H32" s="12">
        <v>46139</v>
      </c>
      <c r="I32" s="11" t="s">
        <v>87</v>
      </c>
      <c r="J32" s="11" t="s">
        <v>86</v>
      </c>
    </row>
    <row r="33" spans="1:10">
      <c r="A33" s="11" t="s">
        <v>59</v>
      </c>
      <c r="B33" s="11" t="s">
        <v>60</v>
      </c>
      <c r="C33" s="11">
        <v>49</v>
      </c>
      <c r="D33" s="11" t="s">
        <v>59</v>
      </c>
      <c r="E33" s="11" t="s">
        <v>73</v>
      </c>
      <c r="F33" s="11" t="s">
        <v>62</v>
      </c>
      <c r="G33" s="11" t="s">
        <v>63</v>
      </c>
      <c r="H33" s="12">
        <v>46139</v>
      </c>
      <c r="I33" s="11"/>
      <c r="J33" s="11" t="s">
        <v>65</v>
      </c>
    </row>
    <row r="34" spans="1:10">
      <c r="A34" s="11" t="s">
        <v>59</v>
      </c>
      <c r="B34" s="11" t="s">
        <v>60</v>
      </c>
      <c r="C34" s="11">
        <v>54</v>
      </c>
      <c r="D34" s="11" t="s">
        <v>59</v>
      </c>
      <c r="E34" s="11" t="s">
        <v>73</v>
      </c>
      <c r="F34" s="11" t="s">
        <v>62</v>
      </c>
      <c r="G34" s="11" t="s">
        <v>66</v>
      </c>
      <c r="H34" s="12">
        <v>46139</v>
      </c>
      <c r="I34" s="11"/>
      <c r="J34" s="11" t="s">
        <v>65</v>
      </c>
    </row>
    <row r="35" spans="1:10">
      <c r="A35" s="11" t="s">
        <v>59</v>
      </c>
      <c r="B35" s="11" t="s">
        <v>60</v>
      </c>
      <c r="C35" s="11">
        <v>495</v>
      </c>
      <c r="D35" s="11" t="s">
        <v>59</v>
      </c>
      <c r="E35" s="11" t="s">
        <v>77</v>
      </c>
      <c r="F35" s="11" t="s">
        <v>62</v>
      </c>
      <c r="G35" s="11" t="s">
        <v>66</v>
      </c>
      <c r="H35" s="12">
        <v>46139</v>
      </c>
      <c r="I35" s="11"/>
      <c r="J35" s="11" t="s">
        <v>65</v>
      </c>
    </row>
    <row r="36" spans="1:10" ht="29.1">
      <c r="A36" s="11" t="s">
        <v>88</v>
      </c>
      <c r="B36" s="11" t="s">
        <v>60</v>
      </c>
      <c r="C36" s="11">
        <v>23594</v>
      </c>
      <c r="D36" s="11" t="s">
        <v>89</v>
      </c>
      <c r="E36" s="11" t="s">
        <v>90</v>
      </c>
      <c r="F36" s="14" t="s">
        <v>91</v>
      </c>
      <c r="G36" s="11" t="s">
        <v>63</v>
      </c>
      <c r="H36" s="12">
        <v>46139</v>
      </c>
      <c r="I36" s="11"/>
      <c r="J36" s="11" t="s">
        <v>92</v>
      </c>
    </row>
    <row r="37" spans="1:10">
      <c r="A37" s="11" t="s">
        <v>59</v>
      </c>
      <c r="B37" s="11" t="s">
        <v>60</v>
      </c>
      <c r="C37" s="11">
        <v>106</v>
      </c>
      <c r="D37" s="11" t="s">
        <v>59</v>
      </c>
      <c r="E37" s="11" t="s">
        <v>73</v>
      </c>
      <c r="F37" s="11" t="s">
        <v>62</v>
      </c>
      <c r="G37" s="11" t="s">
        <v>78</v>
      </c>
      <c r="H37" s="12">
        <v>46139</v>
      </c>
      <c r="I37" s="11"/>
      <c r="J37" s="11" t="s">
        <v>79</v>
      </c>
    </row>
    <row r="38" spans="1:10" ht="29.1">
      <c r="A38" s="11" t="s">
        <v>59</v>
      </c>
      <c r="B38" s="11" t="s">
        <v>60</v>
      </c>
      <c r="C38" s="11">
        <v>7</v>
      </c>
      <c r="D38" s="11" t="s">
        <v>59</v>
      </c>
      <c r="E38" s="11" t="s">
        <v>73</v>
      </c>
      <c r="F38" s="14" t="s">
        <v>93</v>
      </c>
      <c r="G38" s="11" t="s">
        <v>63</v>
      </c>
      <c r="H38" s="12">
        <v>46139</v>
      </c>
      <c r="I38" s="11"/>
      <c r="J38" s="11" t="s">
        <v>94</v>
      </c>
    </row>
    <row r="39" spans="1:10" ht="29.1">
      <c r="A39" s="11" t="s">
        <v>59</v>
      </c>
      <c r="B39" s="11" t="s">
        <v>60</v>
      </c>
      <c r="C39" s="11">
        <v>5</v>
      </c>
      <c r="D39" s="11" t="s">
        <v>59</v>
      </c>
      <c r="E39" s="11" t="s">
        <v>61</v>
      </c>
      <c r="F39" s="14" t="s">
        <v>93</v>
      </c>
      <c r="G39" s="11" t="s">
        <v>63</v>
      </c>
      <c r="H39" s="12">
        <v>46139</v>
      </c>
      <c r="I39" s="11"/>
      <c r="J39" s="11" t="s">
        <v>95</v>
      </c>
    </row>
    <row r="40" spans="1:10">
      <c r="A40" s="11" t="s">
        <v>59</v>
      </c>
      <c r="B40" s="11" t="s">
        <v>60</v>
      </c>
      <c r="C40" s="11">
        <v>254</v>
      </c>
      <c r="D40" s="11" t="s">
        <v>59</v>
      </c>
      <c r="E40" s="11" t="s">
        <v>61</v>
      </c>
      <c r="F40" s="11" t="s">
        <v>62</v>
      </c>
      <c r="G40" s="11" t="s">
        <v>63</v>
      </c>
      <c r="H40" s="12">
        <v>46170</v>
      </c>
      <c r="I40" s="11" t="s">
        <v>35</v>
      </c>
      <c r="J40" s="11" t="s">
        <v>65</v>
      </c>
    </row>
    <row r="41" spans="1:10">
      <c r="A41" s="11" t="s">
        <v>59</v>
      </c>
      <c r="B41" s="11" t="s">
        <v>60</v>
      </c>
      <c r="C41" s="11">
        <v>40</v>
      </c>
      <c r="D41" s="11" t="s">
        <v>59</v>
      </c>
      <c r="E41" s="11" t="s">
        <v>69</v>
      </c>
      <c r="F41" s="11" t="s">
        <v>62</v>
      </c>
      <c r="G41" s="11" t="s">
        <v>63</v>
      </c>
      <c r="H41" s="12">
        <v>46170</v>
      </c>
      <c r="I41" s="11" t="s">
        <v>37</v>
      </c>
      <c r="J41" s="11" t="s">
        <v>96</v>
      </c>
    </row>
    <row r="42" spans="1:10">
      <c r="A42" s="11" t="s">
        <v>67</v>
      </c>
      <c r="B42" s="11" t="s">
        <v>60</v>
      </c>
      <c r="C42" s="11">
        <v>275</v>
      </c>
      <c r="D42" s="11" t="s">
        <v>68</v>
      </c>
      <c r="E42" s="11" t="s">
        <v>69</v>
      </c>
      <c r="F42" s="11" t="s">
        <v>62</v>
      </c>
      <c r="G42" s="11" t="s">
        <v>63</v>
      </c>
      <c r="H42" s="12">
        <v>46170</v>
      </c>
      <c r="I42" s="11" t="s">
        <v>38</v>
      </c>
      <c r="J42" s="11" t="s">
        <v>65</v>
      </c>
    </row>
    <row r="43" spans="1:10">
      <c r="A43" s="11" t="s">
        <v>59</v>
      </c>
      <c r="B43" s="11" t="s">
        <v>60</v>
      </c>
      <c r="C43" s="11">
        <v>60</v>
      </c>
      <c r="D43" s="11" t="s">
        <v>59</v>
      </c>
      <c r="E43" s="11" t="s">
        <v>73</v>
      </c>
      <c r="F43" s="11" t="s">
        <v>62</v>
      </c>
      <c r="G43" s="11" t="s">
        <v>63</v>
      </c>
      <c r="H43" s="12">
        <v>46170</v>
      </c>
      <c r="I43" s="11"/>
      <c r="J43" s="11" t="s">
        <v>65</v>
      </c>
    </row>
    <row r="44" spans="1:10">
      <c r="A44" s="11" t="s">
        <v>59</v>
      </c>
      <c r="B44" s="11" t="s">
        <v>60</v>
      </c>
      <c r="C44" s="11">
        <v>14</v>
      </c>
      <c r="D44" s="11" t="s">
        <v>59</v>
      </c>
      <c r="E44" s="11" t="s">
        <v>73</v>
      </c>
      <c r="F44" s="11" t="s">
        <v>62</v>
      </c>
      <c r="G44" s="11" t="s">
        <v>66</v>
      </c>
      <c r="H44" s="12">
        <v>46170</v>
      </c>
      <c r="I44" s="11" t="s">
        <v>39</v>
      </c>
      <c r="J44" s="11" t="s">
        <v>65</v>
      </c>
    </row>
    <row r="45" spans="1:10">
      <c r="A45" s="11" t="s">
        <v>59</v>
      </c>
      <c r="B45" s="11" t="s">
        <v>60</v>
      </c>
      <c r="C45" s="11">
        <v>14</v>
      </c>
      <c r="D45" s="11" t="s">
        <v>59</v>
      </c>
      <c r="E45" s="11" t="s">
        <v>77</v>
      </c>
      <c r="F45" s="11" t="s">
        <v>62</v>
      </c>
      <c r="G45" s="11" t="s">
        <v>66</v>
      </c>
      <c r="H45" s="12">
        <v>46170</v>
      </c>
      <c r="I45" s="11"/>
      <c r="J45" s="11" t="s">
        <v>65</v>
      </c>
    </row>
    <row r="46" spans="1:10">
      <c r="A46" s="11" t="s">
        <v>59</v>
      </c>
      <c r="B46" s="11" t="s">
        <v>60</v>
      </c>
      <c r="C46" s="11">
        <v>350</v>
      </c>
      <c r="D46" s="11" t="s">
        <v>59</v>
      </c>
      <c r="E46" s="11" t="s">
        <v>73</v>
      </c>
      <c r="F46" s="11" t="s">
        <v>62</v>
      </c>
      <c r="G46" s="11" t="s">
        <v>78</v>
      </c>
      <c r="H46" s="12">
        <v>46170</v>
      </c>
      <c r="I46" s="11"/>
      <c r="J46" s="11" t="s">
        <v>79</v>
      </c>
    </row>
    <row r="47" spans="1:10" ht="29.1">
      <c r="A47" s="11" t="s">
        <v>97</v>
      </c>
      <c r="B47" s="11" t="s">
        <v>60</v>
      </c>
      <c r="C47" s="11">
        <v>175</v>
      </c>
      <c r="D47" s="14" t="s">
        <v>98</v>
      </c>
      <c r="E47" s="11" t="s">
        <v>61</v>
      </c>
      <c r="F47" s="11" t="s">
        <v>99</v>
      </c>
      <c r="G47" s="11" t="s">
        <v>63</v>
      </c>
      <c r="H47" s="12">
        <v>46171</v>
      </c>
      <c r="I47" s="11"/>
      <c r="J47" s="11" t="s">
        <v>100</v>
      </c>
    </row>
    <row r="48" spans="1:10" ht="29.1">
      <c r="A48" s="11" t="s">
        <v>101</v>
      </c>
      <c r="B48" s="11" t="s">
        <v>60</v>
      </c>
      <c r="C48" s="11">
        <v>486</v>
      </c>
      <c r="D48" s="11" t="s">
        <v>102</v>
      </c>
      <c r="E48" s="14" t="s">
        <v>103</v>
      </c>
      <c r="F48" s="11" t="s">
        <v>62</v>
      </c>
      <c r="G48" s="11" t="s">
        <v>63</v>
      </c>
      <c r="H48" s="12">
        <v>46163</v>
      </c>
      <c r="I48" s="11"/>
      <c r="J48" s="11" t="s">
        <v>104</v>
      </c>
    </row>
    <row r="49" spans="1:10" ht="29.1">
      <c r="A49" s="11" t="s">
        <v>101</v>
      </c>
      <c r="B49" s="11" t="s">
        <v>60</v>
      </c>
      <c r="C49" s="11">
        <v>161</v>
      </c>
      <c r="D49" s="11" t="s">
        <v>102</v>
      </c>
      <c r="E49" s="14" t="s">
        <v>103</v>
      </c>
      <c r="F49" s="11" t="s">
        <v>62</v>
      </c>
      <c r="G49" s="11" t="s">
        <v>63</v>
      </c>
      <c r="H49" s="12">
        <v>46169</v>
      </c>
      <c r="I49" s="11"/>
      <c r="J49" s="11" t="s">
        <v>104</v>
      </c>
    </row>
    <row r="50" spans="1:10">
      <c r="A50" s="11" t="s">
        <v>105</v>
      </c>
      <c r="B50" s="11" t="s">
        <v>106</v>
      </c>
      <c r="C50" s="11">
        <v>410586</v>
      </c>
      <c r="D50" s="14" t="s">
        <v>107</v>
      </c>
      <c r="E50" s="14" t="s">
        <v>108</v>
      </c>
      <c r="F50" s="11" t="s">
        <v>84</v>
      </c>
      <c r="G50" s="11" t="s">
        <v>63</v>
      </c>
      <c r="H50" s="12">
        <v>46164</v>
      </c>
      <c r="I50" s="11" t="s">
        <v>45</v>
      </c>
      <c r="J50" s="11"/>
    </row>
    <row r="51" spans="1:10">
      <c r="A51" s="11" t="s">
        <v>59</v>
      </c>
      <c r="B51" s="11" t="s">
        <v>60</v>
      </c>
      <c r="C51" s="11">
        <v>107</v>
      </c>
      <c r="D51" s="11" t="s">
        <v>59</v>
      </c>
      <c r="E51" s="11" t="s">
        <v>61</v>
      </c>
      <c r="F51" s="11" t="s">
        <v>62</v>
      </c>
      <c r="G51" s="11" t="s">
        <v>66</v>
      </c>
      <c r="H51" s="15">
        <v>46203</v>
      </c>
      <c r="I51" s="11" t="s">
        <v>42</v>
      </c>
      <c r="J51" s="11" t="s">
        <v>65</v>
      </c>
    </row>
    <row r="52" spans="1:10">
      <c r="A52" s="11" t="s">
        <v>59</v>
      </c>
      <c r="B52" s="11" t="s">
        <v>60</v>
      </c>
      <c r="C52" s="11">
        <v>25</v>
      </c>
      <c r="D52" s="11" t="s">
        <v>59</v>
      </c>
      <c r="E52" s="11" t="s">
        <v>69</v>
      </c>
      <c r="F52" s="11" t="s">
        <v>62</v>
      </c>
      <c r="G52" s="11" t="s">
        <v>66</v>
      </c>
      <c r="H52" s="15">
        <v>46203</v>
      </c>
      <c r="I52" s="11" t="s">
        <v>42</v>
      </c>
      <c r="J52" s="11" t="s">
        <v>65</v>
      </c>
    </row>
    <row r="53" spans="1:10">
      <c r="A53" s="11" t="s">
        <v>67</v>
      </c>
      <c r="B53" s="11" t="s">
        <v>60</v>
      </c>
      <c r="C53" s="11">
        <v>200</v>
      </c>
      <c r="D53" s="11" t="s">
        <v>68</v>
      </c>
      <c r="E53" s="11" t="s">
        <v>69</v>
      </c>
      <c r="F53" s="11" t="s">
        <v>62</v>
      </c>
      <c r="G53" s="11" t="s">
        <v>63</v>
      </c>
      <c r="H53" s="15">
        <v>46203</v>
      </c>
      <c r="I53" s="14" t="s">
        <v>109</v>
      </c>
      <c r="J53" s="11" t="s">
        <v>65</v>
      </c>
    </row>
    <row r="54" spans="1:10">
      <c r="A54" s="11" t="s">
        <v>59</v>
      </c>
      <c r="B54" s="11" t="s">
        <v>60</v>
      </c>
      <c r="C54" s="11">
        <v>69</v>
      </c>
      <c r="D54" s="11" t="s">
        <v>59</v>
      </c>
      <c r="E54" s="11" t="s">
        <v>73</v>
      </c>
      <c r="F54" s="11" t="s">
        <v>62</v>
      </c>
      <c r="G54" s="11" t="s">
        <v>63</v>
      </c>
      <c r="H54" s="15">
        <v>46203</v>
      </c>
      <c r="I54" s="11"/>
      <c r="J54" s="11" t="s">
        <v>65</v>
      </c>
    </row>
    <row r="55" spans="1:10">
      <c r="A55" s="11" t="s">
        <v>59</v>
      </c>
      <c r="B55" s="11" t="s">
        <v>60</v>
      </c>
      <c r="C55" s="11">
        <v>117</v>
      </c>
      <c r="D55" s="11" t="s">
        <v>59</v>
      </c>
      <c r="E55" s="11" t="s">
        <v>73</v>
      </c>
      <c r="F55" s="11" t="s">
        <v>62</v>
      </c>
      <c r="G55" s="11" t="s">
        <v>66</v>
      </c>
      <c r="H55" s="15">
        <v>46203</v>
      </c>
      <c r="I55" s="11"/>
      <c r="J55" s="11" t="s">
        <v>65</v>
      </c>
    </row>
    <row r="56" spans="1:10">
      <c r="A56" s="11" t="s">
        <v>59</v>
      </c>
      <c r="B56" s="11" t="s">
        <v>60</v>
      </c>
      <c r="C56" s="11">
        <v>8</v>
      </c>
      <c r="D56" s="11" t="s">
        <v>59</v>
      </c>
      <c r="E56" s="11" t="s">
        <v>77</v>
      </c>
      <c r="F56" s="11" t="s">
        <v>62</v>
      </c>
      <c r="G56" s="11" t="s">
        <v>66</v>
      </c>
      <c r="H56" s="15">
        <v>46203</v>
      </c>
      <c r="I56" s="11"/>
      <c r="J56" s="11" t="s">
        <v>65</v>
      </c>
    </row>
    <row r="57" spans="1:10">
      <c r="A57" s="11" t="s">
        <v>101</v>
      </c>
      <c r="B57" s="11" t="s">
        <v>60</v>
      </c>
      <c r="C57" s="11">
        <v>106</v>
      </c>
      <c r="D57" s="11" t="s">
        <v>102</v>
      </c>
      <c r="E57" s="11" t="s">
        <v>61</v>
      </c>
      <c r="F57" s="11" t="s">
        <v>62</v>
      </c>
      <c r="G57" s="11" t="s">
        <v>110</v>
      </c>
      <c r="H57" s="15">
        <v>46203</v>
      </c>
      <c r="I57" s="11"/>
      <c r="J57" s="11" t="s">
        <v>111</v>
      </c>
    </row>
    <row r="58" spans="1:10">
      <c r="A58" s="11" t="s">
        <v>59</v>
      </c>
      <c r="B58" s="11" t="s">
        <v>60</v>
      </c>
      <c r="C58" s="11">
        <v>198</v>
      </c>
      <c r="D58" s="11" t="s">
        <v>59</v>
      </c>
      <c r="E58" s="11" t="s">
        <v>61</v>
      </c>
      <c r="F58" s="11" t="s">
        <v>99</v>
      </c>
      <c r="G58" s="11" t="s">
        <v>112</v>
      </c>
      <c r="H58" s="15">
        <v>46203</v>
      </c>
      <c r="I58" s="11"/>
      <c r="J58" s="11" t="s">
        <v>113</v>
      </c>
    </row>
    <row r="59" spans="1:10">
      <c r="A59" s="11" t="s">
        <v>59</v>
      </c>
      <c r="B59" s="11" t="s">
        <v>60</v>
      </c>
      <c r="C59" s="11">
        <v>91</v>
      </c>
      <c r="D59" s="11" t="s">
        <v>59</v>
      </c>
      <c r="E59" s="11" t="s">
        <v>61</v>
      </c>
      <c r="F59" s="11" t="s">
        <v>99</v>
      </c>
      <c r="G59" s="11" t="s">
        <v>63</v>
      </c>
      <c r="H59" s="15">
        <v>46203</v>
      </c>
      <c r="I59" s="11"/>
      <c r="J59" s="11" t="s">
        <v>114</v>
      </c>
    </row>
    <row r="60" spans="1:10">
      <c r="A60" s="11" t="s">
        <v>59</v>
      </c>
      <c r="B60" s="11" t="s">
        <v>60</v>
      </c>
      <c r="C60" s="11">
        <v>150</v>
      </c>
      <c r="D60" s="11" t="s">
        <v>59</v>
      </c>
      <c r="E60" s="11" t="s">
        <v>61</v>
      </c>
      <c r="F60" s="11" t="s">
        <v>99</v>
      </c>
      <c r="G60" s="11" t="s">
        <v>112</v>
      </c>
      <c r="H60" s="15">
        <v>46203</v>
      </c>
      <c r="I60" s="11"/>
      <c r="J60" s="11" t="s">
        <v>115</v>
      </c>
    </row>
    <row r="61" spans="1:10">
      <c r="A61" s="11" t="s">
        <v>105</v>
      </c>
      <c r="B61" s="11" t="s">
        <v>60</v>
      </c>
      <c r="C61" s="11">
        <v>1112770</v>
      </c>
      <c r="D61" s="14" t="s">
        <v>107</v>
      </c>
      <c r="E61" s="11" t="s">
        <v>108</v>
      </c>
      <c r="F61" s="11" t="s">
        <v>84</v>
      </c>
      <c r="G61" s="11" t="s">
        <v>63</v>
      </c>
      <c r="H61" s="12">
        <v>46179</v>
      </c>
      <c r="I61" s="11" t="s">
        <v>116</v>
      </c>
      <c r="J61" s="11"/>
    </row>
    <row r="62" spans="1:10" ht="29.1">
      <c r="A62" s="11" t="s">
        <v>105</v>
      </c>
      <c r="B62" s="11" t="s">
        <v>60</v>
      </c>
      <c r="C62" s="11">
        <v>7921</v>
      </c>
      <c r="D62" s="14" t="s">
        <v>59</v>
      </c>
      <c r="E62" s="14" t="s">
        <v>117</v>
      </c>
      <c r="F62" s="11" t="s">
        <v>84</v>
      </c>
      <c r="G62" s="11" t="s">
        <v>63</v>
      </c>
      <c r="H62" s="12">
        <v>46181</v>
      </c>
      <c r="I62" s="11"/>
      <c r="J62" s="11" t="s">
        <v>118</v>
      </c>
    </row>
    <row r="63" spans="1:10" ht="29.1">
      <c r="A63" s="11" t="s">
        <v>119</v>
      </c>
      <c r="B63" s="11" t="s">
        <v>60</v>
      </c>
      <c r="C63" s="11">
        <v>43</v>
      </c>
      <c r="D63" s="14" t="s">
        <v>98</v>
      </c>
      <c r="E63" s="11" t="s">
        <v>61</v>
      </c>
      <c r="F63" s="11" t="s">
        <v>99</v>
      </c>
      <c r="G63" s="11" t="s">
        <v>63</v>
      </c>
      <c r="H63" s="12">
        <v>46197</v>
      </c>
      <c r="I63" s="11"/>
      <c r="J63" s="11" t="s">
        <v>120</v>
      </c>
    </row>
    <row r="64" spans="1:10">
      <c r="A64" s="19" t="s">
        <v>121</v>
      </c>
      <c r="B64" s="11" t="s">
        <v>60</v>
      </c>
      <c r="C64" s="19"/>
      <c r="D64" s="19" t="s">
        <v>122</v>
      </c>
      <c r="E64" s="20" t="s">
        <v>123</v>
      </c>
      <c r="F64" s="19" t="s">
        <v>124</v>
      </c>
      <c r="G64" s="19" t="s">
        <v>63</v>
      </c>
      <c r="H64" s="21">
        <v>46169</v>
      </c>
      <c r="I64" s="19"/>
      <c r="J64" s="19" t="s">
        <v>125</v>
      </c>
    </row>
    <row r="65" spans="1:10">
      <c r="A65" s="16" t="s">
        <v>121</v>
      </c>
      <c r="B65" s="11" t="s">
        <v>60</v>
      </c>
      <c r="C65" s="16"/>
      <c r="D65" s="16" t="s">
        <v>126</v>
      </c>
      <c r="E65" s="17" t="s">
        <v>123</v>
      </c>
      <c r="F65" s="16" t="s">
        <v>124</v>
      </c>
      <c r="G65" s="16" t="s">
        <v>63</v>
      </c>
      <c r="H65" s="18">
        <v>46169</v>
      </c>
      <c r="I65" s="16"/>
      <c r="J65" s="16" t="s">
        <v>125</v>
      </c>
    </row>
    <row r="66" spans="1:10">
      <c r="A66" s="16" t="s">
        <v>121</v>
      </c>
      <c r="B66" s="11" t="s">
        <v>60</v>
      </c>
      <c r="C66" s="16"/>
      <c r="D66" s="16" t="s">
        <v>127</v>
      </c>
      <c r="E66" s="17" t="s">
        <v>123</v>
      </c>
      <c r="F66" s="16" t="s">
        <v>124</v>
      </c>
      <c r="G66" s="16" t="s">
        <v>63</v>
      </c>
      <c r="H66" s="18">
        <v>46169</v>
      </c>
      <c r="I66" s="16"/>
      <c r="J66" s="16" t="s">
        <v>125</v>
      </c>
    </row>
    <row r="67" spans="1:10">
      <c r="A67" s="11" t="s">
        <v>59</v>
      </c>
      <c r="B67" s="11" t="s">
        <v>60</v>
      </c>
      <c r="C67" s="11">
        <v>225</v>
      </c>
      <c r="D67" s="11" t="s">
        <v>59</v>
      </c>
      <c r="E67" s="11" t="s">
        <v>61</v>
      </c>
      <c r="F67" s="11" t="s">
        <v>62</v>
      </c>
      <c r="G67" s="11" t="s">
        <v>66</v>
      </c>
      <c r="H67" s="12">
        <v>46215</v>
      </c>
      <c r="I67" s="11"/>
      <c r="J67" s="11" t="s">
        <v>128</v>
      </c>
    </row>
    <row r="68" spans="1:10">
      <c r="A68" s="11" t="s">
        <v>59</v>
      </c>
      <c r="B68" s="11" t="s">
        <v>60</v>
      </c>
      <c r="C68" s="11">
        <v>107</v>
      </c>
      <c r="D68" s="11" t="s">
        <v>59</v>
      </c>
      <c r="E68" s="11" t="s">
        <v>61</v>
      </c>
      <c r="F68" s="11" t="s">
        <v>62</v>
      </c>
      <c r="G68" s="11" t="s">
        <v>63</v>
      </c>
      <c r="H68" s="12">
        <v>46231</v>
      </c>
      <c r="I68" s="11" t="s">
        <v>129</v>
      </c>
      <c r="J68" s="11" t="s">
        <v>65</v>
      </c>
    </row>
    <row r="69" spans="1:10">
      <c r="A69" s="11" t="s">
        <v>67</v>
      </c>
      <c r="B69" s="11" t="s">
        <v>60</v>
      </c>
      <c r="C69" s="11">
        <v>576</v>
      </c>
      <c r="D69" s="11" t="s">
        <v>68</v>
      </c>
      <c r="E69" s="11" t="s">
        <v>90</v>
      </c>
      <c r="F69" s="11" t="s">
        <v>62</v>
      </c>
      <c r="G69" s="11" t="s">
        <v>63</v>
      </c>
      <c r="H69" s="12">
        <v>46217</v>
      </c>
      <c r="I69" s="11" t="s">
        <v>26</v>
      </c>
      <c r="J69" s="11" t="s">
        <v>130</v>
      </c>
    </row>
    <row r="70" spans="1:10">
      <c r="A70" s="11" t="s">
        <v>67</v>
      </c>
      <c r="B70" s="11" t="s">
        <v>60</v>
      </c>
      <c r="C70" s="11">
        <v>40</v>
      </c>
      <c r="D70" s="11" t="s">
        <v>68</v>
      </c>
      <c r="E70" s="11" t="s">
        <v>61</v>
      </c>
      <c r="F70" s="11" t="s">
        <v>62</v>
      </c>
      <c r="G70" s="11" t="s">
        <v>63</v>
      </c>
      <c r="H70" s="12">
        <v>46217</v>
      </c>
      <c r="I70" s="11"/>
      <c r="J70" s="11" t="s">
        <v>130</v>
      </c>
    </row>
    <row r="71" spans="1:10">
      <c r="A71" s="11" t="s">
        <v>67</v>
      </c>
      <c r="B71" s="11" t="s">
        <v>60</v>
      </c>
      <c r="C71" s="11">
        <v>11</v>
      </c>
      <c r="D71" s="11" t="s">
        <v>68</v>
      </c>
      <c r="E71" s="11" t="s">
        <v>131</v>
      </c>
      <c r="F71" s="11" t="s">
        <v>62</v>
      </c>
      <c r="G71" s="11" t="s">
        <v>63</v>
      </c>
      <c r="H71" s="12">
        <v>46217</v>
      </c>
      <c r="I71" s="11"/>
      <c r="J71" s="11" t="s">
        <v>130</v>
      </c>
    </row>
    <row r="72" spans="1:10">
      <c r="A72" s="11" t="s">
        <v>59</v>
      </c>
      <c r="B72" s="11" t="s">
        <v>60</v>
      </c>
      <c r="C72" s="11">
        <v>60</v>
      </c>
      <c r="D72" s="11" t="s">
        <v>59</v>
      </c>
      <c r="E72" s="11" t="s">
        <v>73</v>
      </c>
      <c r="F72" s="11" t="s">
        <v>62</v>
      </c>
      <c r="G72" s="11" t="s">
        <v>63</v>
      </c>
      <c r="H72" s="12">
        <v>46217</v>
      </c>
      <c r="I72" s="11"/>
      <c r="J72" s="11" t="s">
        <v>65</v>
      </c>
    </row>
    <row r="73" spans="1:10">
      <c r="A73" s="11" t="s">
        <v>59</v>
      </c>
      <c r="B73" s="11" t="s">
        <v>60</v>
      </c>
      <c r="C73" s="11">
        <v>177</v>
      </c>
      <c r="D73" s="11" t="s">
        <v>59</v>
      </c>
      <c r="E73" s="11" t="s">
        <v>73</v>
      </c>
      <c r="F73" s="11" t="s">
        <v>62</v>
      </c>
      <c r="G73" s="11" t="s">
        <v>66</v>
      </c>
      <c r="H73" s="12">
        <v>46217</v>
      </c>
      <c r="I73" s="11"/>
      <c r="J73" s="11" t="s">
        <v>65</v>
      </c>
    </row>
    <row r="74" spans="1:10" ht="15" customHeight="1">
      <c r="A74" s="11" t="s">
        <v>59</v>
      </c>
      <c r="B74" s="11" t="s">
        <v>60</v>
      </c>
      <c r="C74" s="11">
        <v>9</v>
      </c>
      <c r="D74" s="11" t="s">
        <v>59</v>
      </c>
      <c r="E74" s="11" t="s">
        <v>77</v>
      </c>
      <c r="F74" s="11" t="s">
        <v>62</v>
      </c>
      <c r="G74" s="11" t="s">
        <v>66</v>
      </c>
      <c r="H74" s="12">
        <v>46217</v>
      </c>
      <c r="I74" s="11"/>
      <c r="J74" s="11" t="s">
        <v>65</v>
      </c>
    </row>
    <row r="75" spans="1:10" ht="15" customHeight="1">
      <c r="A75" s="11" t="s">
        <v>132</v>
      </c>
      <c r="B75" s="11" t="s">
        <v>60</v>
      </c>
      <c r="C75" s="11">
        <v>13</v>
      </c>
      <c r="D75" s="11" t="s">
        <v>59</v>
      </c>
      <c r="E75" s="11" t="s">
        <v>61</v>
      </c>
      <c r="F75" s="11" t="s">
        <v>99</v>
      </c>
      <c r="G75" s="11" t="s">
        <v>63</v>
      </c>
      <c r="H75" s="12">
        <v>46210</v>
      </c>
      <c r="I75" s="11"/>
      <c r="J75" s="11" t="s">
        <v>133</v>
      </c>
    </row>
    <row r="76" spans="1:10" ht="15" customHeight="1">
      <c r="A76" s="11" t="s">
        <v>132</v>
      </c>
      <c r="B76" s="11" t="s">
        <v>60</v>
      </c>
      <c r="C76" s="11">
        <v>9</v>
      </c>
      <c r="D76" s="11" t="s">
        <v>59</v>
      </c>
      <c r="E76" s="11" t="s">
        <v>88</v>
      </c>
      <c r="F76" s="11" t="s">
        <v>99</v>
      </c>
      <c r="G76" s="11" t="s">
        <v>63</v>
      </c>
      <c r="H76" s="12">
        <v>46210</v>
      </c>
      <c r="I76" s="11"/>
      <c r="J76" s="11" t="s">
        <v>133</v>
      </c>
    </row>
    <row r="77" spans="1:10" ht="15" customHeight="1">
      <c r="A77" s="11" t="s">
        <v>132</v>
      </c>
      <c r="B77" s="11" t="s">
        <v>60</v>
      </c>
      <c r="C77" s="11">
        <v>7</v>
      </c>
      <c r="D77" s="11" t="s">
        <v>59</v>
      </c>
      <c r="E77" s="11" t="s">
        <v>88</v>
      </c>
      <c r="F77" s="11" t="s">
        <v>99</v>
      </c>
      <c r="G77" s="11" t="s">
        <v>63</v>
      </c>
      <c r="H77" s="12">
        <v>46210</v>
      </c>
      <c r="I77" s="11"/>
      <c r="J77" s="11" t="s">
        <v>134</v>
      </c>
    </row>
    <row r="78" spans="1:10" ht="15" customHeight="1">
      <c r="A78" s="11" t="s">
        <v>135</v>
      </c>
      <c r="B78" s="11" t="s">
        <v>60</v>
      </c>
      <c r="C78" s="11">
        <v>71</v>
      </c>
      <c r="D78" s="11" t="s">
        <v>136</v>
      </c>
      <c r="E78" s="11" t="s">
        <v>88</v>
      </c>
      <c r="F78" s="11" t="s">
        <v>137</v>
      </c>
      <c r="G78" s="11" t="s">
        <v>63</v>
      </c>
      <c r="H78" s="12">
        <v>46230</v>
      </c>
      <c r="I78" s="11"/>
      <c r="J78" s="11" t="s">
        <v>138</v>
      </c>
    </row>
    <row r="79" spans="1:10" ht="15" customHeight="1">
      <c r="A79" s="11" t="s">
        <v>135</v>
      </c>
      <c r="B79" s="11" t="s">
        <v>60</v>
      </c>
      <c r="C79" s="11">
        <v>32</v>
      </c>
      <c r="D79" s="11" t="s">
        <v>139</v>
      </c>
      <c r="E79" s="11" t="s">
        <v>88</v>
      </c>
      <c r="F79" s="11" t="s">
        <v>137</v>
      </c>
      <c r="G79" s="11" t="s">
        <v>63</v>
      </c>
      <c r="H79" s="12">
        <v>46230</v>
      </c>
      <c r="I79" s="11"/>
      <c r="J79" s="11" t="s">
        <v>138</v>
      </c>
    </row>
    <row r="80" spans="1:10">
      <c r="A80" s="11" t="s">
        <v>135</v>
      </c>
      <c r="B80" s="11" t="s">
        <v>60</v>
      </c>
      <c r="C80" s="11">
        <v>27</v>
      </c>
      <c r="D80" s="11" t="s">
        <v>140</v>
      </c>
      <c r="E80" s="11" t="s">
        <v>88</v>
      </c>
      <c r="F80" s="11" t="s">
        <v>137</v>
      </c>
      <c r="G80" s="11" t="s">
        <v>63</v>
      </c>
      <c r="H80" s="12">
        <v>46230</v>
      </c>
      <c r="I80" s="11"/>
      <c r="J80" s="11" t="s">
        <v>138</v>
      </c>
    </row>
    <row r="81" spans="1:10">
      <c r="A81" s="11" t="s">
        <v>135</v>
      </c>
      <c r="B81" s="11" t="s">
        <v>60</v>
      </c>
      <c r="C81" s="11">
        <v>27</v>
      </c>
      <c r="D81" s="11" t="s">
        <v>141</v>
      </c>
      <c r="E81" s="11" t="s">
        <v>88</v>
      </c>
      <c r="F81" s="11" t="s">
        <v>137</v>
      </c>
      <c r="G81" s="11" t="s">
        <v>63</v>
      </c>
      <c r="H81" s="12">
        <v>46230</v>
      </c>
      <c r="I81" s="11"/>
      <c r="J81" s="11" t="s">
        <v>138</v>
      </c>
    </row>
    <row r="82" spans="1:10">
      <c r="A82" s="11" t="s">
        <v>135</v>
      </c>
      <c r="B82" s="11" t="s">
        <v>60</v>
      </c>
      <c r="C82" s="11">
        <v>64</v>
      </c>
      <c r="D82" s="11" t="s">
        <v>142</v>
      </c>
      <c r="E82" s="11" t="s">
        <v>88</v>
      </c>
      <c r="F82" s="11" t="s">
        <v>137</v>
      </c>
      <c r="G82" s="11" t="s">
        <v>63</v>
      </c>
      <c r="H82" s="12">
        <v>46230</v>
      </c>
      <c r="I82" s="11"/>
      <c r="J82" s="11" t="s">
        <v>138</v>
      </c>
    </row>
    <row r="83" spans="1:10">
      <c r="A83" s="11" t="s">
        <v>143</v>
      </c>
      <c r="B83" s="11" t="s">
        <v>60</v>
      </c>
      <c r="C83" s="11">
        <v>1658</v>
      </c>
      <c r="D83" s="11" t="s">
        <v>144</v>
      </c>
      <c r="E83" s="11" t="s">
        <v>88</v>
      </c>
      <c r="F83" s="11" t="s">
        <v>145</v>
      </c>
      <c r="G83" s="11" t="s">
        <v>63</v>
      </c>
      <c r="H83" s="12">
        <v>46231</v>
      </c>
      <c r="I83" s="11"/>
      <c r="J83" s="11" t="s">
        <v>146</v>
      </c>
    </row>
    <row r="84" spans="1:10">
      <c r="A84" s="11" t="s">
        <v>121</v>
      </c>
      <c r="B84" s="11" t="s">
        <v>60</v>
      </c>
      <c r="C84" s="11">
        <v>225</v>
      </c>
      <c r="D84" s="11" t="s">
        <v>122</v>
      </c>
      <c r="E84" s="14" t="s">
        <v>123</v>
      </c>
      <c r="F84" s="11" t="s">
        <v>124</v>
      </c>
      <c r="G84" s="11" t="s">
        <v>63</v>
      </c>
      <c r="H84" s="12">
        <v>46230</v>
      </c>
      <c r="I84" s="11"/>
      <c r="J84" s="11" t="s">
        <v>125</v>
      </c>
    </row>
    <row r="85" spans="1:10">
      <c r="A85" s="16" t="s">
        <v>121</v>
      </c>
      <c r="B85" s="11" t="s">
        <v>60</v>
      </c>
      <c r="C85" s="16"/>
      <c r="D85" s="16" t="s">
        <v>126</v>
      </c>
      <c r="E85" s="17" t="s">
        <v>123</v>
      </c>
      <c r="F85" s="16" t="s">
        <v>124</v>
      </c>
      <c r="G85" s="16" t="s">
        <v>63</v>
      </c>
      <c r="H85" s="18">
        <v>46169</v>
      </c>
      <c r="I85" s="16"/>
      <c r="J85" s="16" t="s">
        <v>125</v>
      </c>
    </row>
    <row r="86" spans="1:10" ht="15" customHeight="1">
      <c r="A86" s="16" t="s">
        <v>121</v>
      </c>
      <c r="B86" s="11" t="s">
        <v>60</v>
      </c>
      <c r="C86" s="16"/>
      <c r="D86" s="16" t="s">
        <v>127</v>
      </c>
      <c r="E86" s="17" t="s">
        <v>123</v>
      </c>
      <c r="F86" s="16" t="s">
        <v>124</v>
      </c>
      <c r="G86" s="16" t="s">
        <v>63</v>
      </c>
      <c r="H86" s="18">
        <v>46169</v>
      </c>
      <c r="I86" s="16"/>
      <c r="J86" s="16" t="s">
        <v>125</v>
      </c>
    </row>
  </sheetData>
  <autoFilter ref="A1:I86" xr:uid="{CF0B1FB0-D366-4763-BCC9-654BE1CC98B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204A5FA3D9C4498E80542D4FF43D1A" ma:contentTypeVersion="3" ma:contentTypeDescription="Crear nuevo documento." ma:contentTypeScope="" ma:versionID="2af0ff39a0ca7ac892f17a6854165d2f">
  <xsd:schema xmlns:xsd="http://www.w3.org/2001/XMLSchema" xmlns:xs="http://www.w3.org/2001/XMLSchema" xmlns:p="http://schemas.microsoft.com/office/2006/metadata/properties" xmlns:ns2="f6f20a45-32b1-4e92-93a1-0b9509399b09" targetNamespace="http://schemas.microsoft.com/office/2006/metadata/properties" ma:root="true" ma:fieldsID="06879f787cd3d628c2a5c6803ca5aa3c" ns2:_="">
    <xsd:import namespace="f6f20a45-32b1-4e92-93a1-0b9509399b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20a45-32b1-4e92-93a1-0b9509399b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29DC7E-ECF7-4148-A4EE-C55CCE659A6F}"/>
</file>

<file path=customXml/itemProps2.xml><?xml version="1.0" encoding="utf-8"?>
<ds:datastoreItem xmlns:ds="http://schemas.openxmlformats.org/officeDocument/2006/customXml" ds:itemID="{A5D486F5-2D12-4945-9CD6-32E8BB39F4B4}"/>
</file>

<file path=customXml/itemProps3.xml><?xml version="1.0" encoding="utf-8"?>
<ds:datastoreItem xmlns:ds="http://schemas.openxmlformats.org/officeDocument/2006/customXml" ds:itemID="{09190873-1D1D-4594-A37D-93FF38FF1C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Banco Pichincha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UYANA PAUCAR BRYAN HUMBERTO</dc:creator>
  <cp:keywords/>
  <dc:description/>
  <cp:lastModifiedBy/>
  <cp:revision/>
  <dcterms:created xsi:type="dcterms:W3CDTF">2026-06-02T22:54:48Z</dcterms:created>
  <dcterms:modified xsi:type="dcterms:W3CDTF">2026-08-11T02:28:25Z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0x0101007D204A5FA3D9C4498E80542D4FF43D1A</vt:lpwstr>
  </property>
  <property fmtid="{D5CDD505-2E9C-101B-9397-08002B2CF9AE}" pid="3" name="KriptosClassAi">
    <vt:lpwstr>0-Publico</vt:lpwstr>
  </property>
</Properties>
</file>